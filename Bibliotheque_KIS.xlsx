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au de bord" sheetId="1" state="visible" r:id="rId1"/>
    <sheet xmlns:r="http://schemas.openxmlformats.org/officeDocument/2006/relationships" name="Livres" sheetId="2" state="visible" r:id="rId2"/>
    <sheet xmlns:r="http://schemas.openxmlformats.org/officeDocument/2006/relationships" name="Membres" sheetId="3" state="visible" r:id="rId3"/>
    <sheet xmlns:r="http://schemas.openxmlformats.org/officeDocument/2006/relationships" name="Emprunts" sheetId="4" state="visible" r:id="rId4"/>
    <sheet xmlns:r="http://schemas.openxmlformats.org/officeDocument/2006/relationships" name="Fournitures" sheetId="5" state="visible" r:id="rId5"/>
    <sheet xmlns:r="http://schemas.openxmlformats.org/officeDocument/2006/relationships" name="Mouvements" sheetId="6" state="visible" r:id="rId6"/>
    <sheet xmlns:r="http://schemas.openxmlformats.org/officeDocument/2006/relationships" name="Recherche" sheetId="7" state="visible" r:id="rId7"/>
    <sheet xmlns:r="http://schemas.openxmlformats.org/officeDocument/2006/relationships" name="Rapport mensuel" sheetId="8" state="visible" r:id="rId8"/>
    <sheet xmlns:r="http://schemas.openxmlformats.org/officeDocument/2006/relationships" name="Paramètres" sheetId="9" state="visible" r:id="rId9"/>
    <sheet xmlns:r="http://schemas.openxmlformats.org/officeDocument/2006/relationships" name="Calculs" sheetId="10" state="hidden" r:id="rId10"/>
  </sheets>
  <definedNames>
    <definedName name="LIV_Code">'Livres'!$E$7:$E$306</definedName>
    <definedName name="LIV_Titre">'Livres'!$G$7:$G$306</definedName>
    <definedName name="LIV_Auteur">'Livres'!$H$7:$H$306</definedName>
    <definedName name="LIV_Cat">'Livres'!$I$7:$I$306</definedName>
    <definedName name="LIV_Ex">'Livres'!$L$7:$L$306</definedName>
    <definedName name="LIV_Emp">'Livres'!$N$7:$N$306</definedName>
    <definedName name="LIV_Dispo">'Livres'!$O$7:$O$306</definedName>
    <definedName name="LIV_Total">'Livres'!$P$7:$P$306</definedName>
    <definedName name="LIV_Statut">'Livres'!$Q$7:$Q$306</definedName>
    <definedName name="LIV_Score">'Livres'!$S$7:$S$306</definedName>
    <definedName name="LIV_Rech">'Livres'!$T$7:$T$306</definedName>
    <definedName name="LIV_ScoreMois">'Livres'!$U$7:$U$306</definedName>
    <definedName name="EMP_Cat">'Emprunts'!$T$7:$T$1006</definedName>
    <definedName name="MEM_ID">'Membres'!$E$7:$E$306</definedName>
    <definedName name="MEM_Nom">'Membres'!$F$7:$F$306</definedName>
    <definedName name="MEM_Type">'Membres'!$G$7:$G$306</definedName>
    <definedName name="MEM_Classe">'Membres'!$H$7:$H$306</definedName>
    <definedName name="MEM_Insc">'Membres'!$J$7:$J$306</definedName>
    <definedName name="MEM_Cours">'Membres'!$K$7:$K$306</definedName>
    <definedName name="MEM_Statut">'Membres'!$N$7:$N$306</definedName>
    <definedName name="MEM_Rech">'Membres'!$P$7:$P$306</definedName>
    <definedName name="EMP_Date">'Emprunts'!$F$7:$F$1006</definedName>
    <definedName name="EMP_Membre">'Emprunts'!$G$7:$G$1006</definedName>
    <definedName name="EMP_Nom">'Emprunts'!$H$7:$H$1006</definedName>
    <definedName name="EMP_Livre">'Emprunts'!$I$7:$I$1006</definedName>
    <definedName name="EMP_Titre">'Emprunts'!$J$7:$J$1006</definedName>
    <definedName name="EMP_Prevu">'Emprunts'!$K$7:$K$1006</definedName>
    <definedName name="EMP_Retour">'Emprunts'!$L$7:$L$1006</definedName>
    <definedName name="EMP_Statut">'Emprunts'!$M$7:$M$1006</definedName>
    <definedName name="EMP_Jours">'Emprunts'!$N$7:$N$1006</definedName>
    <definedName name="EMP_Amende">'Emprunts'!$O$7:$O$1006</definedName>
    <definedName name="EMP_Paye">'Emprunts'!$P$7:$P$1006</definedName>
    <definedName name="EMP_ScoreRetard">'Emprunts'!$R$7:$R$1006</definedName>
    <definedName name="EMP_ScoreRecent">'Emprunts'!$S$7:$S$1006</definedName>
    <definedName name="FOU_Code">'Fournitures'!$E$7:$E$206</definedName>
    <definedName name="FOU_Article">'Fournitures'!$F$7:$F$206</definedName>
    <definedName name="FOU_Unite">'Fournitures'!$H$7:$H$206</definedName>
    <definedName name="FOU_Seuil">'Fournitures'!$J$7:$J$206</definedName>
    <definedName name="FOU_Stock">'Fournitures'!$O$7:$O$206</definedName>
    <definedName name="FOU_Valeur">'Fournitures'!$P$7:$P$206</definedName>
    <definedName name="FOU_Statut">'Fournitures'!$Q$7:$Q$206</definedName>
    <definedName name="FOU_Score">'Fournitures'!$S$7:$S$206</definedName>
    <definedName name="MOV_Date">'Mouvements'!$F$7:$F$1006</definedName>
    <definedName name="MOV_Code">'Mouvements'!$G$7:$G$1006</definedName>
    <definedName name="MOV_Type">'Mouvements'!$I$7:$I$1006</definedName>
    <definedName name="MOV_Qte">'Mouvements'!$J$7:$J$1006</definedName>
    <definedName name="P_Ecole">'Paramètres'!$F$7</definedName>
    <definedName name="P_Annee">'Paramètres'!$F$8</definedName>
    <definedName name="P_Duree">'Paramètres'!$F$9</definedName>
    <definedName name="P_Amende">'Paramètres'!$F$10</definedName>
    <definedName name="P_Max">'Paramètres'!$F$11</definedName>
    <definedName name="L_CatLivres">'Paramètres'!$I$7:$I$26</definedName>
    <definedName name="L_Classes">'Paramètres'!$J$7:$J$26</definedName>
    <definedName name="L_TypesMembre">'Paramètres'!$K$7:$K$9</definedName>
    <definedName name="L_CatFourn">'Paramètres'!$L$7:$L$26</definedName>
    <definedName name="L_Unites">'Paramètres'!$M$7:$M$26</definedName>
    <definedName name="L_TypesMvt">'Paramètres'!$N$7:$N$8</definedName>
    <definedName name="L_OuiNon">'Paramètres'!$O$7:$O$8</definedName>
    <definedName name="L_Mois">'Calculs'!$S$2:$S$25</definedName>
    <definedName name="Q_Rech">TRIM('Recherche'!$F$5)</definedName>
    <definedName name="R_Mois">'Rapport mensuel'!$G$4</definedName>
    <definedName name="_xlnm.Print_Area" localSheetId="0">'Tableau de bord'!$A$1:$AH$52</definedName>
    <definedName name="_xlnm.Print_Area" localSheetId="1">OFFSET('Livres'!$A$1,0,0,6+COUNTIF(LIV_Code,"?*"),COLUMN('Livres'!$Q$1))</definedName>
    <definedName name="_xlnm._FilterDatabase" localSheetId="1" hidden="1">'Livres'!$E$6:$Q$306</definedName>
    <definedName name="_xlnm.Print_Titles" localSheetId="1">'Livres'!$6:$6</definedName>
    <definedName name="_xlnm.Print_Area" localSheetId="2">OFFSET('Membres'!$A$1,0,0,6+COUNTIF(MEM_ID,"?*"),COLUMN('Membres'!$N$1))</definedName>
    <definedName name="_xlnm._FilterDatabase" localSheetId="2" hidden="1">'Membres'!$E$6:$N$306</definedName>
    <definedName name="_xlnm.Print_Titles" localSheetId="2">'Membres'!$6:$6</definedName>
    <definedName name="_xlnm.Print_Area" localSheetId="3">OFFSET('Emprunts'!$A$1,0,0,6+COUNTIF(EMP_Date,"&gt;0"),COLUMN('Emprunts'!$P$1))</definedName>
    <definedName name="_xlnm._FilterDatabase" localSheetId="3" hidden="1">'Emprunts'!$E$6:$P$1006</definedName>
    <definedName name="_xlnm.Print_Titles" localSheetId="3">'Emprunts'!$6:$6</definedName>
    <definedName name="_xlnm.Print_Area" localSheetId="4">OFFSET('Fournitures'!$A$1,0,0,6+COUNTIF(FOU_Code,"?*"),COLUMN('Fournitures'!$Q$1))</definedName>
    <definedName name="_xlnm._FilterDatabase" localSheetId="4" hidden="1">'Fournitures'!$E$6:$Q$206</definedName>
    <definedName name="_xlnm.Print_Titles" localSheetId="4">'Fournitures'!$6:$6</definedName>
    <definedName name="_xlnm.Print_Area" localSheetId="5">OFFSET('Mouvements'!$A$1,0,0,6+COUNTIF(MOV_Date,"&gt;0"),COLUMN('Mouvements'!$L$1))</definedName>
    <definedName name="_xlnm._FilterDatabase" localSheetId="5" hidden="1">'Mouvements'!$E$6:$L$1006</definedName>
    <definedName name="_xlnm.Print_Titles" localSheetId="5">'Mouvements'!$6:$6</definedName>
    <definedName name="_xlnm.Print_Area" localSheetId="7">'Rapport mensuel'!$E$2:$N$86</definedName>
  </definedNames>
  <calcPr calcId="124519" fullCalcOnLoad="1"/>
</workbook>
</file>

<file path=xl/styles.xml><?xml version="1.0" encoding="utf-8"?>
<styleSheet xmlns="http://schemas.openxmlformats.org/spreadsheetml/2006/main">
  <numFmts count="14">
    <numFmt numFmtId="164" formatCode="dd/mm/yyyy"/>
    <numFmt numFmtId="165" formatCode="#,##0 &quot;FC&quot;;-#,##0 &quot;FC&quot;;&quot;–&quot;"/>
    <numFmt numFmtId="166" formatCode="0;-0;&quot;–&quot;"/>
    <numFmt numFmtId="167" formatCode="#,##0 &quot;FC&quot;"/>
    <numFmt numFmtId="168" formatCode="mmm yy"/>
    <numFmt numFmtId="169" formatCode="dd/mm"/>
    <numFmt numFmtId="170" formatCode="mmmm yyyy"/>
    <numFmt numFmtId="171" formatCode="yyyy-mm-dd"/>
    <numFmt numFmtId="172" formatCode="&quot;du &quot;dd/mm/yyyy"/>
    <numFmt numFmtId="173" formatCode="&quot;au &quot;dd/mm/yyyy"/>
    <numFmt numFmtId="174" formatCode="&quot;Édité le &quot;dd/mm/yyyy"/>
    <numFmt numFmtId="175" formatCode="&quot;📅  &quot;dddd dd mmmm yyyy"/>
    <numFmt numFmtId="176" formatCode="0&quot;×&quot;"/>
    <numFmt numFmtId="177" formatCode="0&quot; j&quot;"/>
  </numFmts>
  <fonts count="61">
    <font>
      <name val="Calibri"/>
      <family val="2"/>
      <color theme="1"/>
      <sz val="11"/>
      <scheme val="minor"/>
    </font>
    <font>
      <name val="Segoe UI"/>
      <color rgb="003C5A73"/>
      <sz val="10.5"/>
    </font>
    <font>
      <name val="Segoe UI"/>
      <b val="1"/>
      <color rgb="000089BF"/>
      <sz val="10.5"/>
    </font>
    <font>
      <name val="Segoe UI"/>
      <b val="1"/>
      <color rgb="000B3C5D"/>
      <sz val="20"/>
    </font>
    <font>
      <name val="Segoe UI"/>
      <color rgb="007A8B9A"/>
      <sz val="9.5"/>
    </font>
    <font>
      <name val="Segoe UI"/>
      <b val="1"/>
      <color rgb="00FFFFFF"/>
      <sz val="10"/>
    </font>
    <font>
      <name val="Segoe UI"/>
      <b val="1"/>
      <color rgb="000B3C5D"/>
      <sz val="10"/>
    </font>
    <font>
      <name val="Segoe UI"/>
      <b val="1"/>
      <color rgb="000B3C5D"/>
      <sz val="9.5"/>
    </font>
    <font>
      <name val="Segoe UI"/>
      <b val="1"/>
      <color rgb="001E7B34"/>
      <sz val="9.5"/>
    </font>
    <font>
      <name val="Segoe UI"/>
      <b val="1"/>
      <color rgb="000077A8"/>
      <sz val="9.5"/>
    </font>
    <font>
      <name val="Segoe UI"/>
      <b val="1"/>
      <color rgb="00FFFFFF"/>
      <sz val="9.5"/>
    </font>
    <font>
      <name val="Segoe UI"/>
      <color rgb="001F3346"/>
      <sz val="10"/>
    </font>
    <font>
      <name val="Segoe UI"/>
      <b val="1"/>
      <color rgb="00C62828"/>
      <sz val="9.5"/>
    </font>
    <font>
      <name val="Segoe UI"/>
      <b val="1"/>
      <color rgb="00A15C00"/>
      <sz val="9.5"/>
    </font>
    <font>
      <name val="Segoe UI"/>
      <b val="1"/>
      <color rgb="001F3346"/>
      <sz val="10"/>
    </font>
    <font>
      <name val="Segoe UI"/>
      <b val="1"/>
      <color rgb="000077A8"/>
      <sz val="10.5"/>
    </font>
    <font>
      <name val="Segoe UI"/>
      <i val="1"/>
      <color rgb="007A8B9A"/>
      <sz val="9"/>
    </font>
    <font>
      <name val="Segoe UI"/>
      <b val="1"/>
      <color rgb="000B3C5D"/>
      <sz val="13"/>
    </font>
    <font>
      <name val="Segoe UI"/>
      <color rgb="001F3346"/>
      <sz val="9.5"/>
    </font>
    <font>
      <name val="Segoe UI"/>
      <color rgb="0000AEEF"/>
      <sz val="16"/>
    </font>
    <font>
      <name val="Segoe UI"/>
      <b val="1"/>
      <color rgb="000B3C5D"/>
      <sz val="12"/>
    </font>
    <font>
      <name val="Segoe UI"/>
      <b val="1"/>
      <color rgb="000B3C5D"/>
      <sz val="17"/>
    </font>
    <font>
      <name val="Segoe UI"/>
      <b val="1"/>
      <color rgb="000089BF"/>
      <sz val="10"/>
    </font>
    <font>
      <name val="Segoe UI"/>
      <b val="1"/>
      <color rgb="000077A8"/>
      <sz val="11"/>
    </font>
    <font>
      <name val="Segoe UI"/>
      <i val="1"/>
      <color rgb="007A8B9A"/>
      <sz val="8.5"/>
    </font>
    <font>
      <name val="Segoe UI"/>
      <color rgb="007A8B9A"/>
      <sz val="9"/>
    </font>
    <font>
      <name val="Segoe UI"/>
      <b val="1"/>
      <color rgb="007A8B9A"/>
      <sz val="8.5"/>
    </font>
    <font>
      <name val="Segoe UI"/>
      <b val="1"/>
      <color rgb="000B3C5D"/>
      <sz val="15"/>
    </font>
    <font>
      <name val="Segoe UI"/>
      <b val="1"/>
      <color rgb="00A15C00"/>
      <sz val="15"/>
    </font>
    <font>
      <name val="Segoe UI"/>
      <b val="1"/>
      <color rgb="00C62828"/>
      <sz val="15"/>
    </font>
    <font>
      <name val="Segoe UI"/>
      <b val="1"/>
      <color rgb="001E7B34"/>
      <sz val="15"/>
    </font>
    <font>
      <name val="Segoe UI"/>
      <b val="1"/>
      <color rgb="00FFFFFF"/>
      <sz val="9"/>
    </font>
    <font>
      <name val="Segoe UI"/>
      <b val="1"/>
      <color rgb="001F3346"/>
      <sz val="9.5"/>
    </font>
    <font>
      <name val="Segoe UI"/>
      <b val="1"/>
      <color rgb="000B3C5D"/>
      <sz val="8"/>
    </font>
    <font>
      <name val="Segoe UI"/>
      <i val="1"/>
      <color rgb="007A8B9A"/>
      <sz val="8"/>
    </font>
    <font>
      <name val="Segoe UI"/>
      <b val="1"/>
      <color rgb="000089BF"/>
      <sz val="9.5"/>
    </font>
    <font>
      <name val="Segoe UI"/>
      <color rgb="003C5A73"/>
      <sz val="8.5"/>
    </font>
    <font>
      <name val="Segoe UI"/>
      <b val="1"/>
      <color rgb="009AA9B8"/>
      <sz val="8.5"/>
    </font>
    <font>
      <name val="Segoe UI"/>
      <color rgb="003C5A73"/>
      <sz val="9"/>
    </font>
    <font>
      <name val="Segoe UI"/>
      <b val="1"/>
      <color rgb="00C62828"/>
      <sz val="10"/>
    </font>
    <font>
      <name val="Segoe UI"/>
      <i val="1"/>
      <color rgb="00A7B4C0"/>
      <sz val="8"/>
    </font>
    <font>
      <name val="Segoe UI"/>
      <b val="1"/>
      <color rgb="007A8B9A"/>
      <sz val="9.5"/>
    </font>
    <font>
      <name val="Segoe UI"/>
      <b val="1"/>
      <color rgb="000B3C5D"/>
      <sz val="22"/>
    </font>
    <font>
      <name val="Segoe UI"/>
      <color rgb="007A8B9A"/>
      <sz val="8.5"/>
    </font>
    <font>
      <name val="Segoe UI"/>
      <b val="1"/>
      <color rgb="00C62828"/>
      <sz val="22"/>
    </font>
    <font>
      <name val="Segoe UI"/>
      <b val="1"/>
      <color rgb="000B3C5D"/>
      <sz val="11"/>
    </font>
    <font>
      <name val="Segoe UI"/>
      <b val="1"/>
      <color rgb="000089BF"/>
      <sz val="9"/>
    </font>
    <font>
      <name val="Segoe UI"/>
      <b val="1"/>
      <color rgb="001F3346"/>
      <sz val="9"/>
    </font>
    <font>
      <name val="Segoe UI"/>
      <color rgb="007A8B9A"/>
      <sz val="8"/>
    </font>
    <font>
      <name val="Segoe UI"/>
      <i val="1"/>
      <color rgb="009AA9B8"/>
      <sz val="8.5"/>
    </font>
    <font>
      <name val="Segoe UI"/>
      <b val="1"/>
      <color rgb="0000AEEF"/>
      <sz val="11"/>
    </font>
    <font>
      <name val="Segoe UI"/>
      <color rgb="001F3346"/>
      <sz val="9"/>
    </font>
    <font>
      <name val="Segoe UI"/>
      <b val="1"/>
      <color rgb="0039B54A"/>
      <sz val="11"/>
    </font>
    <font>
      <name val="Segoe UI"/>
      <b val="1"/>
      <color rgb="00FFD200"/>
      <sz val="11"/>
    </font>
    <font>
      <name val="Segoe UI"/>
      <b val="1"/>
      <color rgb="007FD3F5"/>
      <sz val="11"/>
    </font>
    <font>
      <name val="Segoe UI"/>
      <b val="1"/>
      <color rgb="002E7D9A"/>
      <sz val="11"/>
    </font>
    <font>
      <name val="Segoe UI"/>
      <b val="1"/>
      <color rgb="008BD49A"/>
      <sz val="11"/>
    </font>
    <font>
      <name val="Segoe UI"/>
      <b val="1"/>
      <color rgb="00F28C6A"/>
      <sz val="11"/>
    </font>
    <font>
      <name val="Segoe UI"/>
      <b val="1"/>
      <color rgb="009AA9B8"/>
      <sz val="11"/>
    </font>
    <font>
      <name val="Segoe UI"/>
      <b val="1"/>
      <color rgb="00F59E0B"/>
      <sz val="11"/>
    </font>
    <font>
      <name val="Segoe UI"/>
      <b val="1"/>
      <color rgb="00E5484D"/>
      <sz val="11"/>
    </font>
  </fonts>
  <fills count="20">
    <fill>
      <patternFill/>
    </fill>
    <fill>
      <patternFill patternType="gray125"/>
    </fill>
    <fill>
      <patternFill patternType="solid">
        <fgColor rgb="00FFFFFF"/>
        <bgColor rgb="00FFFFFF"/>
      </patternFill>
    </fill>
    <fill>
      <patternFill patternType="solid">
        <fgColor rgb="0000AEEF"/>
        <bgColor rgb="0000AEEF"/>
      </patternFill>
    </fill>
    <fill>
      <patternFill patternType="solid">
        <fgColor rgb="00E3F6FD"/>
        <bgColor rgb="00E3F6FD"/>
      </patternFill>
    </fill>
    <fill>
      <patternFill patternType="solid">
        <fgColor rgb="00E7F6E9"/>
        <bgColor rgb="00E7F6E9"/>
      </patternFill>
    </fill>
    <fill>
      <patternFill patternType="solid">
        <fgColor rgb="000B3C5D"/>
        <bgColor rgb="000B3C5D"/>
      </patternFill>
    </fill>
    <fill>
      <patternFill patternType="solid">
        <fgColor rgb="001B5E86"/>
        <bgColor rgb="001B5E86"/>
      </patternFill>
    </fill>
    <fill>
      <patternFill patternType="solid">
        <fgColor rgb="00F4FAFD"/>
        <bgColor rgb="00F4FAFD"/>
      </patternFill>
    </fill>
    <fill>
      <patternFill patternType="solid">
        <fgColor rgb="00FDECEC"/>
        <bgColor rgb="00FDECEC"/>
      </patternFill>
    </fill>
    <fill>
      <patternFill patternType="solid">
        <fgColor rgb="00FFF4DF"/>
        <bgColor rgb="00FFF4DF"/>
      </patternFill>
    </fill>
    <fill>
      <patternFill patternType="solid">
        <fgColor rgb="00FAFCFE"/>
        <bgColor rgb="00FAFCFE"/>
      </patternFill>
    </fill>
    <fill>
      <patternFill patternType="solid">
        <fgColor rgb="00F8FAFC"/>
        <bgColor rgb="00F8FAFC"/>
      </patternFill>
    </fill>
    <fill>
      <patternFill patternType="solid">
        <fgColor rgb="0039B54A"/>
        <bgColor rgb="0039B54A"/>
      </patternFill>
    </fill>
    <fill>
      <patternFill patternType="solid">
        <fgColor rgb="00F7FBFE"/>
        <bgColor rgb="00F7FBFE"/>
      </patternFill>
    </fill>
    <fill>
      <patternFill patternType="solid">
        <fgColor rgb="00F2FAFE"/>
        <bgColor rgb="00F2FAFE"/>
      </patternFill>
    </fill>
    <fill>
      <patternFill patternType="solid">
        <fgColor rgb="00F3F6F9"/>
        <bgColor rgb="00F3F6F9"/>
      </patternFill>
    </fill>
    <fill>
      <patternFill patternType="solid">
        <fgColor rgb="0029ABE2"/>
        <bgColor rgb="0029ABE2"/>
      </patternFill>
    </fill>
    <fill>
      <patternFill patternType="solid">
        <fgColor rgb="00E5484D"/>
        <bgColor rgb="00E5484D"/>
      </patternFill>
    </fill>
    <fill>
      <patternFill patternType="solid">
        <fgColor rgb="00F59E0B"/>
        <bgColor rgb="00F59E0B"/>
      </patternFill>
    </fill>
  </fills>
  <borders count="86">
    <border>
      <left/>
      <right/>
      <top/>
      <bottom/>
      <diagonal/>
    </border>
    <border>
      <right style="thin">
        <color rgb="00DCE3EA"/>
      </right>
    </border>
    <border>
      <left/>
      <right style="thin">
        <color rgb="00DCE3EA"/>
      </right>
      <top/>
      <bottom/>
      <diagonal/>
    </border>
    <border>
      <left style="medium">
        <color rgb="00FFFFFF"/>
      </left>
      <right/>
    </border>
    <border>
      <left/>
      <right style="medium">
        <color rgb="00FFFFFF"/>
      </right>
    </border>
    <border>
      <right style="medium">
        <color rgb="00FFFFFF"/>
      </right>
    </border>
    <border>
      <right style="thin">
        <color rgb="002C6A90"/>
      </right>
    </border>
    <border>
      <bottom style="thin">
        <color rgb="00EDF1F5"/>
      </bottom>
    </border>
    <border>
      <bottom style="thin">
        <color rgb="00E3E8EE"/>
      </bottom>
    </border>
    <border>
      <left style="thin">
        <color rgb="0000AEEF"/>
      </left>
      <right/>
      <top style="thin">
        <color rgb="0000AEEF"/>
      </top>
      <bottom style="thin">
        <color rgb="0000AEEF"/>
      </bottom>
    </border>
    <border>
      <left/>
      <right/>
      <top style="thin">
        <color rgb="0000AEEF"/>
      </top>
      <bottom style="thin">
        <color rgb="0000AEEF"/>
      </bottom>
    </border>
    <border>
      <left/>
      <right style="thin">
        <color rgb="0000AEEF"/>
      </right>
      <top style="thin">
        <color rgb="0000AEEF"/>
      </top>
      <bottom style="thin">
        <color rgb="0000AEEF"/>
      </bottom>
    </border>
    <border>
      <left style="thin">
        <color rgb="0000AEEF"/>
      </left>
      <right style="thin">
        <color rgb="0000AEEF"/>
      </right>
      <top style="thin">
        <color rgb="0000AEEF"/>
      </top>
      <bottom style="thin">
        <color rgb="0000AEEF"/>
      </bottom>
    </border>
    <border>
      <left/>
      <right/>
      <top style="thin">
        <color rgb="0000AEEF"/>
      </top>
      <bottom/>
      <diagonal/>
    </border>
    <border>
      <left/>
      <right style="thin">
        <color rgb="0000AEEF"/>
      </right>
      <top style="thin">
        <color rgb="0000AEEF"/>
      </top>
      <bottom/>
      <diagonal/>
    </border>
    <border>
      <left/>
      <right/>
      <top style="thin">
        <color rgb="0000AEEF"/>
      </top>
      <bottom style="thin">
        <color rgb="0000AEEF"/>
      </bottom>
      <diagonal/>
    </border>
    <border>
      <left/>
      <right style="thin">
        <color rgb="0000AEEF"/>
      </right>
      <top style="thin">
        <color rgb="0000AEEF"/>
      </top>
      <bottom style="thin">
        <color rgb="0000AEEF"/>
      </bottom>
      <diagonal/>
    </border>
    <border>
      <left style="thin">
        <color rgb="0000AEEF"/>
      </left>
      <top style="thin">
        <color rgb="0000AEEF"/>
      </top>
      <bottom style="thin">
        <color rgb="0000AEEF"/>
      </bottom>
    </border>
    <border>
      <top style="thin">
        <color rgb="0000AEEF"/>
      </top>
      <bottom style="thin">
        <color rgb="0000AEEF"/>
      </bottom>
    </border>
    <border>
      <bottom style="medium">
        <color rgb="0000AEEF"/>
      </bottom>
    </border>
    <border>
      <left style="thin">
        <color rgb="00D6E9F3"/>
      </left>
      <right/>
      <top style="thin">
        <color rgb="00D6E9F3"/>
      </top>
      <bottom/>
    </border>
    <border>
      <left/>
      <right style="thin">
        <color rgb="00D6E9F3"/>
      </right>
      <top style="thin">
        <color rgb="00D6E9F3"/>
      </top>
      <bottom/>
    </border>
    <border>
      <left style="thin">
        <color rgb="00D6E9F3"/>
      </left>
      <right/>
      <top/>
      <bottom style="thin">
        <color rgb="00D6E9F3"/>
      </bottom>
    </border>
    <border>
      <left/>
      <right style="thin">
        <color rgb="00D6E9F3"/>
      </right>
      <top/>
      <bottom style="thin">
        <color rgb="00D6E9F3"/>
      </bottom>
    </border>
    <border>
      <top/>
      <bottom style="thin">
        <color rgb="00E3E8EE"/>
      </bottom>
    </border>
    <border/>
    <border>
      <top style="medium">
        <color rgb="000B3C5D"/>
      </top>
      <bottom style="thin">
        <color rgb="00E3E8EE"/>
      </bottom>
    </border>
    <border>
      <left style="thin">
        <color rgb="00C9D3DC"/>
      </left>
      <right/>
      <top style="thin">
        <color rgb="00C9D3DC"/>
      </top>
      <bottom/>
    </border>
    <border>
      <left/>
      <right/>
      <top style="thin">
        <color rgb="00C9D3DC"/>
      </top>
      <bottom/>
    </border>
    <border>
      <left/>
      <right style="thin">
        <color rgb="00C9D3DC"/>
      </right>
      <top style="thin">
        <color rgb="00C9D3DC"/>
      </top>
      <bottom/>
    </border>
    <border>
      <left style="thin">
        <color rgb="00C9D3DC"/>
      </left>
      <right/>
      <top/>
      <bottom/>
    </border>
    <border>
      <left/>
      <right/>
      <top/>
      <bottom/>
    </border>
    <border>
      <left/>
      <right style="thin">
        <color rgb="00C9D3DC"/>
      </right>
      <top/>
      <bottom/>
    </border>
    <border>
      <left style="thin">
        <color rgb="00C9D3DC"/>
      </left>
      <right/>
      <top/>
      <bottom style="thin">
        <color rgb="00C9D3DC"/>
      </bottom>
    </border>
    <border>
      <left/>
      <right/>
      <top/>
      <bottom style="thin">
        <color rgb="00C9D3DC"/>
      </bottom>
    </border>
    <border>
      <left/>
      <right style="thin">
        <color rgb="00C9D3DC"/>
      </right>
      <top/>
      <bottom style="thin">
        <color rgb="00C9D3DC"/>
      </bottom>
    </border>
    <border>
      <left style="thin">
        <color rgb="00C9D3DC"/>
      </left>
      <right style="thin">
        <color rgb="00C9D3DC"/>
      </right>
      <top style="thin">
        <color rgb="00C9D3DC"/>
      </top>
      <bottom style="thin">
        <color rgb="00C9D3DC"/>
      </bottom>
    </border>
    <border>
      <left/>
      <right/>
      <top style="thin">
        <color rgb="00C9D3DC"/>
      </top>
      <bottom/>
      <diagonal/>
    </border>
    <border>
      <left style="thin">
        <color rgb="00C9D3DC"/>
      </left>
      <right/>
      <top/>
      <bottom/>
      <diagonal/>
    </border>
    <border>
      <left/>
      <right style="thin">
        <color rgb="00C9D3DC"/>
      </right>
      <top style="thin">
        <color rgb="00C9D3DC"/>
      </top>
      <bottom/>
      <diagonal/>
    </border>
    <border>
      <left/>
      <right style="thin">
        <color rgb="00C9D3DC"/>
      </right>
      <top/>
      <bottom/>
      <diagonal/>
    </border>
    <border>
      <left style="thin">
        <color rgb="00C9D3DC"/>
      </left>
      <right/>
      <top/>
      <bottom style="thin">
        <color rgb="00C9D3DC"/>
      </bottom>
      <diagonal/>
    </border>
    <border>
      <left/>
      <right/>
      <top/>
      <bottom style="thin">
        <color rgb="00C9D3DC"/>
      </bottom>
      <diagonal/>
    </border>
    <border>
      <left/>
      <right style="thin">
        <color rgb="00C9D3DC"/>
      </right>
      <top/>
      <bottom style="thin">
        <color rgb="00C9D3DC"/>
      </bottom>
      <diagonal/>
    </border>
    <border>
      <bottom style="thin">
        <color rgb="007A8B9A"/>
      </bottom>
    </border>
    <border>
      <left style="thin">
        <color rgb="00CDEBF8"/>
      </left>
      <right/>
      <top style="thin">
        <color rgb="00CDEBF8"/>
      </top>
      <bottom/>
    </border>
    <border>
      <left/>
      <right style="thin">
        <color rgb="00CDEBF8"/>
      </right>
      <top style="thin">
        <color rgb="00CDEBF8"/>
      </top>
      <bottom/>
    </border>
    <border>
      <left style="thin">
        <color rgb="00CDEBF8"/>
      </left>
      <right/>
      <top/>
      <bottom/>
    </border>
    <border>
      <left/>
      <right style="thin">
        <color rgb="00CDEBF8"/>
      </right>
      <top/>
      <bottom/>
    </border>
    <border>
      <left style="thin">
        <color rgb="00CDEBF8"/>
      </left>
      <right/>
      <top/>
      <bottom style="thin">
        <color rgb="00CDEBF8"/>
      </bottom>
    </border>
    <border>
      <left/>
      <right style="thin">
        <color rgb="00CDEBF8"/>
      </right>
      <top/>
      <bottom style="thin">
        <color rgb="00CDEBF8"/>
      </bottom>
    </border>
    <border>
      <left style="thin">
        <color rgb="00CDEBF8"/>
      </left>
      <right style="thin">
        <color rgb="00CDEBF8"/>
      </right>
      <top style="thin">
        <color rgb="00CDEBF8"/>
      </top>
      <bottom/>
    </border>
    <border>
      <left/>
      <right/>
      <top style="thin">
        <color rgb="00CDEBF8"/>
      </top>
      <bottom/>
      <diagonal/>
    </border>
    <border>
      <left/>
      <right style="thin">
        <color rgb="00CDEBF8"/>
      </right>
      <top style="thin">
        <color rgb="00CDEBF8"/>
      </top>
      <bottom/>
      <diagonal/>
    </border>
    <border>
      <left style="thin">
        <color rgb="00E3E8EE"/>
      </left>
      <right/>
      <top style="thin">
        <color rgb="00E3E8EE"/>
      </top>
      <bottom style="thin">
        <color rgb="00E3E8EE"/>
      </bottom>
    </border>
    <border>
      <left/>
      <right/>
      <top style="thin">
        <color rgb="00E3E8EE"/>
      </top>
      <bottom style="thin">
        <color rgb="00E3E8EE"/>
      </bottom>
    </border>
    <border>
      <left/>
      <right style="thin">
        <color rgb="00E3E8EE"/>
      </right>
      <top style="thin">
        <color rgb="00E3E8EE"/>
      </top>
      <bottom style="thin">
        <color rgb="00E3E8EE"/>
      </bottom>
    </border>
    <border>
      <left style="thin">
        <color rgb="00E3E8EE"/>
      </left>
      <right style="thin">
        <color rgb="00E3E8EE"/>
      </right>
      <top style="thin">
        <color rgb="00E3E8EE"/>
      </top>
      <bottom style="thin">
        <color rgb="00E3E8EE"/>
      </bottom>
    </border>
    <border>
      <left/>
      <right/>
      <top style="thin">
        <color rgb="00E3E8EE"/>
      </top>
      <bottom/>
      <diagonal/>
    </border>
    <border>
      <left/>
      <right style="thin">
        <color rgb="00E3E8EE"/>
      </right>
      <top style="thin">
        <color rgb="00E3E8EE"/>
      </top>
      <bottom/>
      <diagonal/>
    </border>
    <border>
      <left/>
      <right/>
      <top style="thin">
        <color rgb="00E3E8EE"/>
      </top>
      <bottom style="thin">
        <color rgb="00E3E8EE"/>
      </bottom>
      <diagonal/>
    </border>
    <border>
      <left/>
      <right style="thin">
        <color rgb="00E3E8EE"/>
      </right>
      <top style="thin">
        <color rgb="00E3E8EE"/>
      </top>
      <bottom style="thin">
        <color rgb="00E3E8EE"/>
      </bottom>
      <diagonal/>
    </border>
    <border>
      <left style="thin">
        <color rgb="00E3E8EE"/>
      </left>
      <right/>
      <top style="thin">
        <color rgb="00E3E8EE"/>
      </top>
      <bottom/>
    </border>
    <border>
      <left/>
      <right/>
      <top style="thin">
        <color rgb="00E3E8EE"/>
      </top>
      <bottom/>
    </border>
    <border>
      <left/>
      <right style="thin">
        <color rgb="00E3E8EE"/>
      </right>
      <top style="thin">
        <color rgb="00E3E8EE"/>
      </top>
      <bottom/>
    </border>
    <border>
      <left style="thin">
        <color rgb="00E3E8EE"/>
      </left>
      <right/>
      <top/>
      <bottom/>
    </border>
    <border>
      <left/>
      <right style="thin">
        <color rgb="00E3E8EE"/>
      </right>
      <top/>
      <bottom/>
    </border>
    <border>
      <left style="thin">
        <color rgb="00E3E8EE"/>
      </left>
      <right/>
      <top/>
      <bottom style="thin">
        <color rgb="00E3E8EE"/>
      </bottom>
    </border>
    <border>
      <left/>
      <right/>
      <top/>
      <bottom style="thin">
        <color rgb="00E3E8EE"/>
      </bottom>
    </border>
    <border>
      <left/>
      <right style="thin">
        <color rgb="00E3E8EE"/>
      </right>
      <top/>
      <bottom style="thin">
        <color rgb="00E3E8EE"/>
      </bottom>
    </border>
    <border>
      <left style="thin">
        <color rgb="00E3E8EE"/>
      </left>
      <right style="thin">
        <color rgb="00E3E8EE"/>
      </right>
      <top/>
      <bottom/>
    </border>
    <border>
      <left/>
      <right style="thin">
        <color rgb="00E3E8EE"/>
      </right>
      <top/>
      <bottom/>
      <diagonal/>
    </border>
    <border>
      <left style="thin">
        <color rgb="00E3E8EE"/>
      </left>
      <right style="thin">
        <color rgb="00E3E8EE"/>
      </right>
      <top style="thin">
        <color rgb="00E3E8EE"/>
      </top>
      <bottom/>
    </border>
    <border>
      <right style="thin">
        <color rgb="00E3E8EE"/>
      </right>
      <top style="medium">
        <color rgb="00FFFFFF"/>
      </top>
      <bottom style="medium">
        <color rgb="00FFFFFF"/>
      </bottom>
    </border>
    <border>
      <left style="thin">
        <color rgb="00E3E8EE"/>
      </left>
      <right/>
      <bottom style="thin">
        <color rgb="00E3E8EE"/>
      </bottom>
    </border>
    <border>
      <left/>
      <right/>
      <bottom style="thin">
        <color rgb="00E3E8EE"/>
      </bottom>
    </border>
    <border>
      <left/>
      <right style="thin">
        <color rgb="00E3E8EE"/>
      </right>
      <bottom style="thin">
        <color rgb="00E3E8EE"/>
      </bottom>
    </border>
    <border>
      <left style="thin">
        <color rgb="00E3E8EE"/>
      </left>
      <right/>
      <bottom style="thin">
        <color rgb="00F0F3F6"/>
      </bottom>
    </border>
    <border>
      <left/>
      <right/>
      <bottom style="thin">
        <color rgb="00F0F3F6"/>
      </bottom>
    </border>
    <border>
      <left/>
      <right style="thin">
        <color rgb="00E3E8EE"/>
      </right>
      <bottom style="thin">
        <color rgb="00F0F3F6"/>
      </bottom>
    </border>
    <border>
      <left style="thin">
        <color rgb="00E3E8EE"/>
      </left>
      <right/>
      <top style="thick">
        <color rgb="00FFFFFF"/>
      </top>
      <bottom style="thick">
        <color rgb="00FFFFFF"/>
      </bottom>
    </border>
    <border>
      <left/>
      <right/>
      <top style="thick">
        <color rgb="00FFFFFF"/>
      </top>
      <bottom style="thick">
        <color rgb="00FFFFFF"/>
      </bottom>
    </border>
    <border>
      <left/>
      <right style="thin">
        <color rgb="00E3E8EE"/>
      </right>
      <top style="thick">
        <color rgb="00FFFFFF"/>
      </top>
      <bottom style="thick">
        <color rgb="00FFFFFF"/>
      </bottom>
    </border>
    <border>
      <top style="thin">
        <color rgb="00E3E8EE"/>
      </top>
    </border>
    <border>
      <right/>
      <top style="thin">
        <color rgb="00E3E8EE"/>
      </top>
    </border>
    <border>
      <right style="thin">
        <color rgb="00E3E8EE"/>
      </right>
      <top style="thin">
        <color rgb="00E3E8EE"/>
      </top>
    </border>
  </borders>
  <cellStyleXfs count="1">
    <xf numFmtId="0" fontId="0" fillId="0" borderId="0"/>
  </cellStyleXfs>
  <cellXfs count="236">
    <xf numFmtId="0" fontId="0" fillId="0" borderId="0" pivotButton="0" quotePrefix="0" xfId="0"/>
    <xf numFmtId="0" fontId="0" fillId="2" borderId="0" pivotButton="0" quotePrefix="0" xfId="0"/>
    <xf numFmtId="0" fontId="0" fillId="2" borderId="1" pivotButton="0" quotePrefix="0" xfId="0"/>
    <xf numFmtId="0" fontId="0" fillId="16" borderId="0" pivotButton="0" quotePrefix="0" xfId="0"/>
    <xf numFmtId="0" fontId="3" fillId="16" borderId="0" applyAlignment="1" pivotButton="0" quotePrefix="0" xfId="0">
      <alignment horizontal="left" vertical="center"/>
    </xf>
    <xf numFmtId="0" fontId="4" fillId="2" borderId="57" applyAlignment="1" pivotButton="0" quotePrefix="0" xfId="0">
      <alignment horizontal="left" vertical="center" indent="1"/>
    </xf>
    <xf numFmtId="0" fontId="0" fillId="0" borderId="60" pivotButton="0" quotePrefix="0" xfId="0"/>
    <xf numFmtId="0" fontId="0" fillId="0" borderId="61" pivotButton="0" quotePrefix="0" xfId="0"/>
    <xf numFmtId="175" fontId="6" fillId="2" borderId="57" applyAlignment="1" pivotButton="0" quotePrefix="0" xfId="0">
      <alignment horizontal="center" vertical="center"/>
    </xf>
    <xf numFmtId="0" fontId="4" fillId="16" borderId="0" applyAlignment="1" pivotButton="0" quotePrefix="0" xfId="0">
      <alignment horizontal="left" vertical="center"/>
    </xf>
    <xf numFmtId="0" fontId="0" fillId="3" borderId="62" pivotButton="0" quotePrefix="0" xfId="0"/>
    <xf numFmtId="0" fontId="0" fillId="3" borderId="63" pivotButton="0" quotePrefix="0" xfId="0"/>
    <xf numFmtId="0" fontId="0" fillId="3" borderId="64" pivotButton="0" quotePrefix="0" xfId="0"/>
    <xf numFmtId="0" fontId="0" fillId="13" borderId="62" pivotButton="0" quotePrefix="0" xfId="0"/>
    <xf numFmtId="0" fontId="0" fillId="13" borderId="63" pivotButton="0" quotePrefix="0" xfId="0"/>
    <xf numFmtId="0" fontId="0" fillId="13" borderId="64" pivotButton="0" quotePrefix="0" xfId="0"/>
    <xf numFmtId="0" fontId="0" fillId="17" borderId="62" pivotButton="0" quotePrefix="0" xfId="0"/>
    <xf numFmtId="0" fontId="0" fillId="17" borderId="63" pivotButton="0" quotePrefix="0" xfId="0"/>
    <xf numFmtId="0" fontId="0" fillId="17" borderId="64" pivotButton="0" quotePrefix="0" xfId="0"/>
    <xf numFmtId="0" fontId="0" fillId="6" borderId="62" pivotButton="0" quotePrefix="0" xfId="0"/>
    <xf numFmtId="0" fontId="0" fillId="6" borderId="63" pivotButton="0" quotePrefix="0" xfId="0"/>
    <xf numFmtId="0" fontId="0" fillId="6" borderId="64" pivotButton="0" quotePrefix="0" xfId="0"/>
    <xf numFmtId="0" fontId="0" fillId="18" borderId="62" pivotButton="0" quotePrefix="0" xfId="0"/>
    <xf numFmtId="0" fontId="0" fillId="18" borderId="63" pivotButton="0" quotePrefix="0" xfId="0"/>
    <xf numFmtId="0" fontId="0" fillId="18" borderId="64" pivotButton="0" quotePrefix="0" xfId="0"/>
    <xf numFmtId="0" fontId="0" fillId="19" borderId="62" pivotButton="0" quotePrefix="0" xfId="0"/>
    <xf numFmtId="0" fontId="0" fillId="19" borderId="63" pivotButton="0" quotePrefix="0" xfId="0"/>
    <xf numFmtId="0" fontId="0" fillId="19" borderId="64" pivotButton="0" quotePrefix="0" xfId="0"/>
    <xf numFmtId="0" fontId="0" fillId="2" borderId="65" pivotButton="0" quotePrefix="0" xfId="0"/>
    <xf numFmtId="0" fontId="0" fillId="2" borderId="31" pivotButton="0" quotePrefix="0" xfId="0"/>
    <xf numFmtId="0" fontId="0" fillId="2" borderId="66" pivotButton="0" quotePrefix="0" xfId="0"/>
    <xf numFmtId="0" fontId="41" fillId="2" borderId="70" applyAlignment="1" pivotButton="0" quotePrefix="0" xfId="0">
      <alignment horizontal="left" vertical="center" indent="1"/>
    </xf>
    <xf numFmtId="0" fontId="0" fillId="0" borderId="71" pivotButton="0" quotePrefix="0" xfId="0"/>
    <xf numFmtId="3" fontId="42" fillId="2" borderId="70" applyAlignment="1" pivotButton="0" quotePrefix="0" xfId="0">
      <alignment horizontal="left" vertical="center" indent="1"/>
    </xf>
    <xf numFmtId="3" fontId="44" fillId="2" borderId="70" applyAlignment="1" pivotButton="0" quotePrefix="0" xfId="0">
      <alignment horizontal="left" vertical="center" indent="1"/>
    </xf>
    <xf numFmtId="0" fontId="43" fillId="2" borderId="70" applyAlignment="1" pivotButton="0" quotePrefix="0" xfId="0">
      <alignment horizontal="left" vertical="center" indent="1"/>
    </xf>
    <xf numFmtId="0" fontId="0" fillId="2" borderId="67" pivotButton="0" quotePrefix="0" xfId="0"/>
    <xf numFmtId="0" fontId="0" fillId="2" borderId="68" pivotButton="0" quotePrefix="0" xfId="0"/>
    <xf numFmtId="0" fontId="0" fillId="2" borderId="69" pivotButton="0" quotePrefix="0" xfId="0"/>
    <xf numFmtId="0" fontId="37" fillId="2" borderId="0" applyAlignment="1" pivotButton="0" quotePrefix="0" xfId="0">
      <alignment horizontal="left" vertical="center" indent="1"/>
    </xf>
    <xf numFmtId="0" fontId="45" fillId="2" borderId="62" applyAlignment="1" pivotButton="0" quotePrefix="0" xfId="0">
      <alignment horizontal="left" vertical="center" indent="1"/>
    </xf>
    <xf numFmtId="0" fontId="0" fillId="0" borderId="58" pivotButton="0" quotePrefix="0" xfId="0"/>
    <xf numFmtId="0" fontId="46" fillId="2" borderId="64" applyAlignment="1" pivotButton="0" quotePrefix="0" xfId="0">
      <alignment horizontal="right" vertical="center" indent="1"/>
    </xf>
    <xf numFmtId="0" fontId="0" fillId="0" borderId="59" pivotButton="0" quotePrefix="0" xfId="0"/>
    <xf numFmtId="0" fontId="45" fillId="2" borderId="72" applyAlignment="1" pivotButton="0" quotePrefix="0" xfId="0">
      <alignment horizontal="left" vertical="center" indent="1"/>
    </xf>
    <xf numFmtId="0" fontId="0" fillId="3" borderId="0" pivotButton="0" quotePrefix="0" xfId="0"/>
    <xf numFmtId="0" fontId="2" fillId="4" borderId="2" applyAlignment="1" pivotButton="0" quotePrefix="0" xfId="0">
      <alignment horizontal="left" vertical="center" indent="1"/>
    </xf>
    <xf numFmtId="0" fontId="0" fillId="4" borderId="1" pivotButton="0" quotePrefix="0" xfId="0"/>
    <xf numFmtId="0" fontId="50" fillId="2" borderId="31" applyAlignment="1" pivotButton="0" quotePrefix="0" xfId="0">
      <alignment horizontal="center" vertical="center"/>
    </xf>
    <xf numFmtId="0" fontId="51" fillId="2" borderId="31" applyAlignment="1" pivotButton="0" quotePrefix="0" xfId="0">
      <alignment horizontal="left" vertical="center"/>
    </xf>
    <xf numFmtId="3" fontId="7" fillId="2" borderId="66" applyAlignment="1" pivotButton="0" quotePrefix="0" xfId="0">
      <alignment horizontal="right" vertical="center" indent="1"/>
    </xf>
    <xf numFmtId="0" fontId="47" fillId="2" borderId="65" applyAlignment="1" pivotButton="0" quotePrefix="0" xfId="0">
      <alignment horizontal="left" vertical="center" indent="1"/>
    </xf>
    <xf numFmtId="176" fontId="22" fillId="4" borderId="73" applyAlignment="1" pivotButton="0" quotePrefix="0" xfId="0">
      <alignment horizontal="center" vertical="center"/>
    </xf>
    <xf numFmtId="0" fontId="1" fillId="2" borderId="2" applyAlignment="1" pivotButton="0" quotePrefix="0" xfId="0">
      <alignment horizontal="left" vertical="center" indent="1"/>
    </xf>
    <xf numFmtId="0" fontId="0" fillId="0" borderId="2" pivotButton="0" quotePrefix="0" xfId="0"/>
    <xf numFmtId="0" fontId="45" fillId="2" borderId="31" applyAlignment="1" pivotButton="0" quotePrefix="0" xfId="0">
      <alignment horizontal="center" vertical="center"/>
    </xf>
    <xf numFmtId="0" fontId="48" fillId="2" borderId="65" applyAlignment="1" pivotButton="0" quotePrefix="0" xfId="0">
      <alignment horizontal="left" vertical="center" indent="1"/>
    </xf>
    <xf numFmtId="0" fontId="52" fillId="2" borderId="31" applyAlignment="1" pivotButton="0" quotePrefix="0" xfId="0">
      <alignment horizontal="center" vertical="center"/>
    </xf>
    <xf numFmtId="0" fontId="53" fillId="2" borderId="31" applyAlignment="1" pivotButton="0" quotePrefix="0" xfId="0">
      <alignment horizontal="center" vertical="center"/>
    </xf>
    <xf numFmtId="0" fontId="54" fillId="2" borderId="31" applyAlignment="1" pivotButton="0" quotePrefix="0" xfId="0">
      <alignment horizontal="center" vertical="center"/>
    </xf>
    <xf numFmtId="0" fontId="55" fillId="2" borderId="31" applyAlignment="1" pivotButton="0" quotePrefix="0" xfId="0">
      <alignment horizontal="center" vertical="center"/>
    </xf>
    <xf numFmtId="0" fontId="56" fillId="2" borderId="31" applyAlignment="1" pivotButton="0" quotePrefix="0" xfId="0">
      <alignment horizontal="center" vertical="center"/>
    </xf>
    <xf numFmtId="0" fontId="57" fillId="2" borderId="31" applyAlignment="1" pivotButton="0" quotePrefix="0" xfId="0">
      <alignment horizontal="center" vertical="center"/>
    </xf>
    <xf numFmtId="0" fontId="58" fillId="2" borderId="31" applyAlignment="1" pivotButton="0" quotePrefix="0" xfId="0">
      <alignment horizontal="center" vertical="center"/>
    </xf>
    <xf numFmtId="0" fontId="0" fillId="2" borderId="83" pivotButton="0" quotePrefix="0" xfId="0"/>
    <xf numFmtId="0" fontId="26" fillId="2" borderId="84" applyAlignment="1" pivotButton="0" quotePrefix="0" xfId="0">
      <alignment horizontal="left" vertical="center"/>
    </xf>
    <xf numFmtId="0" fontId="0" fillId="0" borderId="84" pivotButton="0" quotePrefix="0" xfId="0"/>
    <xf numFmtId="3" fontId="7" fillId="2" borderId="85" applyAlignment="1" pivotButton="0" quotePrefix="0" xfId="0">
      <alignment horizontal="right" vertical="center" indent="1"/>
    </xf>
    <xf numFmtId="0" fontId="46" fillId="2" borderId="70" applyAlignment="1" pivotButton="0" quotePrefix="0" xfId="0">
      <alignment horizontal="left" vertical="center" indent="1"/>
    </xf>
    <xf numFmtId="0" fontId="2" fillId="15" borderId="51" applyAlignment="1" pivotButton="0" quotePrefix="0" xfId="0">
      <alignment horizontal="left" vertical="center" indent="1"/>
    </xf>
    <xf numFmtId="0" fontId="0" fillId="0" borderId="53" pivotButton="0" quotePrefix="0" xfId="0"/>
    <xf numFmtId="0" fontId="38" fillId="15" borderId="47" applyAlignment="1" pivotButton="0" quotePrefix="0" xfId="0">
      <alignment horizontal="left" vertical="center" indent="1"/>
    </xf>
    <xf numFmtId="1" fontId="6" fillId="15" borderId="48" applyAlignment="1" pivotButton="0" quotePrefix="0" xfId="0">
      <alignment horizontal="right" vertical="center" indent="1"/>
    </xf>
    <xf numFmtId="0" fontId="26" fillId="2" borderId="74" applyAlignment="1" pivotButton="0" quotePrefix="0" xfId="0">
      <alignment horizontal="left" vertical="center" indent="1"/>
    </xf>
    <xf numFmtId="0" fontId="0" fillId="0" borderId="75" pivotButton="0" quotePrefix="0" xfId="0"/>
    <xf numFmtId="0" fontId="26" fillId="2" borderId="75" applyAlignment="1" pivotButton="0" quotePrefix="0" xfId="0">
      <alignment horizontal="left" vertical="center" indent="1"/>
    </xf>
    <xf numFmtId="0" fontId="26" fillId="2" borderId="76" applyAlignment="1" pivotButton="0" quotePrefix="0" xfId="0">
      <alignment horizontal="center" vertical="center"/>
    </xf>
    <xf numFmtId="0" fontId="0" fillId="0" borderId="76" pivotButton="0" quotePrefix="0" xfId="0"/>
    <xf numFmtId="49" fontId="32" fillId="2" borderId="77" applyAlignment="1" pivotButton="0" quotePrefix="0" xfId="0">
      <alignment horizontal="left" vertical="center" indent="1"/>
    </xf>
    <xf numFmtId="0" fontId="0" fillId="0" borderId="78" pivotButton="0" quotePrefix="0" xfId="0"/>
    <xf numFmtId="49" fontId="18" fillId="2" borderId="78" applyAlignment="1" pivotButton="0" quotePrefix="0" xfId="0">
      <alignment horizontal="left" vertical="center" indent="1"/>
    </xf>
    <xf numFmtId="164" fontId="18" fillId="2" borderId="78" applyAlignment="1" pivotButton="0" quotePrefix="0" xfId="0">
      <alignment horizontal="left" vertical="center" indent="1"/>
    </xf>
    <xf numFmtId="177" fontId="39" fillId="2" borderId="79" applyAlignment="1" pivotButton="0" quotePrefix="0" xfId="0">
      <alignment horizontal="center" vertical="center"/>
    </xf>
    <xf numFmtId="0" fontId="0" fillId="0" borderId="79" pivotButton="0" quotePrefix="0" xfId="0"/>
    <xf numFmtId="169" fontId="18" fillId="2" borderId="77" applyAlignment="1" pivotButton="0" quotePrefix="0" xfId="0">
      <alignment horizontal="left" vertical="center" indent="1"/>
    </xf>
    <xf numFmtId="49" fontId="32" fillId="2" borderId="78" applyAlignment="1" pivotButton="0" quotePrefix="0" xfId="0">
      <alignment horizontal="left" vertical="center" indent="1"/>
    </xf>
    <xf numFmtId="49" fontId="47" fillId="2" borderId="79" applyAlignment="1" pivotButton="0" quotePrefix="0" xfId="0">
      <alignment horizontal="center" vertical="center"/>
    </xf>
    <xf numFmtId="1" fontId="39" fillId="15" borderId="48" applyAlignment="1" pivotButton="0" quotePrefix="0" xfId="0">
      <alignment horizontal="right" vertical="center" indent="1"/>
    </xf>
    <xf numFmtId="167" fontId="39" fillId="15" borderId="48" applyAlignment="1" pivotButton="0" quotePrefix="0" xfId="0">
      <alignment horizontal="right" vertical="center" indent="1"/>
    </xf>
    <xf numFmtId="49" fontId="32" fillId="2" borderId="65" applyAlignment="1" pivotButton="0" quotePrefix="0" xfId="0">
      <alignment horizontal="left" vertical="center" indent="1"/>
    </xf>
    <xf numFmtId="49" fontId="18" fillId="2" borderId="31" applyAlignment="1" pivotButton="0" quotePrefix="0" xfId="0">
      <alignment horizontal="left" vertical="center" indent="1"/>
    </xf>
    <xf numFmtId="164" fontId="18" fillId="2" borderId="31" applyAlignment="1" pivotButton="0" quotePrefix="0" xfId="0">
      <alignment horizontal="left" vertical="center" indent="1"/>
    </xf>
    <xf numFmtId="177" fontId="39" fillId="2" borderId="66" applyAlignment="1" pivotButton="0" quotePrefix="0" xfId="0">
      <alignment horizontal="center" vertical="center"/>
    </xf>
    <xf numFmtId="169" fontId="18" fillId="2" borderId="65" applyAlignment="1" pivotButton="0" quotePrefix="0" xfId="0">
      <alignment horizontal="left" vertical="center" indent="1"/>
    </xf>
    <xf numFmtId="49" fontId="32" fillId="2" borderId="31" applyAlignment="1" pivotButton="0" quotePrefix="0" xfId="0">
      <alignment horizontal="left" vertical="center" indent="1"/>
    </xf>
    <xf numFmtId="49" fontId="47" fillId="2" borderId="66" applyAlignment="1" pivotButton="0" quotePrefix="0" xfId="0">
      <alignment horizontal="center" vertical="center"/>
    </xf>
    <xf numFmtId="0" fontId="0" fillId="15" borderId="49" pivotButton="0" quotePrefix="0" xfId="0"/>
    <xf numFmtId="0" fontId="0" fillId="15" borderId="50" pivotButton="0" quotePrefix="0" xfId="0"/>
    <xf numFmtId="0" fontId="26" fillId="2" borderId="75" applyAlignment="1" pivotButton="0" quotePrefix="0" xfId="0">
      <alignment horizontal="center" vertical="center"/>
    </xf>
    <xf numFmtId="1" fontId="6" fillId="2" borderId="78" applyAlignment="1" pivotButton="0" quotePrefix="0" xfId="0">
      <alignment horizontal="center" vertical="center"/>
    </xf>
    <xf numFmtId="1" fontId="18" fillId="2" borderId="78" applyAlignment="1" pivotButton="0" quotePrefix="0" xfId="0">
      <alignment horizontal="center" vertical="center"/>
    </xf>
    <xf numFmtId="0" fontId="10" fillId="3" borderId="80" applyAlignment="1" pivotButton="0" quotePrefix="0" xfId="0">
      <alignment horizontal="center" vertical="center"/>
    </xf>
    <xf numFmtId="0" fontId="0" fillId="3" borderId="81" pivotButton="0" quotePrefix="0" xfId="0"/>
    <xf numFmtId="0" fontId="0" fillId="3" borderId="82" pivotButton="0" quotePrefix="0" xfId="0"/>
    <xf numFmtId="0" fontId="59" fillId="2" borderId="31" applyAlignment="1" pivotButton="0" quotePrefix="0" xfId="0">
      <alignment horizontal="center" vertical="center"/>
    </xf>
    <xf numFmtId="0" fontId="7" fillId="4" borderId="80" applyAlignment="1" pivotButton="0" quotePrefix="0" xfId="0">
      <alignment horizontal="center" vertical="center"/>
    </xf>
    <xf numFmtId="0" fontId="0" fillId="4" borderId="81" pivotButton="0" quotePrefix="0" xfId="0"/>
    <xf numFmtId="0" fontId="0" fillId="4" borderId="82" pivotButton="0" quotePrefix="0" xfId="0"/>
    <xf numFmtId="0" fontId="60" fillId="2" borderId="31" applyAlignment="1" pivotButton="0" quotePrefix="0" xfId="0">
      <alignment horizontal="center" vertical="center"/>
    </xf>
    <xf numFmtId="1" fontId="6" fillId="2" borderId="31" applyAlignment="1" pivotButton="0" quotePrefix="0" xfId="0">
      <alignment horizontal="center" vertical="center"/>
    </xf>
    <xf numFmtId="1" fontId="18" fillId="2" borderId="31" applyAlignment="1" pivotButton="0" quotePrefix="0" xfId="0">
      <alignment horizontal="center" vertical="center"/>
    </xf>
    <xf numFmtId="0" fontId="40" fillId="2" borderId="0" applyAlignment="1" pivotButton="0" quotePrefix="0" xfId="0">
      <alignment horizontal="left" vertical="center" indent="1"/>
    </xf>
    <xf numFmtId="0" fontId="49" fillId="16" borderId="0" applyAlignment="1" pivotButton="0" quotePrefix="0" xfId="0">
      <alignment horizontal="left" vertical="center"/>
    </xf>
    <xf numFmtId="0" fontId="3" fillId="0" borderId="0" applyAlignment="1" pivotButton="0" quotePrefix="0" xfId="0">
      <alignment horizontal="left" vertical="center"/>
    </xf>
    <xf numFmtId="0" fontId="6" fillId="4" borderId="3" applyAlignment="1" pivotButton="0" quotePrefix="0" xfId="0">
      <alignment horizontal="center" vertical="center"/>
    </xf>
    <xf numFmtId="0" fontId="0" fillId="4" borderId="4" pivotButton="0" quotePrefix="0" xfId="0"/>
    <xf numFmtId="0" fontId="5" fillId="3" borderId="3" applyAlignment="1" pivotButton="0" quotePrefix="0" xfId="0">
      <alignment horizontal="center" vertical="center"/>
    </xf>
    <xf numFmtId="0" fontId="0" fillId="3" borderId="4" pivotButton="0" quotePrefix="0" xfId="0"/>
    <xf numFmtId="0" fontId="4" fillId="0" borderId="0" applyAlignment="1" pivotButton="0" quotePrefix="0" xfId="0">
      <alignment horizontal="left" vertical="center"/>
    </xf>
    <xf numFmtId="0" fontId="7" fillId="4" borderId="0" applyAlignment="1" pivotButton="0" quotePrefix="0" xfId="0">
      <alignment horizontal="center" vertical="center"/>
    </xf>
    <xf numFmtId="0" fontId="0" fillId="4" borderId="5" pivotButton="0" quotePrefix="0" xfId="0"/>
    <xf numFmtId="0" fontId="8" fillId="5" borderId="0" applyAlignment="1" pivotButton="0" quotePrefix="0" xfId="0">
      <alignment horizontal="center" vertical="center"/>
    </xf>
    <xf numFmtId="0" fontId="0" fillId="5" borderId="5" pivotButton="0" quotePrefix="0" xfId="0"/>
    <xf numFmtId="0" fontId="9" fillId="4" borderId="0" applyAlignment="1" pivotButton="0" quotePrefix="0" xfId="0">
      <alignment horizontal="center" vertical="center"/>
    </xf>
    <xf numFmtId="0" fontId="10" fillId="6" borderId="6" applyAlignment="1" pivotButton="0" quotePrefix="0" xfId="0">
      <alignment horizontal="left" vertical="center" wrapText="1" indent="1"/>
    </xf>
    <xf numFmtId="0" fontId="10" fillId="6" borderId="6" applyAlignment="1" pivotButton="0" quotePrefix="0" xfId="0">
      <alignment horizontal="center" vertical="center" wrapText="1"/>
    </xf>
    <xf numFmtId="0" fontId="10" fillId="7" borderId="6" applyAlignment="1" pivotButton="0" quotePrefix="0" xfId="0">
      <alignment horizontal="left" vertical="center" wrapText="1" indent="1"/>
    </xf>
    <xf numFmtId="49" fontId="11" fillId="0" borderId="7" applyAlignment="1" pivotButton="0" quotePrefix="0" xfId="0">
      <alignment horizontal="left" vertical="center" indent="1"/>
    </xf>
    <xf numFmtId="1" fontId="11" fillId="0" borderId="7" applyAlignment="1" pivotButton="0" quotePrefix="0" xfId="0">
      <alignment horizontal="center" vertical="center"/>
    </xf>
    <xf numFmtId="1" fontId="11" fillId="8" borderId="7" applyAlignment="1" pivotButton="0" quotePrefix="0" xfId="0">
      <alignment horizontal="center" vertical="center"/>
    </xf>
    <xf numFmtId="49" fontId="11" fillId="8" borderId="7" applyAlignment="1" pivotButton="0" quotePrefix="0" xfId="0">
      <alignment horizontal="left" vertical="center" indent="1"/>
    </xf>
    <xf numFmtId="0" fontId="12" fillId="9" borderId="0" applyAlignment="1" pivotButton="0" quotePrefix="0" xfId="0">
      <alignment horizontal="center" vertical="center"/>
    </xf>
    <xf numFmtId="0" fontId="0" fillId="9" borderId="5" pivotButton="0" quotePrefix="0" xfId="0"/>
    <xf numFmtId="49" fontId="11" fillId="0" borderId="7" applyAlignment="1" pivotButton="0" quotePrefix="0" xfId="0">
      <alignment horizontal="center" vertical="center"/>
    </xf>
    <xf numFmtId="164" fontId="11" fillId="0" borderId="7" applyAlignment="1" pivotButton="0" quotePrefix="0" xfId="0">
      <alignment horizontal="left" vertical="center" indent="1"/>
    </xf>
    <xf numFmtId="165" fontId="11" fillId="8" borderId="7" applyAlignment="1" pivotButton="0" quotePrefix="0" xfId="0">
      <alignment horizontal="left" vertical="center" indent="1"/>
    </xf>
    <xf numFmtId="0" fontId="13" fillId="10" borderId="0" applyAlignment="1" pivotButton="0" quotePrefix="0" xfId="0">
      <alignment horizontal="center" vertical="center"/>
    </xf>
    <xf numFmtId="0" fontId="0" fillId="10" borderId="5" pivotButton="0" quotePrefix="0" xfId="0"/>
    <xf numFmtId="164" fontId="11" fillId="8" borderId="7" applyAlignment="1" pivotButton="0" quotePrefix="0" xfId="0">
      <alignment horizontal="left" vertical="center" indent="1"/>
    </xf>
    <xf numFmtId="166" fontId="11" fillId="8" borderId="7" applyAlignment="1" pivotButton="0" quotePrefix="0" xfId="0">
      <alignment horizontal="center" vertical="center"/>
    </xf>
    <xf numFmtId="165" fontId="11" fillId="0" borderId="7" applyAlignment="1" pivotButton="0" quotePrefix="0" xfId="0">
      <alignment horizontal="left" vertical="center" indent="1"/>
    </xf>
    <xf numFmtId="0" fontId="19" fillId="4" borderId="17" applyAlignment="1" pivotButton="0" quotePrefix="0" xfId="0">
      <alignment horizontal="center" vertical="center"/>
    </xf>
    <xf numFmtId="0" fontId="17" fillId="4" borderId="18" applyAlignment="1" pivotButton="0" quotePrefix="0" xfId="0">
      <alignment horizontal="left" vertical="center" indent="1"/>
    </xf>
    <xf numFmtId="0" fontId="0" fillId="0" borderId="15" pivotButton="0" quotePrefix="0" xfId="0"/>
    <xf numFmtId="0" fontId="0" fillId="0" borderId="16" pivotButton="0" quotePrefix="0" xfId="0"/>
    <xf numFmtId="0" fontId="20" fillId="0" borderId="0" applyAlignment="1" pivotButton="0" quotePrefix="0" xfId="0">
      <alignment horizontal="left" vertical="center"/>
    </xf>
    <xf numFmtId="0" fontId="9" fillId="0" borderId="0" applyAlignment="1" pivotButton="0" quotePrefix="0" xfId="0">
      <alignment horizontal="right" vertical="center" indent="1"/>
    </xf>
    <xf numFmtId="0" fontId="10" fillId="6" borderId="0" applyAlignment="1" pivotButton="0" quotePrefix="0" xfId="0">
      <alignment horizontal="left" vertical="center" indent="1"/>
    </xf>
    <xf numFmtId="0" fontId="11" fillId="0" borderId="7" applyAlignment="1" pivotButton="0" quotePrefix="0" xfId="0">
      <alignment horizontal="left" vertical="center" indent="1"/>
    </xf>
    <xf numFmtId="0" fontId="14" fillId="0" borderId="7" applyAlignment="1" pivotButton="0" quotePrefix="0" xfId="0">
      <alignment horizontal="left" vertical="center" indent="1"/>
    </xf>
    <xf numFmtId="0" fontId="11" fillId="0" borderId="7" applyAlignment="1" pivotButton="0" quotePrefix="0" xfId="0">
      <alignment horizontal="center" vertical="center"/>
    </xf>
    <xf numFmtId="0" fontId="11" fillId="12" borderId="7" applyAlignment="1" pivotButton="0" quotePrefix="0" xfId="0">
      <alignment horizontal="left" vertical="center" indent="1"/>
    </xf>
    <xf numFmtId="0" fontId="14" fillId="12" borderId="7" applyAlignment="1" pivotButton="0" quotePrefix="0" xfId="0">
      <alignment horizontal="left" vertical="center" indent="1"/>
    </xf>
    <xf numFmtId="0" fontId="11" fillId="12" borderId="7" applyAlignment="1" pivotButton="0" quotePrefix="0" xfId="0">
      <alignment horizontal="center" vertical="center"/>
    </xf>
    <xf numFmtId="0" fontId="8" fillId="0" borderId="0" applyAlignment="1" pivotButton="0" quotePrefix="0" xfId="0">
      <alignment horizontal="right" vertical="center" indent="1"/>
    </xf>
    <xf numFmtId="0" fontId="21" fillId="0" borderId="0" applyAlignment="1" pivotButton="0" quotePrefix="0" xfId="0">
      <alignment horizontal="left" vertical="center" indent="1"/>
    </xf>
    <xf numFmtId="0" fontId="22" fillId="0" borderId="0" applyAlignment="1" pivotButton="0" quotePrefix="0" xfId="0">
      <alignment horizontal="left" vertical="center" indent="1"/>
    </xf>
    <xf numFmtId="0" fontId="14" fillId="0" borderId="0" applyAlignment="1" pivotButton="0" quotePrefix="0" xfId="0">
      <alignment horizontal="right" vertical="center" indent="1"/>
    </xf>
    <xf numFmtId="170" fontId="23" fillId="4" borderId="12" applyAlignment="1" pivotButton="0" quotePrefix="0" xfId="0">
      <alignment horizontal="center" vertical="center"/>
    </xf>
    <xf numFmtId="0" fontId="24" fillId="0" borderId="0" applyAlignment="1" pivotButton="0" quotePrefix="0" xfId="0">
      <alignment horizontal="left" vertical="center" indent="1"/>
    </xf>
    <xf numFmtId="0" fontId="25" fillId="0" borderId="0" applyAlignment="1" pivotButton="0" quotePrefix="0" xfId="0">
      <alignment horizontal="right" vertical="center" indent="1"/>
    </xf>
    <xf numFmtId="172" fontId="25" fillId="0" borderId="0" applyAlignment="1" pivotButton="0" quotePrefix="0" xfId="0">
      <alignment horizontal="left" vertical="center"/>
    </xf>
    <xf numFmtId="173" fontId="25" fillId="0" borderId="0" applyAlignment="1" pivotButton="0" quotePrefix="0" xfId="0">
      <alignment horizontal="left" vertical="center"/>
    </xf>
    <xf numFmtId="174" fontId="25" fillId="0" borderId="0" applyAlignment="1" pivotButton="0" quotePrefix="0" xfId="0">
      <alignment horizontal="right" vertical="center"/>
    </xf>
    <xf numFmtId="0" fontId="0" fillId="13" borderId="0" pivotButton="0" quotePrefix="0" xfId="0"/>
    <xf numFmtId="0" fontId="20" fillId="0" borderId="19" applyAlignment="1" pivotButton="0" quotePrefix="0" xfId="0">
      <alignment horizontal="left" vertical="center"/>
    </xf>
    <xf numFmtId="0" fontId="0" fillId="0" borderId="19" pivotButton="0" quotePrefix="0" xfId="0"/>
    <xf numFmtId="0" fontId="26" fillId="14" borderId="20" applyAlignment="1" pivotButton="0" quotePrefix="0" xfId="0">
      <alignment horizontal="left" vertical="center" indent="1"/>
    </xf>
    <xf numFmtId="0" fontId="0" fillId="14" borderId="21" pivotButton="0" quotePrefix="0" xfId="0"/>
    <xf numFmtId="1" fontId="27" fillId="14" borderId="22" applyAlignment="1" pivotButton="0" quotePrefix="0" xfId="0">
      <alignment horizontal="left" vertical="center" indent="1"/>
    </xf>
    <xf numFmtId="0" fontId="0" fillId="14" borderId="23" pivotButton="0" quotePrefix="0" xfId="0"/>
    <xf numFmtId="1" fontId="28" fillId="14" borderId="22" applyAlignment="1" pivotButton="0" quotePrefix="0" xfId="0">
      <alignment horizontal="left" vertical="center" indent="1"/>
    </xf>
    <xf numFmtId="1" fontId="29" fillId="14" borderId="22" applyAlignment="1" pivotButton="0" quotePrefix="0" xfId="0">
      <alignment horizontal="left" vertical="center" indent="1"/>
    </xf>
    <xf numFmtId="167" fontId="28" fillId="14" borderId="22" applyAlignment="1" pivotButton="0" quotePrefix="0" xfId="0">
      <alignment horizontal="left" vertical="center" indent="1"/>
    </xf>
    <xf numFmtId="167" fontId="30" fillId="14" borderId="22" applyAlignment="1" pivotButton="0" quotePrefix="0" xfId="0">
      <alignment horizontal="left" vertical="center" indent="1"/>
    </xf>
    <xf numFmtId="0" fontId="35" fillId="15" borderId="45" applyAlignment="1" pivotButton="0" quotePrefix="0" xfId="0">
      <alignment horizontal="left" vertical="center" indent="1"/>
    </xf>
    <xf numFmtId="0" fontId="0" fillId="15" borderId="46" pivotButton="0" quotePrefix="0" xfId="0"/>
    <xf numFmtId="0" fontId="31" fillId="6" borderId="0" applyAlignment="1" pivotButton="0" quotePrefix="0" xfId="0">
      <alignment horizontal="left" vertical="center" wrapText="1" indent="1"/>
    </xf>
    <xf numFmtId="0" fontId="0" fillId="6" borderId="0" pivotButton="0" quotePrefix="0" xfId="0"/>
    <xf numFmtId="0" fontId="31" fillId="6" borderId="0" applyAlignment="1" pivotButton="0" quotePrefix="0" xfId="0">
      <alignment horizontal="center" vertical="center" wrapText="1"/>
    </xf>
    <xf numFmtId="0" fontId="36" fillId="15" borderId="47" applyAlignment="1" pivotButton="0" quotePrefix="0" xfId="0">
      <alignment horizontal="left" vertical="top" wrapText="1" indent="1"/>
    </xf>
    <xf numFmtId="0" fontId="0" fillId="15" borderId="48" pivotButton="0" quotePrefix="0" xfId="0"/>
    <xf numFmtId="49" fontId="32" fillId="2" borderId="25" applyAlignment="1" pivotButton="0" quotePrefix="0" xfId="0">
      <alignment horizontal="left" vertical="center" indent="1"/>
    </xf>
    <xf numFmtId="0" fontId="0" fillId="2" borderId="25" pivotButton="0" quotePrefix="0" xfId="0"/>
    <xf numFmtId="1" fontId="18" fillId="2" borderId="25" applyAlignment="1" pivotButton="0" quotePrefix="0" xfId="0">
      <alignment horizontal="center" vertical="center"/>
    </xf>
    <xf numFmtId="9" fontId="18" fillId="2" borderId="25" applyAlignment="1" pivotButton="0" quotePrefix="0" xfId="0">
      <alignment horizontal="center" vertical="center"/>
    </xf>
    <xf numFmtId="0" fontId="0" fillId="15" borderId="47" pivotButton="0" quotePrefix="0" xfId="0"/>
    <xf numFmtId="49" fontId="7" fillId="4" borderId="26" applyAlignment="1" pivotButton="0" quotePrefix="0" xfId="0">
      <alignment horizontal="left" vertical="center" indent="1"/>
    </xf>
    <xf numFmtId="0" fontId="0" fillId="4" borderId="26" pivotButton="0" quotePrefix="0" xfId="0"/>
    <xf numFmtId="1" fontId="7" fillId="4" borderId="26" applyAlignment="1" pivotButton="0" quotePrefix="0" xfId="0">
      <alignment horizontal="center" vertical="center"/>
    </xf>
    <xf numFmtId="9" fontId="7" fillId="4" borderId="26" applyAlignment="1" pivotButton="0" quotePrefix="0" xfId="0">
      <alignment horizontal="center" vertical="center"/>
    </xf>
    <xf numFmtId="1" fontId="32" fillId="2" borderId="24" applyAlignment="1" pivotButton="0" quotePrefix="0" xfId="0">
      <alignment horizontal="left" vertical="center" indent="1"/>
    </xf>
    <xf numFmtId="49" fontId="32" fillId="2" borderId="24" applyAlignment="1" pivotButton="0" quotePrefix="0" xfId="0">
      <alignment horizontal="left" vertical="center" indent="1"/>
    </xf>
    <xf numFmtId="0" fontId="0" fillId="2" borderId="24" pivotButton="0" quotePrefix="0" xfId="0"/>
    <xf numFmtId="49" fontId="18" fillId="2" borderId="24" applyAlignment="1" pivotButton="0" quotePrefix="0" xfId="0">
      <alignment horizontal="left" vertical="center" indent="1"/>
    </xf>
    <xf numFmtId="49" fontId="18" fillId="2" borderId="24" applyAlignment="1" pivotButton="0" quotePrefix="0" xfId="0">
      <alignment horizontal="center" vertical="center"/>
    </xf>
    <xf numFmtId="1" fontId="18" fillId="2" borderId="24" applyAlignment="1" pivotButton="0" quotePrefix="0" xfId="0">
      <alignment horizontal="center" vertical="center"/>
    </xf>
    <xf numFmtId="1" fontId="32" fillId="12" borderId="24" applyAlignment="1" pivotButton="0" quotePrefix="0" xfId="0">
      <alignment horizontal="left" vertical="center" indent="1"/>
    </xf>
    <xf numFmtId="49" fontId="32" fillId="12" borderId="24" applyAlignment="1" pivotButton="0" quotePrefix="0" xfId="0">
      <alignment horizontal="left" vertical="center" indent="1"/>
    </xf>
    <xf numFmtId="0" fontId="0" fillId="12" borderId="24" pivotButton="0" quotePrefix="0" xfId="0"/>
    <xf numFmtId="49" fontId="18" fillId="12" borderId="24" applyAlignment="1" pivotButton="0" quotePrefix="0" xfId="0">
      <alignment horizontal="left" vertical="center" indent="1"/>
    </xf>
    <xf numFmtId="49" fontId="18" fillId="12" borderId="24" applyAlignment="1" pivotButton="0" quotePrefix="0" xfId="0">
      <alignment horizontal="center" vertical="center"/>
    </xf>
    <xf numFmtId="1" fontId="18" fillId="12" borderId="24" applyAlignment="1" pivotButton="0" quotePrefix="0" xfId="0">
      <alignment horizontal="center" vertical="center"/>
    </xf>
    <xf numFmtId="0" fontId="16" fillId="0" borderId="0" applyAlignment="1" pivotButton="0" quotePrefix="0" xfId="0">
      <alignment horizontal="left" vertical="center" indent="1"/>
    </xf>
    <xf numFmtId="49" fontId="18" fillId="2" borderId="25" applyAlignment="1" pivotButton="0" quotePrefix="0" xfId="0">
      <alignment horizontal="center" vertical="center"/>
    </xf>
    <xf numFmtId="166" fontId="18" fillId="2" borderId="25" applyAlignment="1" pivotButton="0" quotePrefix="0" xfId="0">
      <alignment horizontal="center" vertical="center"/>
    </xf>
    <xf numFmtId="1" fontId="7" fillId="2" borderId="25" applyAlignment="1" pivotButton="0" quotePrefix="0" xfId="0">
      <alignment horizontal="center" vertical="center"/>
    </xf>
    <xf numFmtId="3" fontId="18" fillId="2" borderId="25" applyAlignment="1" pivotButton="0" quotePrefix="0" xfId="0">
      <alignment horizontal="center" vertical="center"/>
    </xf>
    <xf numFmtId="49" fontId="7" fillId="4" borderId="26" applyAlignment="1" pivotButton="0" quotePrefix="0" xfId="0">
      <alignment horizontal="center" vertical="center"/>
    </xf>
    <xf numFmtId="49" fontId="33" fillId="4" borderId="26" applyAlignment="1" pivotButton="0" quotePrefix="0" xfId="0">
      <alignment horizontal="center" vertical="center"/>
    </xf>
    <xf numFmtId="3" fontId="7" fillId="4" borderId="26" applyAlignment="1" pivotButton="0" quotePrefix="0" xfId="0">
      <alignment horizontal="center" vertical="center"/>
    </xf>
    <xf numFmtId="0" fontId="11" fillId="2" borderId="36" applyAlignment="1" pivotButton="0" quotePrefix="0" xfId="0">
      <alignment vertical="top" wrapText="1" indent="1"/>
    </xf>
    <xf numFmtId="0" fontId="0" fillId="0" borderId="37" pivotButton="0" quotePrefix="0" xfId="0"/>
    <xf numFmtId="0" fontId="0" fillId="0" borderId="39" pivotButton="0" quotePrefix="0" xfId="0"/>
    <xf numFmtId="0" fontId="0" fillId="0" borderId="38" pivotButton="0" quotePrefix="0" xfId="0"/>
    <xf numFmtId="0" fontId="0" fillId="0" borderId="40" pivotButton="0" quotePrefix="0" xfId="0"/>
    <xf numFmtId="0" fontId="0" fillId="0" borderId="41" pivotButton="0" quotePrefix="0" xfId="0"/>
    <xf numFmtId="0" fontId="0" fillId="0" borderId="42" pivotButton="0" quotePrefix="0" xfId="0"/>
    <xf numFmtId="0" fontId="0" fillId="0" borderId="43" pivotButton="0" quotePrefix="0" xfId="0"/>
    <xf numFmtId="0" fontId="7" fillId="0" borderId="0" applyAlignment="1" pivotButton="0" quotePrefix="0" xfId="0">
      <alignment horizontal="left" vertical="center"/>
    </xf>
    <xf numFmtId="0" fontId="0" fillId="0" borderId="44" pivotButton="0" quotePrefix="0" xfId="0"/>
    <xf numFmtId="0" fontId="34" fillId="0" borderId="0" applyAlignment="1" pivotButton="0" quotePrefix="0" xfId="0">
      <alignment horizontal="left" vertical="center"/>
    </xf>
    <xf numFmtId="0" fontId="17" fillId="0" borderId="0" applyAlignment="1" pivotButton="0" quotePrefix="0" xfId="0">
      <alignment horizontal="left" vertical="center"/>
    </xf>
    <xf numFmtId="0" fontId="10" fillId="7" borderId="0" applyAlignment="1" pivotButton="0" quotePrefix="0" xfId="0">
      <alignment horizontal="left" vertical="center" wrapText="1" indent="1"/>
    </xf>
    <xf numFmtId="0" fontId="14" fillId="0" borderId="8" applyAlignment="1" pivotButton="0" quotePrefix="0" xfId="0">
      <alignment horizontal="left" vertical="center" indent="1"/>
    </xf>
    <xf numFmtId="49" fontId="15" fillId="4" borderId="8" applyAlignment="1" pivotButton="0" quotePrefix="0" xfId="0">
      <alignment horizontal="left" vertical="center" indent="1"/>
    </xf>
    <xf numFmtId="0" fontId="11" fillId="4" borderId="7" applyAlignment="1" pivotButton="0" quotePrefix="0" xfId="0">
      <alignment horizontal="left" vertical="center" indent="1"/>
    </xf>
    <xf numFmtId="1" fontId="15" fillId="4" borderId="8" applyAlignment="1" pivotButton="0" quotePrefix="0" xfId="0">
      <alignment horizontal="left" vertical="center" indent="1"/>
    </xf>
    <xf numFmtId="167" fontId="15" fillId="4" borderId="8" applyAlignment="1" pivotButton="0" quotePrefix="0" xfId="0">
      <alignment horizontal="left" vertical="center" indent="1"/>
    </xf>
    <xf numFmtId="0" fontId="11" fillId="11" borderId="7" applyAlignment="1" pivotButton="0" quotePrefix="0" xfId="0">
      <alignment horizontal="left" vertical="center" indent="1"/>
    </xf>
    <xf numFmtId="0" fontId="6" fillId="4" borderId="0" applyAlignment="1" pivotButton="0" quotePrefix="0" xfId="0">
      <alignment horizontal="left" vertical="center" indent="1"/>
    </xf>
    <xf numFmtId="0" fontId="0" fillId="4" borderId="0" pivotButton="0" quotePrefix="0" xfId="0"/>
    <xf numFmtId="0" fontId="18" fillId="4" borderId="0" applyAlignment="1" pivotButton="0" quotePrefix="0" xfId="0">
      <alignment horizontal="left" vertical="top" wrapText="1" indent="1"/>
    </xf>
    <xf numFmtId="168" fontId="0" fillId="0" borderId="0" pivotButton="0" quotePrefix="0" xfId="0"/>
    <xf numFmtId="169" fontId="0" fillId="0" borderId="0" pivotButton="0" quotePrefix="0" xfId="0"/>
    <xf numFmtId="170" fontId="0" fillId="0" borderId="0" pivotButton="0" quotePrefix="0" xfId="0"/>
  </cellXfs>
  <cellStyles count="1">
    <cellStyle name="Normal" xfId="0" builtinId="0" hidden="0"/>
  </cellStyles>
  <dxfs count="9">
    <dxf>
      <font>
        <name val="Segoe UI"/>
        <b val="1"/>
        <color rgb="001E7B34"/>
      </font>
    </dxf>
    <dxf>
      <font>
        <name val="Segoe UI"/>
        <b val="1"/>
        <color rgb="00C62828"/>
      </font>
    </dxf>
    <dxf>
      <font>
        <name val="Segoe UI"/>
        <b val="1"/>
        <color rgb="001E7B34"/>
      </font>
      <fill>
        <patternFill patternType="solid">
          <fgColor rgb="00E7F6E9"/>
          <bgColor rgb="00E7F6E9"/>
        </patternFill>
      </fill>
    </dxf>
    <dxf>
      <font>
        <name val="Segoe UI"/>
        <b val="1"/>
        <color rgb="00C62828"/>
      </font>
      <fill>
        <patternFill patternType="solid">
          <fgColor rgb="00FDECEC"/>
          <bgColor rgb="00FDECEC"/>
        </patternFill>
      </fill>
    </dxf>
    <dxf>
      <font>
        <name val="Segoe UI"/>
        <b val="1"/>
        <color rgb="00A15C00"/>
      </font>
      <fill>
        <patternFill patternType="solid">
          <fgColor rgb="00FFF4DF"/>
          <bgColor rgb="00FFF4DF"/>
        </patternFill>
      </fill>
    </dxf>
    <dxf>
      <font>
        <name val="Segoe UI"/>
        <b val="1"/>
        <color rgb="000077A8"/>
      </font>
      <fill>
        <patternFill patternType="solid">
          <fgColor rgb="00E3F6FD"/>
          <bgColor rgb="00E3F6FD"/>
        </patternFill>
      </fill>
    </dxf>
    <dxf>
      <fill>
        <patternFill patternType="solid">
          <fgColor rgb="00F8FAFC"/>
          <bgColor rgb="00F8FAFC"/>
        </patternFill>
      </fill>
    </dxf>
    <dxf>
      <fill>
        <patternFill patternType="solid">
          <fgColor rgb="00F8FAFC"/>
          <bgColor rgb="00F8FAFC"/>
        </patternFill>
      </fill>
      <border>
        <bottom style="thin">
          <color rgb="00E3E8EE"/>
        </bottom>
      </border>
    </dxf>
    <dxf>
      <border>
        <bottom style="thin">
          <color rgb="00E3E8EE"/>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plotArea>
      <lineChart>
        <grouping val="standard"/>
        <ser>
          <idx val="0"/>
          <order val="0"/>
          <tx>
            <strRef>
              <f>'Calculs'!P1</f>
            </strRef>
          </tx>
          <spPr>
            <a:ln xmlns:a="http://schemas.openxmlformats.org/drawingml/2006/main" w="31750">
              <a:solidFill>
                <a:srgbClr val="00AEEF"/>
              </a:solidFill>
              <a:prstDash val="solid"/>
            </a:ln>
          </spPr>
          <marker>
            <symbol val="circle"/>
            <size val="5"/>
            <spPr>
              <a:solidFill xmlns:a="http://schemas.openxmlformats.org/drawingml/2006/main">
                <a:srgbClr val="00AEEF"/>
              </a:solidFill>
              <a:ln xmlns:a="http://schemas.openxmlformats.org/drawingml/2006/main">
                <a:solidFill>
                  <a:srgbClr val="FFFFFF"/>
                </a:solidFill>
                <a:prstDash val="solid"/>
              </a:ln>
            </spPr>
          </marker>
          <cat>
            <numRef>
              <f>'Calculs'!$O$2:$O$31</f>
            </numRef>
          </cat>
          <val>
            <numRef>
              <f>'Calculs'!$P$2:$P$31</f>
            </numRef>
          </val>
          <smooth val="0"/>
        </ser>
        <ser>
          <idx val="1"/>
          <order val="1"/>
          <tx>
            <strRef>
              <f>'Calculs'!Q1</f>
            </strRef>
          </tx>
          <spPr>
            <a:ln xmlns:a="http://schemas.openxmlformats.org/drawingml/2006/main" w="31750">
              <a:solidFill>
                <a:srgbClr val="39B54A"/>
              </a:solidFill>
              <a:prstDash val="solid"/>
            </a:ln>
          </spPr>
          <marker>
            <symbol val="circle"/>
            <size val="5"/>
            <spPr>
              <a:solidFill xmlns:a="http://schemas.openxmlformats.org/drawingml/2006/main">
                <a:srgbClr val="39B54A"/>
              </a:solidFill>
              <a:ln xmlns:a="http://schemas.openxmlformats.org/drawingml/2006/main">
                <a:solidFill>
                  <a:srgbClr val="FFFFFF"/>
                </a:solidFill>
                <a:prstDash val="solid"/>
              </a:ln>
            </spPr>
          </marker>
          <cat>
            <numRef>
              <f>'Calculs'!$O$2:$O$31</f>
            </numRef>
          </cat>
          <val>
            <numRef>
              <f>'Calculs'!$Q$2:$Q$31</f>
            </numRef>
          </val>
          <smooth val="0"/>
        </ser>
        <axId val="10"/>
        <axId val="100"/>
      </lineChart>
      <catAx>
        <axId val="10"/>
        <scaling>
          <orientation val="minMax"/>
        </scaling>
        <delete val="0"/>
        <axPos val="l"/>
        <numFmt formatCode="dd/mm" sourceLinked="0"/>
        <majorTickMark val="none"/>
        <minorTickMark val="none"/>
        <spPr>
          <a:ln xmlns:a="http://schemas.openxmlformats.org/drawingml/2006/main">
            <a:solidFill>
              <a:srgbClr val="D5DDE5"/>
            </a:solidFill>
            <a:prstDash val="solid"/>
          </a:ln>
        </spPr>
        <txPr>
          <a:bodyPr xmlns:a="http://schemas.openxmlformats.org/drawingml/2006/main"/>
          <a:p xmlns:a="http://schemas.openxmlformats.org/drawingml/2006/main">
            <a:pPr>
              <a:defRPr sz="800">
                <a:solidFill>
                  <a:srgbClr val="7A8B9A"/>
                </a:solidFill>
                <a:latin typeface="Segoe UI"/>
              </a:defRPr>
            </a:pPr>
            <a:r>
              <a:t/>
            </a:r>
            <a:endParaRPr sz="800"/>
          </a:p>
        </txPr>
        <crossAx val="100"/>
        <lblOffset val="100"/>
        <tickLblSkip val="3"/>
      </catAx>
      <valAx>
        <axId val="100"/>
        <scaling>
          <orientation val="minMax"/>
          <min val="0"/>
        </scaling>
        <delete val="0"/>
        <axPos val="l"/>
        <majorGridlines>
          <spPr>
            <a:ln xmlns:a="http://schemas.openxmlformats.org/drawingml/2006/main">
              <a:solidFill>
                <a:srgbClr val="E9EEF3"/>
              </a:solidFill>
              <a:prstDash val="solid"/>
            </a:ln>
          </spPr>
        </majorGridlines>
        <numFmt formatCode="0" sourceLinked="0"/>
        <majorTickMark val="none"/>
        <minorTickMark val="none"/>
        <spPr>
          <a:ln xmlns:a="http://schemas.openxmlformats.org/drawingml/2006/main">
            <a:noFill/>
            <a:prstDash val="solid"/>
          </a:ln>
        </spPr>
        <txPr>
          <a:bodyPr xmlns:a="http://schemas.openxmlformats.org/drawingml/2006/main"/>
          <a:p xmlns:a="http://schemas.openxmlformats.org/drawingml/2006/main">
            <a:pPr>
              <a:defRPr sz="800">
                <a:solidFill>
                  <a:srgbClr val="7A8B9A"/>
                </a:solidFill>
                <a:latin typeface="Segoe UI"/>
              </a:defRPr>
            </a:pPr>
            <a:r>
              <a:t/>
            </a:r>
            <a:endParaRPr sz="800"/>
          </a:p>
        </txPr>
        <crossAx val="10"/>
        <majorUnit val="1"/>
      </valAx>
      <spPr>
        <a:noFill xmlns:a="http://schemas.openxmlformats.org/drawingml/2006/main"/>
        <a:ln xmlns:a="http://schemas.openxmlformats.org/drawingml/2006/main">
          <a:prstDash val="solid"/>
        </a:ln>
      </spPr>
    </plotArea>
    <legend>
      <legendPos val="t"/>
      <txPr>
        <a:bodyPr xmlns:a="http://schemas.openxmlformats.org/drawingml/2006/main"/>
        <a:p xmlns:a="http://schemas.openxmlformats.org/drawingml/2006/main">
          <a:pPr>
            <a:defRPr sz="900">
              <a:solidFill>
                <a:srgbClr val="1F3346"/>
              </a:solidFill>
              <a:latin typeface="Segoe UI"/>
            </a:defRPr>
          </a:pPr>
          <a:r>
            <a:t/>
          </a:r>
          <a:endParaRPr sz="900"/>
        </a:p>
      </txPr>
    </legend>
    <plotVisOnly val="1"/>
    <dispBlanksAs val="gap"/>
  </chart>
  <spPr>
    <a:ln xmlns:a="http://schemas.openxmlformats.org/drawingml/2006/main">
      <a:noFill/>
      <a:prstDash val="solid"/>
    </a:ln>
  </spPr>
</chartSpace>
</file>

<file path=xl/charts/chart2.xml><?xml version="1.0" encoding="utf-8"?>
<chartSpace xmlns="http://schemas.openxmlformats.org/drawingml/2006/chart">
  <chart>
    <plotArea>
      <doughnutChart>
        <varyColors val="1"/>
        <ser>
          <idx val="0"/>
          <order val="0"/>
          <tx>
            <strRef>
              <f>'Calculs'!F1</f>
            </strRef>
          </tx>
          <spPr>
            <a:ln xmlns:a="http://schemas.openxmlformats.org/drawingml/2006/main">
              <a:prstDash val="solid"/>
            </a:ln>
          </spPr>
          <dPt>
            <idx val="0"/>
            <spPr>
              <a:solidFill xmlns:a="http://schemas.openxmlformats.org/drawingml/2006/main">
                <a:srgbClr val="00AEEF"/>
              </a:solidFill>
              <a:ln xmlns:a="http://schemas.openxmlformats.org/drawingml/2006/main" w="19050">
                <a:solidFill>
                  <a:srgbClr val="FFFFFF"/>
                </a:solidFill>
                <a:prstDash val="solid"/>
              </a:ln>
            </spPr>
          </dPt>
          <dPt>
            <idx val="1"/>
            <spPr>
              <a:solidFill xmlns:a="http://schemas.openxmlformats.org/drawingml/2006/main">
                <a:srgbClr val="0B3C5D"/>
              </a:solidFill>
              <a:ln xmlns:a="http://schemas.openxmlformats.org/drawingml/2006/main" w="19050">
                <a:solidFill>
                  <a:srgbClr val="FFFFFF"/>
                </a:solidFill>
                <a:prstDash val="solid"/>
              </a:ln>
            </spPr>
          </dPt>
          <dPt>
            <idx val="2"/>
            <spPr>
              <a:solidFill xmlns:a="http://schemas.openxmlformats.org/drawingml/2006/main">
                <a:srgbClr val="39B54A"/>
              </a:solidFill>
              <a:ln xmlns:a="http://schemas.openxmlformats.org/drawingml/2006/main" w="19050">
                <a:solidFill>
                  <a:srgbClr val="FFFFFF"/>
                </a:solidFill>
                <a:prstDash val="solid"/>
              </a:ln>
            </spPr>
          </dPt>
          <dPt>
            <idx val="3"/>
            <spPr>
              <a:solidFill xmlns:a="http://schemas.openxmlformats.org/drawingml/2006/main">
                <a:srgbClr val="FFD200"/>
              </a:solidFill>
              <a:ln xmlns:a="http://schemas.openxmlformats.org/drawingml/2006/main" w="19050">
                <a:solidFill>
                  <a:srgbClr val="FFFFFF"/>
                </a:solidFill>
                <a:prstDash val="solid"/>
              </a:ln>
            </spPr>
          </dPt>
          <dPt>
            <idx val="4"/>
            <spPr>
              <a:solidFill xmlns:a="http://schemas.openxmlformats.org/drawingml/2006/main">
                <a:srgbClr val="7FD3F5"/>
              </a:solidFill>
              <a:ln xmlns:a="http://schemas.openxmlformats.org/drawingml/2006/main" w="19050">
                <a:solidFill>
                  <a:srgbClr val="FFFFFF"/>
                </a:solidFill>
                <a:prstDash val="solid"/>
              </a:ln>
            </spPr>
          </dPt>
          <dPt>
            <idx val="5"/>
            <spPr>
              <a:solidFill xmlns:a="http://schemas.openxmlformats.org/drawingml/2006/main">
                <a:srgbClr val="2E7D9A"/>
              </a:solidFill>
              <a:ln xmlns:a="http://schemas.openxmlformats.org/drawingml/2006/main" w="19050">
                <a:solidFill>
                  <a:srgbClr val="FFFFFF"/>
                </a:solidFill>
                <a:prstDash val="solid"/>
              </a:ln>
            </spPr>
          </dPt>
          <dPt>
            <idx val="6"/>
            <spPr>
              <a:solidFill xmlns:a="http://schemas.openxmlformats.org/drawingml/2006/main">
                <a:srgbClr val="8BD49A"/>
              </a:solidFill>
              <a:ln xmlns:a="http://schemas.openxmlformats.org/drawingml/2006/main" w="19050">
                <a:solidFill>
                  <a:srgbClr val="FFFFFF"/>
                </a:solidFill>
                <a:prstDash val="solid"/>
              </a:ln>
            </spPr>
          </dPt>
          <dPt>
            <idx val="7"/>
            <spPr>
              <a:solidFill xmlns:a="http://schemas.openxmlformats.org/drawingml/2006/main">
                <a:srgbClr val="F28C6A"/>
              </a:solidFill>
              <a:ln xmlns:a="http://schemas.openxmlformats.org/drawingml/2006/main" w="19050">
                <a:solidFill>
                  <a:srgbClr val="FFFFFF"/>
                </a:solidFill>
                <a:prstDash val="solid"/>
              </a:ln>
            </spPr>
          </dPt>
          <dPt>
            <idx val="8"/>
            <spPr>
              <a:solidFill xmlns:a="http://schemas.openxmlformats.org/drawingml/2006/main">
                <a:srgbClr val="9AA9B8"/>
              </a:solidFill>
              <a:ln xmlns:a="http://schemas.openxmlformats.org/drawingml/2006/main" w="19050">
                <a:solidFill>
                  <a:srgbClr val="FFFFFF"/>
                </a:solidFill>
                <a:prstDash val="solid"/>
              </a:ln>
            </spPr>
          </dPt>
          <dPt>
            <idx val="9"/>
            <spPr>
              <a:solidFill xmlns:a="http://schemas.openxmlformats.org/drawingml/2006/main">
                <a:srgbClr val="5C6BC0"/>
              </a:solidFill>
              <a:ln xmlns:a="http://schemas.openxmlformats.org/drawingml/2006/main" w="19050">
                <a:solidFill>
                  <a:srgbClr val="FFFFFF"/>
                </a:solidFill>
                <a:prstDash val="solid"/>
              </a:ln>
            </spPr>
          </dPt>
          <dLbls>
            <txPr>
              <a:bodyPr xmlns:a="http://schemas.openxmlformats.org/drawingml/2006/main"/>
              <a:p xmlns:a="http://schemas.openxmlformats.org/drawingml/2006/main">
                <a:pPr>
                  <a:defRPr sz="800">
                    <a:solidFill>
                      <a:srgbClr val="FFFFFF"/>
                    </a:solidFill>
                    <a:latin typeface="Segoe UI"/>
                  </a:defRPr>
                </a:pPr>
                <a:r>
                  <a:t/>
                </a:r>
                <a:endParaRPr sz="800"/>
              </a:p>
            </txPr>
            <showLegendKey val="0"/>
            <showVal val="0"/>
            <showCatName val="0"/>
            <showSerName val="0"/>
            <showPercent val="1"/>
            <showLeaderLines val="0"/>
          </dLbls>
          <cat>
            <numRef>
              <f>'Calculs'!$E$2:$E$10</f>
            </numRef>
          </cat>
          <val>
            <numRef>
              <f>'Calculs'!$F$2:$F$10</f>
            </numRef>
          </val>
        </ser>
        <firstSliceAng val="0"/>
        <holeSize val="55"/>
      </doughnutChart>
    </plotArea>
    <plotVisOnly val="1"/>
    <dispBlanksAs val="gap"/>
  </chart>
  <spPr>
    <a:ln xmlns:a="http://schemas.openxmlformats.org/drawingml/2006/main">
      <a:noFill/>
      <a:prstDash val="solid"/>
    </a:ln>
  </spPr>
</chartSpace>
</file>

<file path=xl/charts/chart3.xml><?xml version="1.0" encoding="utf-8"?>
<chartSpace xmlns="http://schemas.openxmlformats.org/drawingml/2006/chart">
  <chart>
    <plotArea>
      <doughnutChart>
        <varyColors val="1"/>
        <ser>
          <idx val="0"/>
          <order val="0"/>
          <tx>
            <strRef>
              <f>'Calculs'!I1</f>
            </strRef>
          </tx>
          <spPr>
            <a:ln xmlns:a="http://schemas.openxmlformats.org/drawingml/2006/main">
              <a:prstDash val="solid"/>
            </a:ln>
          </spPr>
          <dPt>
            <idx val="0"/>
            <spPr>
              <a:solidFill xmlns:a="http://schemas.openxmlformats.org/drawingml/2006/main">
                <a:srgbClr val="39B54A"/>
              </a:solidFill>
              <a:ln xmlns:a="http://schemas.openxmlformats.org/drawingml/2006/main" w="19050">
                <a:solidFill>
                  <a:srgbClr val="FFFFFF"/>
                </a:solidFill>
                <a:prstDash val="solid"/>
              </a:ln>
            </spPr>
          </dPt>
          <dPt>
            <idx val="1"/>
            <spPr>
              <a:solidFill xmlns:a="http://schemas.openxmlformats.org/drawingml/2006/main">
                <a:srgbClr val="F59E0B"/>
              </a:solidFill>
              <a:ln xmlns:a="http://schemas.openxmlformats.org/drawingml/2006/main" w="19050">
                <a:solidFill>
                  <a:srgbClr val="FFFFFF"/>
                </a:solidFill>
                <a:prstDash val="solid"/>
              </a:ln>
            </spPr>
          </dPt>
          <dPt>
            <idx val="2"/>
            <spPr>
              <a:solidFill xmlns:a="http://schemas.openxmlformats.org/drawingml/2006/main">
                <a:srgbClr val="E5484D"/>
              </a:solidFill>
              <a:ln xmlns:a="http://schemas.openxmlformats.org/drawingml/2006/main" w="19050">
                <a:solidFill>
                  <a:srgbClr val="FFFFFF"/>
                </a:solidFill>
                <a:prstDash val="solid"/>
              </a:ln>
            </spPr>
          </dPt>
          <dLbls>
            <txPr>
              <a:bodyPr xmlns:a="http://schemas.openxmlformats.org/drawingml/2006/main"/>
              <a:p xmlns:a="http://schemas.openxmlformats.org/drawingml/2006/main">
                <a:pPr>
                  <a:defRPr sz="800">
                    <a:solidFill>
                      <a:srgbClr val="FFFFFF"/>
                    </a:solidFill>
                    <a:latin typeface="Segoe UI"/>
                  </a:defRPr>
                </a:pPr>
                <a:r>
                  <a:t/>
                </a:r>
                <a:endParaRPr sz="800"/>
              </a:p>
            </txPr>
            <showLegendKey val="0"/>
            <showVal val="0"/>
            <showCatName val="0"/>
            <showSerName val="0"/>
            <showPercent val="1"/>
            <showLeaderLines val="0"/>
          </dLbls>
          <cat>
            <numRef>
              <f>'Calculs'!$H$2:$H$4</f>
            </numRef>
          </cat>
          <val>
            <numRef>
              <f>'Calculs'!$I$2:$I$4</f>
            </numRef>
          </val>
        </ser>
        <firstSliceAng val="0"/>
        <holeSize val="55"/>
      </doughnutChart>
    </plotArea>
    <plotVisOnly val="1"/>
    <dispBlanksAs val="gap"/>
  </chart>
  <spPr>
    <a:ln xmlns:a="http://schemas.openxmlformats.org/drawingml/2006/main">
      <a:no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image" Target="/xl/media/image1.png" Id="rId4"/></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 Type="http://schemas.openxmlformats.org/officeDocument/2006/relationships/image" Target="/xl/media/image9.png" Id="rId2"/></Relationships>
</file>

<file path=xl/drawings/_rels/drawing9.xml.rels><Relationships xmlns="http://schemas.openxmlformats.org/package/2006/relationships"><Relationship Type="http://schemas.openxmlformats.org/officeDocument/2006/relationships/image" Target="/xl/media/image10.png" Id="rId1"/></Relationships>
</file>

<file path=xl/drawings/drawing1.xml><?xml version="1.0" encoding="utf-8"?>
<wsDr xmlns="http://schemas.openxmlformats.org/drawingml/2006/spreadsheetDrawing">
  <twoCellAnchor>
    <from>
      <col>4</col>
      <colOff>57150</colOff>
      <row>12</row>
      <rowOff>19050</rowOff>
    </from>
    <to>
      <col>18</col>
      <colOff>0</colOff>
      <row>26</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19</col>
      <colOff>38100</colOff>
      <row>12</row>
      <rowOff>19050</rowOff>
    </from>
    <to>
      <col>23</col>
      <colOff>0</colOff>
      <row>26</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19</col>
      <colOff>38100</colOff>
      <row>39</row>
      <rowOff>19050</rowOff>
    </from>
    <to>
      <col>23</col>
      <colOff>0</colOff>
      <row>47</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oneCellAnchor>
    <from>
      <col>0</col>
      <colOff>666750</colOff>
      <row>1</row>
      <rowOff>57150</rowOff>
    </from>
    <ext cx="1200150" cy="14287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819150</colOff>
      <row>0</row>
      <rowOff>57150</rowOff>
    </from>
    <ext cx="895350" cy="1066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819150</colOff>
      <row>0</row>
      <rowOff>57150</rowOff>
    </from>
    <ext cx="895350" cy="1066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819150</colOff>
      <row>0</row>
      <rowOff>57150</rowOff>
    </from>
    <ext cx="895350" cy="1066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819150</colOff>
      <row>0</row>
      <rowOff>57150</rowOff>
    </from>
    <ext cx="895350" cy="1066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819150</colOff>
      <row>0</row>
      <rowOff>57150</rowOff>
    </from>
    <ext cx="895350" cy="1066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819150</colOff>
      <row>0</row>
      <rowOff>57150</rowOff>
    </from>
    <ext cx="895350" cy="1066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0</col>
      <colOff>819150</colOff>
      <row>0</row>
      <rowOff>57150</rowOff>
    </from>
    <ext cx="895350" cy="1066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4</col>
      <colOff>38100</colOff>
      <row>1</row>
      <rowOff>0</rowOff>
    </from>
    <ext cx="666750" cy="8001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0</col>
      <colOff>819150</colOff>
      <row>0</row>
      <rowOff>57150</rowOff>
    </from>
    <ext cx="895350" cy="1066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sheet1.xml><?xml version="1.0" encoding="utf-8"?>
<worksheet xmlns="http://schemas.openxmlformats.org/spreadsheetml/2006/main">
  <sheetPr>
    <tabColor rgb="0000AEEF"/>
    <outlinePr summaryBelow="1" summaryRight="1"/>
    <pageSetUpPr fitToPage="1"/>
  </sheetPr>
  <dimension ref="A1:AH52"/>
  <sheetViews>
    <sheetView showGridLines="0" zoomScale="85" workbookViewId="0">
      <selection activeCell="A1" sqref="A1"/>
    </sheetView>
  </sheetViews>
  <sheetFormatPr baseColWidth="8" defaultRowHeight="15"/>
  <cols>
    <col width="1" customWidth="1" min="1" max="1"/>
    <col width="23" customWidth="1" min="2" max="2"/>
    <col width="12" customWidth="1" min="3" max="3"/>
    <col width="3" customWidth="1" min="4" max="4"/>
    <col width="5.6" customWidth="1" min="5" max="5"/>
    <col width="5.6" customWidth="1" min="6" max="6"/>
    <col width="5.6" customWidth="1" min="7" max="7"/>
    <col width="5.6" customWidth="1" min="8" max="8"/>
    <col width="1.6" customWidth="1" min="9" max="9"/>
    <col width="5.6" customWidth="1" min="10" max="10"/>
    <col width="5.6" customWidth="1" min="11" max="11"/>
    <col width="5.6" customWidth="1" min="12" max="12"/>
    <col width="5.6" customWidth="1" min="13" max="13"/>
    <col width="1.6" customWidth="1" min="14" max="14"/>
    <col width="5.6" customWidth="1" min="15" max="15"/>
    <col width="5.6" customWidth="1" min="16" max="16"/>
    <col width="5.6" customWidth="1" min="17" max="17"/>
    <col width="5.6" customWidth="1" min="18" max="18"/>
    <col width="1.6" customWidth="1" min="19" max="19"/>
    <col width="5.6" customWidth="1" min="20" max="20"/>
    <col width="5.6" customWidth="1" min="21" max="21"/>
    <col width="5.6" customWidth="1" min="22" max="22"/>
    <col width="5.6" customWidth="1" min="23" max="23"/>
    <col width="1.6" customWidth="1" min="24" max="24"/>
    <col width="5.6" customWidth="1" min="25" max="25"/>
    <col width="5.6" customWidth="1" min="26" max="26"/>
    <col width="5.6" customWidth="1" min="27" max="27"/>
    <col width="5.6" customWidth="1" min="28" max="28"/>
    <col width="1.6" customWidth="1" min="29" max="29"/>
    <col width="5.6" customWidth="1" min="30" max="30"/>
    <col width="5.6" customWidth="1" min="31" max="31"/>
    <col width="5.6" customWidth="1" min="32" max="32"/>
    <col width="5.6" customWidth="1" min="33" max="33"/>
    <col width="3" customWidth="1" min="34" max="34"/>
  </cols>
  <sheetData>
    <row r="1" ht="12" customHeight="1">
      <c r="A1" s="1" t="n"/>
      <c r="B1" s="1" t="n"/>
      <c r="C1" s="2"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c r="AA1" s="3" t="n"/>
      <c r="AB1" s="3" t="n"/>
      <c r="AC1" s="3" t="n"/>
      <c r="AD1" s="3" t="n"/>
      <c r="AE1" s="3" t="n"/>
      <c r="AF1" s="3" t="n"/>
      <c r="AG1" s="3" t="n"/>
      <c r="AH1" s="3" t="n"/>
    </row>
    <row r="2" ht="30" customHeight="1">
      <c r="A2" s="1" t="n"/>
      <c r="B2" s="1" t="n"/>
      <c r="C2" s="2" t="n"/>
      <c r="D2" s="3" t="n"/>
      <c r="E2" s="4" t="inlineStr">
        <is>
          <t>Tableau de bord</t>
        </is>
      </c>
      <c r="F2" s="3" t="n"/>
      <c r="G2" s="3" t="n"/>
      <c r="H2" s="3" t="n"/>
      <c r="I2" s="3" t="n"/>
      <c r="J2" s="3" t="n"/>
      <c r="K2" s="3" t="n"/>
      <c r="L2" s="3" t="n"/>
      <c r="M2" s="3" t="n"/>
      <c r="N2" s="3" t="n"/>
      <c r="O2" s="5">
        <f>HYPERLINK("#'Recherche'!F5","🔍  Rechercher un livre, un membre…")</f>
        <v/>
      </c>
      <c r="P2" s="6" t="n"/>
      <c r="Q2" s="6" t="n"/>
      <c r="R2" s="6" t="n"/>
      <c r="S2" s="6" t="n"/>
      <c r="T2" s="6" t="n"/>
      <c r="U2" s="6" t="n"/>
      <c r="V2" s="6" t="n"/>
      <c r="W2" s="7" t="n"/>
      <c r="X2" s="3" t="n"/>
      <c r="Y2" s="8">
        <f>TODAY()</f>
        <v/>
      </c>
      <c r="Z2" s="6" t="n"/>
      <c r="AA2" s="6" t="n"/>
      <c r="AB2" s="6" t="n"/>
      <c r="AC2" s="6" t="n"/>
      <c r="AD2" s="6" t="n"/>
      <c r="AE2" s="6" t="n"/>
      <c r="AF2" s="6" t="n"/>
      <c r="AG2" s="7" t="n"/>
      <c r="AH2" s="3" t="n"/>
    </row>
    <row r="3" ht="18" customHeight="1">
      <c r="A3" s="1" t="n"/>
      <c r="B3" s="1" t="n"/>
      <c r="C3" s="2" t="n"/>
      <c r="D3" s="3" t="n"/>
      <c r="E3" s="9">
        <f>"Bonjour 👋  Bienvenue à la bibliothèque de la "&amp;P_Ecole&amp;"  ·  Année scolaire "&amp;P_Annee</f>
        <v/>
      </c>
      <c r="F3" s="3" t="n"/>
      <c r="G3" s="3" t="n"/>
      <c r="H3" s="3" t="n"/>
      <c r="I3" s="3" t="n"/>
      <c r="J3" s="3" t="n"/>
      <c r="K3" s="3" t="n"/>
      <c r="L3" s="3" t="n"/>
      <c r="M3" s="3" t="n"/>
      <c r="N3" s="3" t="n"/>
      <c r="O3" s="3" t="n"/>
      <c r="P3" s="3" t="n"/>
      <c r="Q3" s="3" t="n"/>
      <c r="R3" s="3" t="n"/>
      <c r="S3" s="3" t="n"/>
      <c r="T3" s="3" t="n"/>
      <c r="U3" s="3" t="n"/>
      <c r="V3" s="3" t="n"/>
      <c r="W3" s="3" t="n"/>
      <c r="X3" s="3" t="n"/>
      <c r="Y3" s="3" t="n"/>
      <c r="Z3" s="3" t="n"/>
      <c r="AA3" s="3" t="n"/>
      <c r="AB3" s="3" t="n"/>
      <c r="AC3" s="3" t="n"/>
      <c r="AD3" s="3" t="n"/>
      <c r="AE3" s="3" t="n"/>
      <c r="AF3" s="3" t="n"/>
      <c r="AG3" s="3" t="n"/>
      <c r="AH3" s="3" t="n"/>
    </row>
    <row r="4" ht="12" customHeight="1">
      <c r="A4" s="1" t="n"/>
      <c r="B4" s="1" t="n"/>
      <c r="C4" s="2"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c r="AA4" s="3" t="n"/>
      <c r="AB4" s="3" t="n"/>
      <c r="AC4" s="3" t="n"/>
      <c r="AD4" s="3" t="n"/>
      <c r="AE4" s="3" t="n"/>
      <c r="AF4" s="3" t="n"/>
      <c r="AG4" s="3" t="n"/>
      <c r="AH4" s="3" t="n"/>
    </row>
    <row r="5" ht="4" customHeight="1">
      <c r="A5" s="1" t="n"/>
      <c r="B5" s="1" t="n"/>
      <c r="C5" s="2" t="n"/>
      <c r="D5" s="3" t="n"/>
      <c r="E5" s="10" t="n"/>
      <c r="F5" s="11" t="n"/>
      <c r="G5" s="11" t="n"/>
      <c r="H5" s="12" t="n"/>
      <c r="I5" s="3" t="n"/>
      <c r="J5" s="13" t="n"/>
      <c r="K5" s="14" t="n"/>
      <c r="L5" s="14" t="n"/>
      <c r="M5" s="15" t="n"/>
      <c r="N5" s="3" t="n"/>
      <c r="O5" s="16" t="n"/>
      <c r="P5" s="17" t="n"/>
      <c r="Q5" s="17" t="n"/>
      <c r="R5" s="18" t="n"/>
      <c r="S5" s="3" t="n"/>
      <c r="T5" s="19" t="n"/>
      <c r="U5" s="20" t="n"/>
      <c r="V5" s="20" t="n"/>
      <c r="W5" s="21" t="n"/>
      <c r="X5" s="3" t="n"/>
      <c r="Y5" s="22" t="n"/>
      <c r="Z5" s="23" t="n"/>
      <c r="AA5" s="23" t="n"/>
      <c r="AB5" s="24" t="n"/>
      <c r="AC5" s="3" t="n"/>
      <c r="AD5" s="25" t="n"/>
      <c r="AE5" s="26" t="n"/>
      <c r="AF5" s="26" t="n"/>
      <c r="AG5" s="27" t="n"/>
      <c r="AH5" s="3" t="n"/>
    </row>
    <row r="6" ht="6" customHeight="1">
      <c r="A6" s="1" t="n"/>
      <c r="B6" s="1" t="n"/>
      <c r="C6" s="2" t="n"/>
      <c r="D6" s="3" t="n"/>
      <c r="E6" s="28" t="n"/>
      <c r="F6" s="29" t="n"/>
      <c r="G6" s="29" t="n"/>
      <c r="H6" s="30" t="n"/>
      <c r="I6" s="3" t="n"/>
      <c r="J6" s="28" t="n"/>
      <c r="K6" s="29" t="n"/>
      <c r="L6" s="29" t="n"/>
      <c r="M6" s="30" t="n"/>
      <c r="N6" s="3" t="n"/>
      <c r="O6" s="28" t="n"/>
      <c r="P6" s="29" t="n"/>
      <c r="Q6" s="29" t="n"/>
      <c r="R6" s="30" t="n"/>
      <c r="S6" s="3" t="n"/>
      <c r="T6" s="28" t="n"/>
      <c r="U6" s="29" t="n"/>
      <c r="V6" s="29" t="n"/>
      <c r="W6" s="30" t="n"/>
      <c r="X6" s="3" t="n"/>
      <c r="Y6" s="28" t="n"/>
      <c r="Z6" s="29" t="n"/>
      <c r="AA6" s="29" t="n"/>
      <c r="AB6" s="30" t="n"/>
      <c r="AC6" s="3" t="n"/>
      <c r="AD6" s="28" t="n"/>
      <c r="AE6" s="29" t="n"/>
      <c r="AF6" s="29" t="n"/>
      <c r="AG6" s="30" t="n"/>
      <c r="AH6" s="3" t="n"/>
    </row>
    <row r="7" ht="20" customHeight="1">
      <c r="A7" s="1" t="n"/>
      <c r="B7" s="1" t="n"/>
      <c r="C7" s="2" t="n"/>
      <c r="D7" s="3" t="n"/>
      <c r="E7" s="31">
        <f>HYPERLINK("#'Livres'!E6","📚  Total des livres")</f>
        <v/>
      </c>
      <c r="H7" s="32" t="n"/>
      <c r="I7" s="3" t="n"/>
      <c r="J7" s="31">
        <f>HYPERLINK("#'Membres'!E6","👥  Membres")</f>
        <v/>
      </c>
      <c r="M7" s="32" t="n"/>
      <c r="N7" s="3" t="n"/>
      <c r="O7" s="31">
        <f>HYPERLINK("#'Emprunts'!E6","🔄  Emprunts en cours")</f>
        <v/>
      </c>
      <c r="R7" s="32" t="n"/>
      <c r="S7" s="3" t="n"/>
      <c r="T7" s="31">
        <f>HYPERLINK("#'Emprunts'!E6","📈  Emprunts ce mois")</f>
        <v/>
      </c>
      <c r="W7" s="32" t="n"/>
      <c r="X7" s="3" t="n"/>
      <c r="Y7" s="31">
        <f>HYPERLINK("#'Emprunts'!E6","⏰  Livres en retard")</f>
        <v/>
      </c>
      <c r="AB7" s="32" t="n"/>
      <c r="AC7" s="3" t="n"/>
      <c r="AD7" s="31">
        <f>HYPERLINK("#'Fournitures'!E6","📦  Alertes de stock")</f>
        <v/>
      </c>
      <c r="AG7" s="32" t="n"/>
      <c r="AH7" s="3" t="n"/>
    </row>
    <row r="8" ht="34" customHeight="1">
      <c r="A8" s="1" t="n"/>
      <c r="B8" s="1" t="n"/>
      <c r="C8" s="2" t="n"/>
      <c r="D8" s="3" t="n"/>
      <c r="E8" s="33">
        <f>SUM(LIV_Ex)</f>
        <v/>
      </c>
      <c r="H8" s="32" t="n"/>
      <c r="I8" s="3" t="n"/>
      <c r="J8" s="33">
        <f>COUNTIF(MEM_ID,"?*")</f>
        <v/>
      </c>
      <c r="M8" s="32" t="n"/>
      <c r="N8" s="3" t="n"/>
      <c r="O8" s="33">
        <f>COUNTIFS(EMP_Livre,"?*",EMP_Retour,"")</f>
        <v/>
      </c>
      <c r="R8" s="32" t="n"/>
      <c r="S8" s="3" t="n"/>
      <c r="T8" s="33">
        <f>Calculs!K2</f>
        <v/>
      </c>
      <c r="W8" s="32" t="n"/>
      <c r="X8" s="3" t="n"/>
      <c r="Y8" s="34">
        <f>COUNTIF(EMP_Statut,"En retard")</f>
        <v/>
      </c>
      <c r="AB8" s="32" t="n"/>
      <c r="AC8" s="3" t="n"/>
      <c r="AD8" s="33">
        <f>COUNTIF(FOU_Statut,"Stock faible")+COUNTIF(FOU_Statut,"Rupture")</f>
        <v/>
      </c>
      <c r="AG8" s="32" t="n"/>
      <c r="AH8" s="3" t="n"/>
    </row>
    <row r="9" ht="18" customHeight="1">
      <c r="A9" s="1" t="n"/>
      <c r="B9" s="1" t="n"/>
      <c r="C9" s="2" t="n"/>
      <c r="D9" s="3" t="n"/>
      <c r="E9" s="35">
        <f>COUNTIF(LIV_Code,"?*")&amp;" titres au catalogue"</f>
        <v/>
      </c>
      <c r="H9" s="32" t="n"/>
      <c r="I9" s="3" t="n"/>
      <c r="J9" s="35">
        <f>COUNTIF(MEM_Type,"Élève")&amp;" élèves · "&amp;COUNTIF(MEM_Type,"Enseignant")&amp;" enseignants"</f>
        <v/>
      </c>
      <c r="M9" s="32" t="n"/>
      <c r="N9" s="3" t="n"/>
      <c r="O9" s="35">
        <f>TEXT(IF(SUM(LIV_Ex)=0,0,SUM(LIV_Emp)/SUM(LIV_Ex)),"0%")&amp;" du fonds en circulation"</f>
        <v/>
      </c>
      <c r="R9" s="32" t="n"/>
      <c r="S9" s="3" t="n"/>
      <c r="T9" s="35">
        <f>IF(Calculs!M2&gt;=0,"▲ ","▼ ")&amp;TEXT(ABS(Calculs!M2),"0%")&amp;" vs mois dernier"</f>
        <v/>
      </c>
      <c r="W9" s="32" t="n"/>
      <c r="X9" s="3" t="n"/>
      <c r="Y9" s="35">
        <f>FIXED(SUMIFS(EMP_Amende,EMP_Paye,"&lt;&gt;Oui"),0)&amp;" FC d'amendes dues"</f>
        <v/>
      </c>
      <c r="AB9" s="32" t="n"/>
      <c r="AC9" s="3" t="n"/>
      <c r="AD9" s="35">
        <f>COUNTIF(FOU_Statut,"Rupture")&amp;" en rupture · "&amp;COUNTIF(FOU_Statut,"Stock faible")&amp;" stock faible"</f>
        <v/>
      </c>
      <c r="AG9" s="32" t="n"/>
      <c r="AH9" s="3" t="n"/>
    </row>
    <row r="10" ht="8" customHeight="1">
      <c r="A10" s="1" t="n"/>
      <c r="B10" s="1" t="n"/>
      <c r="C10" s="2" t="n"/>
      <c r="D10" s="3" t="n"/>
      <c r="E10" s="36" t="n"/>
      <c r="F10" s="37" t="n"/>
      <c r="G10" s="37" t="n"/>
      <c r="H10" s="38" t="n"/>
      <c r="I10" s="3" t="n"/>
      <c r="J10" s="36" t="n"/>
      <c r="K10" s="37" t="n"/>
      <c r="L10" s="37" t="n"/>
      <c r="M10" s="38" t="n"/>
      <c r="N10" s="3" t="n"/>
      <c r="O10" s="36" t="n"/>
      <c r="P10" s="37" t="n"/>
      <c r="Q10" s="37" t="n"/>
      <c r="R10" s="38" t="n"/>
      <c r="S10" s="3" t="n"/>
      <c r="T10" s="36" t="n"/>
      <c r="U10" s="37" t="n"/>
      <c r="V10" s="37" t="n"/>
      <c r="W10" s="38" t="n"/>
      <c r="X10" s="3" t="n"/>
      <c r="Y10" s="36" t="n"/>
      <c r="Z10" s="37" t="n"/>
      <c r="AA10" s="37" t="n"/>
      <c r="AB10" s="38" t="n"/>
      <c r="AC10" s="3" t="n"/>
      <c r="AD10" s="36" t="n"/>
      <c r="AE10" s="37" t="n"/>
      <c r="AF10" s="37" t="n"/>
      <c r="AG10" s="38" t="n"/>
      <c r="AH10" s="3" t="n"/>
    </row>
    <row r="11" ht="14" customHeight="1">
      <c r="A11" s="1" t="n"/>
      <c r="B11" s="1" t="n"/>
      <c r="C11" s="2"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c r="AA11" s="3" t="n"/>
      <c r="AB11" s="3" t="n"/>
      <c r="AC11" s="3" t="n"/>
      <c r="AD11" s="3" t="n"/>
      <c r="AE11" s="3" t="n"/>
      <c r="AF11" s="3" t="n"/>
      <c r="AG11" s="3" t="n"/>
      <c r="AH11" s="3" t="n"/>
    </row>
    <row r="12" ht="26" customHeight="1">
      <c r="A12" s="1" t="n"/>
      <c r="B12" s="39" t="inlineStr">
        <is>
          <t>MENU</t>
        </is>
      </c>
      <c r="C12" s="2" t="n"/>
      <c r="D12" s="3" t="n"/>
      <c r="E12" s="40" t="inlineStr">
        <is>
          <t>Évolution des emprunts — 30 derniers jours</t>
        </is>
      </c>
      <c r="F12" s="41" t="n"/>
      <c r="G12" s="41" t="n"/>
      <c r="H12" s="41" t="n"/>
      <c r="I12" s="41" t="n"/>
      <c r="J12" s="41" t="n"/>
      <c r="K12" s="41" t="n"/>
      <c r="L12" s="41" t="n"/>
      <c r="M12" s="41" t="n"/>
      <c r="N12" s="41" t="n"/>
      <c r="O12" s="41" t="n"/>
      <c r="P12" s="42">
        <f>HYPERLINK("#'Emprunts'!E6","Voir tout →")</f>
        <v/>
      </c>
      <c r="Q12" s="41" t="n"/>
      <c r="R12" s="43" t="n"/>
      <c r="S12" s="3" t="n"/>
      <c r="T12" s="44">
        <f>"Livres par catégorie  ·  "&amp;FIXED(SUM(LIV_Ex),0)&amp;" exemplaires"</f>
        <v/>
      </c>
      <c r="U12" s="41" t="n"/>
      <c r="V12" s="41" t="n"/>
      <c r="W12" s="41" t="n"/>
      <c r="X12" s="41" t="n"/>
      <c r="Y12" s="41" t="n"/>
      <c r="Z12" s="41" t="n"/>
      <c r="AA12" s="41" t="n"/>
      <c r="AB12" s="43" t="n"/>
      <c r="AC12" s="3" t="n"/>
      <c r="AD12" s="44" t="inlineStr">
        <is>
          <t>🏆 Top 5 des livres</t>
        </is>
      </c>
      <c r="AE12" s="41" t="n"/>
      <c r="AF12" s="41" t="n"/>
      <c r="AG12" s="43" t="n"/>
      <c r="AH12" s="3" t="n"/>
    </row>
    <row r="13" ht="4" customHeight="1">
      <c r="A13" s="1" t="n"/>
      <c r="B13" s="1" t="n"/>
      <c r="C13" s="2" t="n"/>
      <c r="D13" s="3" t="n"/>
      <c r="E13" s="28" t="n"/>
      <c r="F13" s="29" t="n"/>
      <c r="G13" s="29" t="n"/>
      <c r="H13" s="29" t="n"/>
      <c r="I13" s="29" t="n"/>
      <c r="J13" s="29" t="n"/>
      <c r="K13" s="29" t="n"/>
      <c r="L13" s="29" t="n"/>
      <c r="M13" s="29" t="n"/>
      <c r="N13" s="29" t="n"/>
      <c r="O13" s="29" t="n"/>
      <c r="P13" s="29" t="n"/>
      <c r="Q13" s="29" t="n"/>
      <c r="R13" s="30" t="n"/>
      <c r="S13" s="3" t="n"/>
      <c r="T13" s="28" t="n"/>
      <c r="U13" s="29" t="n"/>
      <c r="V13" s="29" t="n"/>
      <c r="W13" s="29" t="n"/>
      <c r="X13" s="29" t="n"/>
      <c r="Y13" s="29" t="n"/>
      <c r="Z13" s="29" t="n"/>
      <c r="AA13" s="29" t="n"/>
      <c r="AB13" s="30" t="n"/>
      <c r="AC13" s="3" t="n"/>
      <c r="AD13" s="28" t="n"/>
      <c r="AE13" s="29" t="n"/>
      <c r="AF13" s="29" t="n"/>
      <c r="AG13" s="30" t="n"/>
      <c r="AH13" s="3" t="n"/>
    </row>
    <row r="14" ht="20" customHeight="1">
      <c r="A14" s="45" t="n"/>
      <c r="B14" s="46">
        <f>HYPERLINK("#'Tableau de bord'!A1","▦   Tableau de bord")</f>
        <v/>
      </c>
      <c r="C14" s="47" t="n"/>
      <c r="D14" s="3" t="n"/>
      <c r="E14" s="28" t="n"/>
      <c r="F14" s="29" t="n"/>
      <c r="G14" s="29" t="n"/>
      <c r="H14" s="29" t="n"/>
      <c r="I14" s="29" t="n"/>
      <c r="J14" s="29" t="n"/>
      <c r="K14" s="29" t="n"/>
      <c r="L14" s="29" t="n"/>
      <c r="M14" s="29" t="n"/>
      <c r="N14" s="29" t="n"/>
      <c r="O14" s="29" t="n"/>
      <c r="P14" s="29" t="n"/>
      <c r="Q14" s="29" t="n"/>
      <c r="R14" s="30" t="n"/>
      <c r="S14" s="3" t="n"/>
      <c r="T14" s="28" t="n"/>
      <c r="U14" s="29" t="n"/>
      <c r="V14" s="29" t="n"/>
      <c r="W14" s="29" t="n"/>
      <c r="X14" s="48" t="inlineStr">
        <is>
          <t>●</t>
        </is>
      </c>
      <c r="Y14" s="49">
        <f>Calculs!E2</f>
        <v/>
      </c>
      <c r="AB14" s="50">
        <f>Calculs!F2</f>
        <v/>
      </c>
      <c r="AC14" s="3" t="n"/>
      <c r="AD14" s="51">
        <f>IFERROR("1. "&amp;INDEX(LIV_Titre,MATCH(LARGE(LIV_Score,1),LIV_Score,0)),"")</f>
        <v/>
      </c>
      <c r="AG14" s="52">
        <f>IFERROR(INDEX(LIV_Total,MATCH(LARGE(LIV_Score,1),LIV_Score,0)),"")</f>
        <v/>
      </c>
      <c r="AH14" s="3" t="n"/>
    </row>
    <row r="15" ht="20" customHeight="1">
      <c r="A15" s="1" t="n"/>
      <c r="B15" s="53">
        <f>HYPERLINK("#'Livres'!A1","📚   Livres")</f>
        <v/>
      </c>
      <c r="C15" s="54" t="n"/>
      <c r="D15" s="3" t="n"/>
      <c r="E15" s="28" t="n"/>
      <c r="F15" s="29" t="n"/>
      <c r="G15" s="29" t="n"/>
      <c r="H15" s="29" t="n"/>
      <c r="I15" s="29" t="n"/>
      <c r="J15" s="29" t="n"/>
      <c r="K15" s="29" t="n"/>
      <c r="L15" s="29" t="n"/>
      <c r="M15" s="29" t="n"/>
      <c r="N15" s="29" t="n"/>
      <c r="O15" s="29" t="n"/>
      <c r="P15" s="29" t="n"/>
      <c r="Q15" s="29" t="n"/>
      <c r="R15" s="30" t="n"/>
      <c r="S15" s="3" t="n"/>
      <c r="T15" s="28" t="n"/>
      <c r="U15" s="29" t="n"/>
      <c r="V15" s="29" t="n"/>
      <c r="W15" s="29" t="n"/>
      <c r="X15" s="55" t="inlineStr">
        <is>
          <t>●</t>
        </is>
      </c>
      <c r="Y15" s="49">
        <f>Calculs!E3</f>
        <v/>
      </c>
      <c r="AB15" s="50">
        <f>Calculs!F3</f>
        <v/>
      </c>
      <c r="AC15" s="3" t="n"/>
      <c r="AD15" s="56">
        <f>IFERROR("     "&amp;INDEX(LIV_Auteur,MATCH(LARGE(LIV_Score,1),LIV_Score,0)),"")</f>
        <v/>
      </c>
      <c r="AG15" s="32" t="n"/>
      <c r="AH15" s="3" t="n"/>
    </row>
    <row r="16" ht="20" customHeight="1">
      <c r="A16" s="1" t="n"/>
      <c r="B16" s="53">
        <f>HYPERLINK("#'Membres'!A1","👥   Membres")</f>
        <v/>
      </c>
      <c r="C16" s="54" t="n"/>
      <c r="D16" s="3" t="n"/>
      <c r="E16" s="28" t="n"/>
      <c r="F16" s="29" t="n"/>
      <c r="G16" s="29" t="n"/>
      <c r="H16" s="29" t="n"/>
      <c r="I16" s="29" t="n"/>
      <c r="J16" s="29" t="n"/>
      <c r="K16" s="29" t="n"/>
      <c r="L16" s="29" t="n"/>
      <c r="M16" s="29" t="n"/>
      <c r="N16" s="29" t="n"/>
      <c r="O16" s="29" t="n"/>
      <c r="P16" s="29" t="n"/>
      <c r="Q16" s="29" t="n"/>
      <c r="R16" s="30" t="n"/>
      <c r="S16" s="3" t="n"/>
      <c r="T16" s="28" t="n"/>
      <c r="U16" s="29" t="n"/>
      <c r="V16" s="29" t="n"/>
      <c r="W16" s="29" t="n"/>
      <c r="X16" s="57" t="inlineStr">
        <is>
          <t>●</t>
        </is>
      </c>
      <c r="Y16" s="49">
        <f>Calculs!E4</f>
        <v/>
      </c>
      <c r="AB16" s="50">
        <f>Calculs!F4</f>
        <v/>
      </c>
      <c r="AC16" s="3" t="n"/>
      <c r="AD16" s="51">
        <f>IFERROR("2. "&amp;INDEX(LIV_Titre,MATCH(LARGE(LIV_Score,2),LIV_Score,0)),"")</f>
        <v/>
      </c>
      <c r="AG16" s="52">
        <f>IFERROR(INDEX(LIV_Total,MATCH(LARGE(LIV_Score,2),LIV_Score,0)),"")</f>
        <v/>
      </c>
      <c r="AH16" s="3" t="n"/>
    </row>
    <row r="17" ht="20" customHeight="1">
      <c r="A17" s="1" t="n"/>
      <c r="B17" s="53">
        <f>HYPERLINK("#'Emprunts'!A1","🔄   Emprunts")</f>
        <v/>
      </c>
      <c r="C17" s="54" t="n"/>
      <c r="D17" s="3" t="n"/>
      <c r="E17" s="28" t="n"/>
      <c r="F17" s="29" t="n"/>
      <c r="G17" s="29" t="n"/>
      <c r="H17" s="29" t="n"/>
      <c r="I17" s="29" t="n"/>
      <c r="J17" s="29" t="n"/>
      <c r="K17" s="29" t="n"/>
      <c r="L17" s="29" t="n"/>
      <c r="M17" s="29" t="n"/>
      <c r="N17" s="29" t="n"/>
      <c r="O17" s="29" t="n"/>
      <c r="P17" s="29" t="n"/>
      <c r="Q17" s="29" t="n"/>
      <c r="R17" s="30" t="n"/>
      <c r="S17" s="3" t="n"/>
      <c r="T17" s="28" t="n"/>
      <c r="U17" s="29" t="n"/>
      <c r="V17" s="29" t="n"/>
      <c r="W17" s="29" t="n"/>
      <c r="X17" s="58" t="inlineStr">
        <is>
          <t>●</t>
        </is>
      </c>
      <c r="Y17" s="49">
        <f>Calculs!E5</f>
        <v/>
      </c>
      <c r="AB17" s="50">
        <f>Calculs!F5</f>
        <v/>
      </c>
      <c r="AC17" s="3" t="n"/>
      <c r="AD17" s="56">
        <f>IFERROR("     "&amp;INDEX(LIV_Auteur,MATCH(LARGE(LIV_Score,2),LIV_Score,0)),"")</f>
        <v/>
      </c>
      <c r="AG17" s="32" t="n"/>
      <c r="AH17" s="3" t="n"/>
    </row>
    <row r="18" ht="20" customHeight="1">
      <c r="A18" s="1" t="n"/>
      <c r="B18" s="53">
        <f>HYPERLINK("#'Fournitures'!A1","📦   Fournitures")</f>
        <v/>
      </c>
      <c r="C18" s="54" t="n"/>
      <c r="D18" s="3" t="n"/>
      <c r="E18" s="28" t="n"/>
      <c r="F18" s="29" t="n"/>
      <c r="G18" s="29" t="n"/>
      <c r="H18" s="29" t="n"/>
      <c r="I18" s="29" t="n"/>
      <c r="J18" s="29" t="n"/>
      <c r="K18" s="29" t="n"/>
      <c r="L18" s="29" t="n"/>
      <c r="M18" s="29" t="n"/>
      <c r="N18" s="29" t="n"/>
      <c r="O18" s="29" t="n"/>
      <c r="P18" s="29" t="n"/>
      <c r="Q18" s="29" t="n"/>
      <c r="R18" s="30" t="n"/>
      <c r="S18" s="3" t="n"/>
      <c r="T18" s="28" t="n"/>
      <c r="U18" s="29" t="n"/>
      <c r="V18" s="29" t="n"/>
      <c r="W18" s="29" t="n"/>
      <c r="X18" s="59" t="inlineStr">
        <is>
          <t>●</t>
        </is>
      </c>
      <c r="Y18" s="49">
        <f>Calculs!E6</f>
        <v/>
      </c>
      <c r="AB18" s="50">
        <f>Calculs!F6</f>
        <v/>
      </c>
      <c r="AC18" s="3" t="n"/>
      <c r="AD18" s="51">
        <f>IFERROR("3. "&amp;INDEX(LIV_Titre,MATCH(LARGE(LIV_Score,3),LIV_Score,0)),"")</f>
        <v/>
      </c>
      <c r="AG18" s="52">
        <f>IFERROR(INDEX(LIV_Total,MATCH(LARGE(LIV_Score,3),LIV_Score,0)),"")</f>
        <v/>
      </c>
      <c r="AH18" s="3" t="n"/>
    </row>
    <row r="19" ht="20" customHeight="1">
      <c r="A19" s="1" t="n"/>
      <c r="B19" s="53">
        <f>HYPERLINK("#'Mouvements'!A1","↕   Mouvements de stock")</f>
        <v/>
      </c>
      <c r="C19" s="54" t="n"/>
      <c r="D19" s="3" t="n"/>
      <c r="E19" s="28" t="n"/>
      <c r="F19" s="29" t="n"/>
      <c r="G19" s="29" t="n"/>
      <c r="H19" s="29" t="n"/>
      <c r="I19" s="29" t="n"/>
      <c r="J19" s="29" t="n"/>
      <c r="K19" s="29" t="n"/>
      <c r="L19" s="29" t="n"/>
      <c r="M19" s="29" t="n"/>
      <c r="N19" s="29" t="n"/>
      <c r="O19" s="29" t="n"/>
      <c r="P19" s="29" t="n"/>
      <c r="Q19" s="29" t="n"/>
      <c r="R19" s="30" t="n"/>
      <c r="S19" s="3" t="n"/>
      <c r="T19" s="28" t="n"/>
      <c r="U19" s="29" t="n"/>
      <c r="V19" s="29" t="n"/>
      <c r="W19" s="29" t="n"/>
      <c r="X19" s="60" t="inlineStr">
        <is>
          <t>●</t>
        </is>
      </c>
      <c r="Y19" s="49">
        <f>Calculs!E7</f>
        <v/>
      </c>
      <c r="AB19" s="50">
        <f>Calculs!F7</f>
        <v/>
      </c>
      <c r="AC19" s="3" t="n"/>
      <c r="AD19" s="56">
        <f>IFERROR("     "&amp;INDEX(LIV_Auteur,MATCH(LARGE(LIV_Score,3),LIV_Score,0)),"")</f>
        <v/>
      </c>
      <c r="AG19" s="32" t="n"/>
      <c r="AH19" s="3" t="n"/>
    </row>
    <row r="20" ht="20" customHeight="1">
      <c r="A20" s="1" t="n"/>
      <c r="B20" s="53">
        <f>HYPERLINK("#'Recherche'!A1","🔍   Recherche")</f>
        <v/>
      </c>
      <c r="C20" s="54" t="n"/>
      <c r="D20" s="3" t="n"/>
      <c r="E20" s="28" t="n"/>
      <c r="F20" s="29" t="n"/>
      <c r="G20" s="29" t="n"/>
      <c r="H20" s="29" t="n"/>
      <c r="I20" s="29" t="n"/>
      <c r="J20" s="29" t="n"/>
      <c r="K20" s="29" t="n"/>
      <c r="L20" s="29" t="n"/>
      <c r="M20" s="29" t="n"/>
      <c r="N20" s="29" t="n"/>
      <c r="O20" s="29" t="n"/>
      <c r="P20" s="29" t="n"/>
      <c r="Q20" s="29" t="n"/>
      <c r="R20" s="30" t="n"/>
      <c r="S20" s="3" t="n"/>
      <c r="T20" s="28" t="n"/>
      <c r="U20" s="29" t="n"/>
      <c r="V20" s="29" t="n"/>
      <c r="W20" s="29" t="n"/>
      <c r="X20" s="61" t="inlineStr">
        <is>
          <t>●</t>
        </is>
      </c>
      <c r="Y20" s="49">
        <f>Calculs!E8</f>
        <v/>
      </c>
      <c r="AB20" s="50">
        <f>Calculs!F8</f>
        <v/>
      </c>
      <c r="AC20" s="3" t="n"/>
      <c r="AD20" s="51">
        <f>IFERROR("4. "&amp;INDEX(LIV_Titre,MATCH(LARGE(LIV_Score,4),LIV_Score,0)),"")</f>
        <v/>
      </c>
      <c r="AG20" s="52">
        <f>IFERROR(INDEX(LIV_Total,MATCH(LARGE(LIV_Score,4),LIV_Score,0)),"")</f>
        <v/>
      </c>
      <c r="AH20" s="3" t="n"/>
    </row>
    <row r="21" ht="20" customHeight="1">
      <c r="A21" s="1" t="n"/>
      <c r="B21" s="53">
        <f>HYPERLINK("#'Rapport mensuel'!A1","🖨   Rapport mensuel")</f>
        <v/>
      </c>
      <c r="C21" s="54" t="n"/>
      <c r="D21" s="3" t="n"/>
      <c r="E21" s="28" t="n"/>
      <c r="F21" s="29" t="n"/>
      <c r="G21" s="29" t="n"/>
      <c r="H21" s="29" t="n"/>
      <c r="I21" s="29" t="n"/>
      <c r="J21" s="29" t="n"/>
      <c r="K21" s="29" t="n"/>
      <c r="L21" s="29" t="n"/>
      <c r="M21" s="29" t="n"/>
      <c r="N21" s="29" t="n"/>
      <c r="O21" s="29" t="n"/>
      <c r="P21" s="29" t="n"/>
      <c r="Q21" s="29" t="n"/>
      <c r="R21" s="30" t="n"/>
      <c r="S21" s="3" t="n"/>
      <c r="T21" s="28" t="n"/>
      <c r="U21" s="29" t="n"/>
      <c r="V21" s="29" t="n"/>
      <c r="W21" s="29" t="n"/>
      <c r="X21" s="62" t="inlineStr">
        <is>
          <t>●</t>
        </is>
      </c>
      <c r="Y21" s="49">
        <f>Calculs!E9</f>
        <v/>
      </c>
      <c r="AB21" s="50">
        <f>Calculs!F9</f>
        <v/>
      </c>
      <c r="AC21" s="3" t="n"/>
      <c r="AD21" s="56">
        <f>IFERROR("     "&amp;INDEX(LIV_Auteur,MATCH(LARGE(LIV_Score,4),LIV_Score,0)),"")</f>
        <v/>
      </c>
      <c r="AG21" s="32" t="n"/>
      <c r="AH21" s="3" t="n"/>
    </row>
    <row r="22" ht="20" customHeight="1">
      <c r="A22" s="1" t="n"/>
      <c r="B22" s="53">
        <f>HYPERLINK("#'Paramètres'!A1","⚙   Paramètres")</f>
        <v/>
      </c>
      <c r="C22" s="54" t="n"/>
      <c r="D22" s="3" t="n"/>
      <c r="E22" s="28" t="n"/>
      <c r="F22" s="29" t="n"/>
      <c r="G22" s="29" t="n"/>
      <c r="H22" s="29" t="n"/>
      <c r="I22" s="29" t="n"/>
      <c r="J22" s="29" t="n"/>
      <c r="K22" s="29" t="n"/>
      <c r="L22" s="29" t="n"/>
      <c r="M22" s="29" t="n"/>
      <c r="N22" s="29" t="n"/>
      <c r="O22" s="29" t="n"/>
      <c r="P22" s="29" t="n"/>
      <c r="Q22" s="29" t="n"/>
      <c r="R22" s="30" t="n"/>
      <c r="S22" s="3" t="n"/>
      <c r="T22" s="28" t="n"/>
      <c r="U22" s="29" t="n"/>
      <c r="V22" s="29" t="n"/>
      <c r="W22" s="29" t="n"/>
      <c r="X22" s="63" t="inlineStr">
        <is>
          <t>●</t>
        </is>
      </c>
      <c r="Y22" s="49">
        <f>Calculs!E10</f>
        <v/>
      </c>
      <c r="AB22" s="50">
        <f>Calculs!F10</f>
        <v/>
      </c>
      <c r="AC22" s="3" t="n"/>
      <c r="AD22" s="51">
        <f>IFERROR("5. "&amp;INDEX(LIV_Titre,MATCH(LARGE(LIV_Score,5),LIV_Score,0)),"")</f>
        <v/>
      </c>
      <c r="AG22" s="52">
        <f>IFERROR(INDEX(LIV_Total,MATCH(LARGE(LIV_Score,5),LIV_Score,0)),"")</f>
        <v/>
      </c>
      <c r="AH22" s="3" t="n"/>
    </row>
    <row r="23" ht="20" customHeight="1">
      <c r="A23" s="1" t="n"/>
      <c r="B23" s="1" t="n"/>
      <c r="C23" s="2" t="n"/>
      <c r="D23" s="3" t="n"/>
      <c r="E23" s="28" t="n"/>
      <c r="F23" s="29" t="n"/>
      <c r="G23" s="29" t="n"/>
      <c r="H23" s="29" t="n"/>
      <c r="I23" s="29" t="n"/>
      <c r="J23" s="29" t="n"/>
      <c r="K23" s="29" t="n"/>
      <c r="L23" s="29" t="n"/>
      <c r="M23" s="29" t="n"/>
      <c r="N23" s="29" t="n"/>
      <c r="O23" s="29" t="n"/>
      <c r="P23" s="29" t="n"/>
      <c r="Q23" s="29" t="n"/>
      <c r="R23" s="30" t="n"/>
      <c r="S23" s="3" t="n"/>
      <c r="T23" s="28" t="n"/>
      <c r="U23" s="29" t="n"/>
      <c r="V23" s="29" t="n"/>
      <c r="W23" s="29" t="n"/>
      <c r="X23" s="64" t="n"/>
      <c r="Y23" s="65" t="inlineStr">
        <is>
          <t>TOTAL</t>
        </is>
      </c>
      <c r="Z23" s="66" t="n"/>
      <c r="AA23" s="66" t="n"/>
      <c r="AB23" s="67">
        <f>SUM(LIV_Ex)</f>
        <v/>
      </c>
      <c r="AC23" s="3" t="n"/>
      <c r="AD23" s="56">
        <f>IFERROR("     "&amp;INDEX(LIV_Auteur,MATCH(LARGE(LIV_Score,5),LIV_Score,0)),"")</f>
        <v/>
      </c>
      <c r="AG23" s="32" t="n"/>
      <c r="AH23" s="3" t="n"/>
    </row>
    <row r="24" ht="20" customHeight="1">
      <c r="A24" s="1" t="n"/>
      <c r="B24" s="1" t="n"/>
      <c r="C24" s="2" t="n"/>
      <c r="D24" s="3" t="n"/>
      <c r="E24" s="28" t="n"/>
      <c r="F24" s="29" t="n"/>
      <c r="G24" s="29" t="n"/>
      <c r="H24" s="29" t="n"/>
      <c r="I24" s="29" t="n"/>
      <c r="J24" s="29" t="n"/>
      <c r="K24" s="29" t="n"/>
      <c r="L24" s="29" t="n"/>
      <c r="M24" s="29" t="n"/>
      <c r="N24" s="29" t="n"/>
      <c r="O24" s="29" t="n"/>
      <c r="P24" s="29" t="n"/>
      <c r="Q24" s="29" t="n"/>
      <c r="R24" s="30" t="n"/>
      <c r="S24" s="3" t="n"/>
      <c r="T24" s="28" t="n"/>
      <c r="U24" s="29" t="n"/>
      <c r="V24" s="29" t="n"/>
      <c r="W24" s="29" t="n"/>
      <c r="X24" s="29" t="n"/>
      <c r="Y24" s="29" t="n"/>
      <c r="Z24" s="29" t="n"/>
      <c r="AA24" s="29" t="n"/>
      <c r="AB24" s="30" t="n"/>
      <c r="AC24" s="3" t="n"/>
      <c r="AD24" s="28" t="n"/>
      <c r="AE24" s="29" t="n"/>
      <c r="AF24" s="29" t="n"/>
      <c r="AG24" s="30" t="n"/>
      <c r="AH24" s="3" t="n"/>
    </row>
    <row r="25" ht="20" customHeight="1">
      <c r="A25" s="1" t="n"/>
      <c r="B25" s="1" t="n"/>
      <c r="C25" s="2" t="n"/>
      <c r="D25" s="3" t="n"/>
      <c r="E25" s="28" t="n"/>
      <c r="F25" s="29" t="n"/>
      <c r="G25" s="29" t="n"/>
      <c r="H25" s="29" t="n"/>
      <c r="I25" s="29" t="n"/>
      <c r="J25" s="29" t="n"/>
      <c r="K25" s="29" t="n"/>
      <c r="L25" s="29" t="n"/>
      <c r="M25" s="29" t="n"/>
      <c r="N25" s="29" t="n"/>
      <c r="O25" s="29" t="n"/>
      <c r="P25" s="29" t="n"/>
      <c r="Q25" s="29" t="n"/>
      <c r="R25" s="30" t="n"/>
      <c r="S25" s="3" t="n"/>
      <c r="T25" s="28" t="n"/>
      <c r="U25" s="29" t="n"/>
      <c r="V25" s="29" t="n"/>
      <c r="W25" s="29" t="n"/>
      <c r="X25" s="29" t="n"/>
      <c r="Y25" s="29" t="n"/>
      <c r="Z25" s="29" t="n"/>
      <c r="AA25" s="29" t="n"/>
      <c r="AB25" s="30" t="n"/>
      <c r="AC25" s="3" t="n"/>
      <c r="AD25" s="68">
        <f>HYPERLINK("#'Livres'!E6","Voir le catalogue →")</f>
        <v/>
      </c>
      <c r="AG25" s="32" t="n"/>
      <c r="AH25" s="3" t="n"/>
    </row>
    <row r="26" ht="20" customHeight="1">
      <c r="A26" s="1" t="n"/>
      <c r="B26" s="1" t="n"/>
      <c r="C26" s="2" t="n"/>
      <c r="D26" s="3" t="n"/>
      <c r="E26" s="28" t="n"/>
      <c r="F26" s="29" t="n"/>
      <c r="G26" s="29" t="n"/>
      <c r="H26" s="29" t="n"/>
      <c r="I26" s="29" t="n"/>
      <c r="J26" s="29" t="n"/>
      <c r="K26" s="29" t="n"/>
      <c r="L26" s="29" t="n"/>
      <c r="M26" s="29" t="n"/>
      <c r="N26" s="29" t="n"/>
      <c r="O26" s="29" t="n"/>
      <c r="P26" s="29" t="n"/>
      <c r="Q26" s="29" t="n"/>
      <c r="R26" s="30" t="n"/>
      <c r="S26" s="3" t="n"/>
      <c r="T26" s="28" t="n"/>
      <c r="U26" s="29" t="n"/>
      <c r="V26" s="29" t="n"/>
      <c r="W26" s="29" t="n"/>
      <c r="X26" s="29" t="n"/>
      <c r="Y26" s="29" t="n"/>
      <c r="Z26" s="29" t="n"/>
      <c r="AA26" s="29" t="n"/>
      <c r="AB26" s="30" t="n"/>
      <c r="AC26" s="3" t="n"/>
      <c r="AD26" s="28" t="n"/>
      <c r="AE26" s="29" t="n"/>
      <c r="AF26" s="29" t="n"/>
      <c r="AG26" s="30" t="n"/>
      <c r="AH26" s="3" t="n"/>
    </row>
    <row r="27" ht="8" customHeight="1">
      <c r="A27" s="1" t="n"/>
      <c r="B27" s="1" t="n"/>
      <c r="C27" s="2" t="n"/>
      <c r="D27" s="3" t="n"/>
      <c r="E27" s="36" t="n"/>
      <c r="F27" s="37" t="n"/>
      <c r="G27" s="37" t="n"/>
      <c r="H27" s="37" t="n"/>
      <c r="I27" s="37" t="n"/>
      <c r="J27" s="37" t="n"/>
      <c r="K27" s="37" t="n"/>
      <c r="L27" s="37" t="n"/>
      <c r="M27" s="37" t="n"/>
      <c r="N27" s="37" t="n"/>
      <c r="O27" s="37" t="n"/>
      <c r="P27" s="37" t="n"/>
      <c r="Q27" s="37" t="n"/>
      <c r="R27" s="38" t="n"/>
      <c r="S27" s="3" t="n"/>
      <c r="T27" s="36" t="n"/>
      <c r="U27" s="37" t="n"/>
      <c r="V27" s="37" t="n"/>
      <c r="W27" s="37" t="n"/>
      <c r="X27" s="37" t="n"/>
      <c r="Y27" s="37" t="n"/>
      <c r="Z27" s="37" t="n"/>
      <c r="AA27" s="37" t="n"/>
      <c r="AB27" s="38" t="n"/>
      <c r="AC27" s="3" t="n"/>
      <c r="AD27" s="36" t="n"/>
      <c r="AE27" s="37" t="n"/>
      <c r="AF27" s="37" t="n"/>
      <c r="AG27" s="38" t="n"/>
      <c r="AH27" s="3" t="n"/>
    </row>
    <row r="28" ht="14" customHeight="1">
      <c r="A28" s="1" t="n"/>
      <c r="B28" s="1" t="n"/>
      <c r="C28" s="2"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c r="AA28" s="3" t="n"/>
      <c r="AB28" s="3" t="n"/>
      <c r="AC28" s="3" t="n"/>
      <c r="AD28" s="3" t="n"/>
      <c r="AE28" s="3" t="n"/>
      <c r="AF28" s="3" t="n"/>
      <c r="AG28" s="3" t="n"/>
      <c r="AH28" s="3" t="n"/>
    </row>
    <row r="29" ht="14" customHeight="1">
      <c r="A29" s="1" t="n"/>
      <c r="B29" s="1" t="n"/>
      <c r="C29" s="2"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c r="AA29" s="3" t="n"/>
      <c r="AB29" s="3" t="n"/>
      <c r="AC29" s="3" t="n"/>
      <c r="AD29" s="3" t="n"/>
      <c r="AE29" s="3" t="n"/>
      <c r="AF29" s="3" t="n"/>
      <c r="AG29" s="3" t="n"/>
      <c r="AH29" s="3" t="n"/>
    </row>
    <row r="30" ht="26" customHeight="1">
      <c r="A30" s="1" t="n"/>
      <c r="B30" s="69" t="inlineStr">
        <is>
          <t>☀  Résumé du jour</t>
        </is>
      </c>
      <c r="C30" s="70" t="n"/>
      <c r="D30" s="3" t="n"/>
      <c r="E30" s="40" t="inlineStr">
        <is>
          <t>⏰ Livres en retard</t>
        </is>
      </c>
      <c r="F30" s="41" t="n"/>
      <c r="G30" s="41" t="n"/>
      <c r="H30" s="41" t="n"/>
      <c r="I30" s="41" t="n"/>
      <c r="J30" s="41" t="n"/>
      <c r="K30" s="41" t="n"/>
      <c r="L30" s="41" t="n"/>
      <c r="M30" s="41" t="n"/>
      <c r="N30" s="41" t="n"/>
      <c r="O30" s="41" t="n"/>
      <c r="P30" s="42">
        <f>HYPERLINK("#'Emprunts'!M6","Voir tout →")</f>
        <v/>
      </c>
      <c r="Q30" s="41" t="n"/>
      <c r="R30" s="43" t="n"/>
      <c r="S30" s="3" t="n"/>
      <c r="T30" s="40" t="inlineStr">
        <is>
          <t>🕒 Emprunts récents</t>
        </is>
      </c>
      <c r="U30" s="41" t="n"/>
      <c r="V30" s="41" t="n"/>
      <c r="W30" s="41" t="n"/>
      <c r="X30" s="41" t="n"/>
      <c r="Y30" s="41" t="n"/>
      <c r="Z30" s="41" t="n"/>
      <c r="AA30" s="41" t="n"/>
      <c r="AB30" s="41" t="n"/>
      <c r="AC30" s="41" t="n"/>
      <c r="AD30" s="41" t="n"/>
      <c r="AE30" s="42">
        <f>HYPERLINK("#'Emprunts'!E6","Voir tout →")</f>
        <v/>
      </c>
      <c r="AF30" s="41" t="n"/>
      <c r="AG30" s="43" t="n"/>
      <c r="AH30" s="3" t="n"/>
    </row>
    <row r="31" ht="20" customHeight="1">
      <c r="A31" s="1" t="n"/>
      <c r="B31" s="71" t="inlineStr">
        <is>
          <t>Emprunts aujourd'hui</t>
        </is>
      </c>
      <c r="C31" s="72">
        <f>COUNTIF(EMP_Date,TODAY())</f>
        <v/>
      </c>
      <c r="D31" s="3" t="n"/>
      <c r="E31" s="73" t="inlineStr">
        <is>
          <t>LIVRE</t>
        </is>
      </c>
      <c r="F31" s="74" t="n"/>
      <c r="G31" s="74" t="n"/>
      <c r="H31" s="74" t="n"/>
      <c r="I31" s="74" t="n"/>
      <c r="J31" s="75" t="inlineStr">
        <is>
          <t>MEMBRE</t>
        </is>
      </c>
      <c r="K31" s="74" t="n"/>
      <c r="L31" s="74" t="n"/>
      <c r="M31" s="74" t="n"/>
      <c r="N31" s="75" t="inlineStr">
        <is>
          <t>PRÉVU LE</t>
        </is>
      </c>
      <c r="O31" s="74" t="n"/>
      <c r="P31" s="74" t="n"/>
      <c r="Q31" s="76" t="inlineStr">
        <is>
          <t>RETARD</t>
        </is>
      </c>
      <c r="R31" s="77" t="n"/>
      <c r="S31" s="3" t="n"/>
      <c r="T31" s="73" t="inlineStr">
        <is>
          <t>DATE</t>
        </is>
      </c>
      <c r="U31" s="74" t="n"/>
      <c r="V31" s="75" t="inlineStr">
        <is>
          <t>MEMBRE</t>
        </is>
      </c>
      <c r="W31" s="74" t="n"/>
      <c r="X31" s="74" t="n"/>
      <c r="Y31" s="74" t="n"/>
      <c r="Z31" s="75" t="inlineStr">
        <is>
          <t>LIVRE</t>
        </is>
      </c>
      <c r="AA31" s="74" t="n"/>
      <c r="AB31" s="74" t="n"/>
      <c r="AC31" s="74" t="n"/>
      <c r="AD31" s="74" t="n"/>
      <c r="AE31" s="76" t="inlineStr">
        <is>
          <t>STATUT</t>
        </is>
      </c>
      <c r="AF31" s="74" t="n"/>
      <c r="AG31" s="77" t="n"/>
      <c r="AH31" s="3" t="n"/>
    </row>
    <row r="32" ht="22" customHeight="1">
      <c r="A32" s="1" t="n"/>
      <c r="B32" s="71" t="inlineStr">
        <is>
          <t>Retours aujourd'hui</t>
        </is>
      </c>
      <c r="C32" s="72">
        <f>COUNTIF(EMP_Retour,TODAY())</f>
        <v/>
      </c>
      <c r="D32" s="3" t="n"/>
      <c r="E32" s="78">
        <f>IFERROR(INDEX(EMP_Titre,MATCH(LARGE(EMP_ScoreRetard,1),EMP_ScoreRetard,0)),"")</f>
        <v/>
      </c>
      <c r="F32" s="79" t="n"/>
      <c r="G32" s="79" t="n"/>
      <c r="H32" s="79" t="n"/>
      <c r="I32" s="79" t="n"/>
      <c r="J32" s="80">
        <f>IFERROR(INDEX(EMP_Nom,MATCH(LARGE(EMP_ScoreRetard,1),EMP_ScoreRetard,0)),"")</f>
        <v/>
      </c>
      <c r="K32" s="79" t="n"/>
      <c r="L32" s="79" t="n"/>
      <c r="M32" s="79" t="n"/>
      <c r="N32" s="81">
        <f>IFERROR(INDEX(EMP_Prevu,MATCH(LARGE(EMP_ScoreRetard,1),EMP_ScoreRetard,0)),"")</f>
        <v/>
      </c>
      <c r="O32" s="79" t="n"/>
      <c r="P32" s="79" t="n"/>
      <c r="Q32" s="82">
        <f>IFERROR(INDEX(EMP_Jours,MATCH(LARGE(EMP_ScoreRetard,1),EMP_ScoreRetard,0)),"")</f>
        <v/>
      </c>
      <c r="R32" s="83" t="n"/>
      <c r="S32" s="3" t="n"/>
      <c r="T32" s="84">
        <f>IFERROR(INDEX(EMP_Date,MATCH(LARGE(EMP_ScoreRecent,1),EMP_ScoreRecent,0)),"")</f>
        <v/>
      </c>
      <c r="U32" s="79" t="n"/>
      <c r="V32" s="80">
        <f>IFERROR(INDEX(EMP_Nom,MATCH(LARGE(EMP_ScoreRecent,1),EMP_ScoreRecent,0)),"")</f>
        <v/>
      </c>
      <c r="W32" s="79" t="n"/>
      <c r="X32" s="79" t="n"/>
      <c r="Y32" s="79" t="n"/>
      <c r="Z32" s="85">
        <f>IFERROR(INDEX(EMP_Titre,MATCH(LARGE(EMP_ScoreRecent,1),EMP_ScoreRecent,0)),"")</f>
        <v/>
      </c>
      <c r="AA32" s="79" t="n"/>
      <c r="AB32" s="79" t="n"/>
      <c r="AC32" s="79" t="n"/>
      <c r="AD32" s="79" t="n"/>
      <c r="AE32" s="86">
        <f>IFERROR(INDEX(EMP_Statut,MATCH(LARGE(EMP_ScoreRecent,1),EMP_ScoreRecent,0)),"")</f>
        <v/>
      </c>
      <c r="AF32" s="79" t="n"/>
      <c r="AG32" s="83" t="n"/>
      <c r="AH32" s="3" t="n"/>
    </row>
    <row r="33" ht="22" customHeight="1">
      <c r="A33" s="1" t="n"/>
      <c r="B33" s="71" t="inlineStr">
        <is>
          <t>À rendre aujourd'hui</t>
        </is>
      </c>
      <c r="C33" s="72">
        <f>COUNTIFS(EMP_Prevu,TODAY(),EMP_Retour,"")</f>
        <v/>
      </c>
      <c r="D33" s="3" t="n"/>
      <c r="E33" s="78">
        <f>IFERROR(INDEX(EMP_Titre,MATCH(LARGE(EMP_ScoreRetard,2),EMP_ScoreRetard,0)),"")</f>
        <v/>
      </c>
      <c r="F33" s="79" t="n"/>
      <c r="G33" s="79" t="n"/>
      <c r="H33" s="79" t="n"/>
      <c r="I33" s="79" t="n"/>
      <c r="J33" s="80">
        <f>IFERROR(INDEX(EMP_Nom,MATCH(LARGE(EMP_ScoreRetard,2),EMP_ScoreRetard,0)),"")</f>
        <v/>
      </c>
      <c r="K33" s="79" t="n"/>
      <c r="L33" s="79" t="n"/>
      <c r="M33" s="79" t="n"/>
      <c r="N33" s="81">
        <f>IFERROR(INDEX(EMP_Prevu,MATCH(LARGE(EMP_ScoreRetard,2),EMP_ScoreRetard,0)),"")</f>
        <v/>
      </c>
      <c r="O33" s="79" t="n"/>
      <c r="P33" s="79" t="n"/>
      <c r="Q33" s="82">
        <f>IFERROR(INDEX(EMP_Jours,MATCH(LARGE(EMP_ScoreRetard,2),EMP_ScoreRetard,0)),"")</f>
        <v/>
      </c>
      <c r="R33" s="83" t="n"/>
      <c r="S33" s="3" t="n"/>
      <c r="T33" s="84">
        <f>IFERROR(INDEX(EMP_Date,MATCH(LARGE(EMP_ScoreRecent,2),EMP_ScoreRecent,0)),"")</f>
        <v/>
      </c>
      <c r="U33" s="79" t="n"/>
      <c r="V33" s="80">
        <f>IFERROR(INDEX(EMP_Nom,MATCH(LARGE(EMP_ScoreRecent,2),EMP_ScoreRecent,0)),"")</f>
        <v/>
      </c>
      <c r="W33" s="79" t="n"/>
      <c r="X33" s="79" t="n"/>
      <c r="Y33" s="79" t="n"/>
      <c r="Z33" s="85">
        <f>IFERROR(INDEX(EMP_Titre,MATCH(LARGE(EMP_ScoreRecent,2),EMP_ScoreRecent,0)),"")</f>
        <v/>
      </c>
      <c r="AA33" s="79" t="n"/>
      <c r="AB33" s="79" t="n"/>
      <c r="AC33" s="79" t="n"/>
      <c r="AD33" s="79" t="n"/>
      <c r="AE33" s="86">
        <f>IFERROR(INDEX(EMP_Statut,MATCH(LARGE(EMP_ScoreRecent,2),EMP_ScoreRecent,0)),"")</f>
        <v/>
      </c>
      <c r="AF33" s="79" t="n"/>
      <c r="AG33" s="83" t="n"/>
      <c r="AH33" s="3" t="n"/>
    </row>
    <row r="34" ht="22" customHeight="1">
      <c r="A34" s="1" t="n"/>
      <c r="B34" s="71" t="inlineStr">
        <is>
          <t>Nouveaux membres (mois)</t>
        </is>
      </c>
      <c r="C34" s="72">
        <f>COUNTIFS(MEM_Insc,"&gt;="&amp;DATE(YEAR(TODAY()),MONTH(TODAY()),1))</f>
        <v/>
      </c>
      <c r="D34" s="3" t="n"/>
      <c r="E34" s="78">
        <f>IFERROR(INDEX(EMP_Titre,MATCH(LARGE(EMP_ScoreRetard,3),EMP_ScoreRetard,0)),"")</f>
        <v/>
      </c>
      <c r="F34" s="79" t="n"/>
      <c r="G34" s="79" t="n"/>
      <c r="H34" s="79" t="n"/>
      <c r="I34" s="79" t="n"/>
      <c r="J34" s="80">
        <f>IFERROR(INDEX(EMP_Nom,MATCH(LARGE(EMP_ScoreRetard,3),EMP_ScoreRetard,0)),"")</f>
        <v/>
      </c>
      <c r="K34" s="79" t="n"/>
      <c r="L34" s="79" t="n"/>
      <c r="M34" s="79" t="n"/>
      <c r="N34" s="81">
        <f>IFERROR(INDEX(EMP_Prevu,MATCH(LARGE(EMP_ScoreRetard,3),EMP_ScoreRetard,0)),"")</f>
        <v/>
      </c>
      <c r="O34" s="79" t="n"/>
      <c r="P34" s="79" t="n"/>
      <c r="Q34" s="82">
        <f>IFERROR(INDEX(EMP_Jours,MATCH(LARGE(EMP_ScoreRetard,3),EMP_ScoreRetard,0)),"")</f>
        <v/>
      </c>
      <c r="R34" s="83" t="n"/>
      <c r="S34" s="3" t="n"/>
      <c r="T34" s="84">
        <f>IFERROR(INDEX(EMP_Date,MATCH(LARGE(EMP_ScoreRecent,3),EMP_ScoreRecent,0)),"")</f>
        <v/>
      </c>
      <c r="U34" s="79" t="n"/>
      <c r="V34" s="80">
        <f>IFERROR(INDEX(EMP_Nom,MATCH(LARGE(EMP_ScoreRecent,3),EMP_ScoreRecent,0)),"")</f>
        <v/>
      </c>
      <c r="W34" s="79" t="n"/>
      <c r="X34" s="79" t="n"/>
      <c r="Y34" s="79" t="n"/>
      <c r="Z34" s="85">
        <f>IFERROR(INDEX(EMP_Titre,MATCH(LARGE(EMP_ScoreRecent,3),EMP_ScoreRecent,0)),"")</f>
        <v/>
      </c>
      <c r="AA34" s="79" t="n"/>
      <c r="AB34" s="79" t="n"/>
      <c r="AC34" s="79" t="n"/>
      <c r="AD34" s="79" t="n"/>
      <c r="AE34" s="86">
        <f>IFERROR(INDEX(EMP_Statut,MATCH(LARGE(EMP_ScoreRecent,3),EMP_ScoreRecent,0)),"")</f>
        <v/>
      </c>
      <c r="AF34" s="79" t="n"/>
      <c r="AG34" s="83" t="n"/>
      <c r="AH34" s="3" t="n"/>
    </row>
    <row r="35" ht="22" customHeight="1">
      <c r="A35" s="1" t="n"/>
      <c r="B35" s="71" t="inlineStr">
        <is>
          <t>Livres en retard</t>
        </is>
      </c>
      <c r="C35" s="87">
        <f>COUNTIF(EMP_Statut,"En retard")</f>
        <v/>
      </c>
      <c r="D35" s="3" t="n"/>
      <c r="E35" s="78">
        <f>IFERROR(INDEX(EMP_Titre,MATCH(LARGE(EMP_ScoreRetard,4),EMP_ScoreRetard,0)),"")</f>
        <v/>
      </c>
      <c r="F35" s="79" t="n"/>
      <c r="G35" s="79" t="n"/>
      <c r="H35" s="79" t="n"/>
      <c r="I35" s="79" t="n"/>
      <c r="J35" s="80">
        <f>IFERROR(INDEX(EMP_Nom,MATCH(LARGE(EMP_ScoreRetard,4),EMP_ScoreRetard,0)),"")</f>
        <v/>
      </c>
      <c r="K35" s="79" t="n"/>
      <c r="L35" s="79" t="n"/>
      <c r="M35" s="79" t="n"/>
      <c r="N35" s="81">
        <f>IFERROR(INDEX(EMP_Prevu,MATCH(LARGE(EMP_ScoreRetard,4),EMP_ScoreRetard,0)),"")</f>
        <v/>
      </c>
      <c r="O35" s="79" t="n"/>
      <c r="P35" s="79" t="n"/>
      <c r="Q35" s="82">
        <f>IFERROR(INDEX(EMP_Jours,MATCH(LARGE(EMP_ScoreRetard,4),EMP_ScoreRetard,0)),"")</f>
        <v/>
      </c>
      <c r="R35" s="83" t="n"/>
      <c r="S35" s="3" t="n"/>
      <c r="T35" s="84">
        <f>IFERROR(INDEX(EMP_Date,MATCH(LARGE(EMP_ScoreRecent,4),EMP_ScoreRecent,0)),"")</f>
        <v/>
      </c>
      <c r="U35" s="79" t="n"/>
      <c r="V35" s="80">
        <f>IFERROR(INDEX(EMP_Nom,MATCH(LARGE(EMP_ScoreRecent,4),EMP_ScoreRecent,0)),"")</f>
        <v/>
      </c>
      <c r="W35" s="79" t="n"/>
      <c r="X35" s="79" t="n"/>
      <c r="Y35" s="79" t="n"/>
      <c r="Z35" s="85">
        <f>IFERROR(INDEX(EMP_Titre,MATCH(LARGE(EMP_ScoreRecent,4),EMP_ScoreRecent,0)),"")</f>
        <v/>
      </c>
      <c r="AA35" s="79" t="n"/>
      <c r="AB35" s="79" t="n"/>
      <c r="AC35" s="79" t="n"/>
      <c r="AD35" s="79" t="n"/>
      <c r="AE35" s="86">
        <f>IFERROR(INDEX(EMP_Statut,MATCH(LARGE(EMP_ScoreRecent,4),EMP_ScoreRecent,0)),"")</f>
        <v/>
      </c>
      <c r="AF35" s="79" t="n"/>
      <c r="AG35" s="83" t="n"/>
      <c r="AH35" s="3" t="n"/>
    </row>
    <row r="36" ht="22" customHeight="1">
      <c r="A36" s="1" t="n"/>
      <c r="B36" s="71" t="inlineStr">
        <is>
          <t>Amendes à encaisser</t>
        </is>
      </c>
      <c r="C36" s="88">
        <f>SUMIFS(EMP_Amende,EMP_Paye,"&lt;&gt;Oui")</f>
        <v/>
      </c>
      <c r="D36" s="3" t="n"/>
      <c r="E36" s="89">
        <f>IFERROR(INDEX(EMP_Titre,MATCH(LARGE(EMP_ScoreRetard,5),EMP_ScoreRetard,0)),"")</f>
        <v/>
      </c>
      <c r="J36" s="90">
        <f>IFERROR(INDEX(EMP_Nom,MATCH(LARGE(EMP_ScoreRetard,5),EMP_ScoreRetard,0)),"")</f>
        <v/>
      </c>
      <c r="N36" s="91">
        <f>IFERROR(INDEX(EMP_Prevu,MATCH(LARGE(EMP_ScoreRetard,5),EMP_ScoreRetard,0)),"")</f>
        <v/>
      </c>
      <c r="Q36" s="92">
        <f>IFERROR(INDEX(EMP_Jours,MATCH(LARGE(EMP_ScoreRetard,5),EMP_ScoreRetard,0)),"")</f>
        <v/>
      </c>
      <c r="R36" s="32" t="n"/>
      <c r="S36" s="3" t="n"/>
      <c r="T36" s="93">
        <f>IFERROR(INDEX(EMP_Date,MATCH(LARGE(EMP_ScoreRecent,5),EMP_ScoreRecent,0)),"")</f>
        <v/>
      </c>
      <c r="V36" s="90">
        <f>IFERROR(INDEX(EMP_Nom,MATCH(LARGE(EMP_ScoreRecent,5),EMP_ScoreRecent,0)),"")</f>
        <v/>
      </c>
      <c r="Z36" s="94">
        <f>IFERROR(INDEX(EMP_Titre,MATCH(LARGE(EMP_ScoreRecent,5),EMP_ScoreRecent,0)),"")</f>
        <v/>
      </c>
      <c r="AE36" s="95">
        <f>IFERROR(INDEX(EMP_Statut,MATCH(LARGE(EMP_ScoreRecent,5),EMP_ScoreRecent,0)),"")</f>
        <v/>
      </c>
      <c r="AG36" s="32" t="n"/>
      <c r="AH36" s="3" t="n"/>
    </row>
    <row r="37" ht="8" customHeight="1">
      <c r="A37" s="1" t="n"/>
      <c r="B37" s="96" t="n"/>
      <c r="C37" s="97" t="n"/>
      <c r="D37" s="3" t="n"/>
      <c r="E37" s="36" t="n"/>
      <c r="F37" s="37" t="n"/>
      <c r="G37" s="37" t="n"/>
      <c r="H37" s="37" t="n"/>
      <c r="I37" s="37" t="n"/>
      <c r="J37" s="37" t="n"/>
      <c r="K37" s="37" t="n"/>
      <c r="L37" s="37" t="n"/>
      <c r="M37" s="37" t="n"/>
      <c r="N37" s="37" t="n"/>
      <c r="O37" s="37" t="n"/>
      <c r="P37" s="37" t="n"/>
      <c r="Q37" s="37" t="n"/>
      <c r="R37" s="38" t="n"/>
      <c r="S37" s="3" t="n"/>
      <c r="T37" s="36" t="n"/>
      <c r="U37" s="37" t="n"/>
      <c r="V37" s="37" t="n"/>
      <c r="W37" s="37" t="n"/>
      <c r="X37" s="37" t="n"/>
      <c r="Y37" s="37" t="n"/>
      <c r="Z37" s="37" t="n"/>
      <c r="AA37" s="37" t="n"/>
      <c r="AB37" s="37" t="n"/>
      <c r="AC37" s="37" t="n"/>
      <c r="AD37" s="37" t="n"/>
      <c r="AE37" s="37" t="n"/>
      <c r="AF37" s="37" t="n"/>
      <c r="AG37" s="38" t="n"/>
      <c r="AH37" s="3" t="n"/>
    </row>
    <row r="38" ht="14" customHeight="1">
      <c r="A38" s="1" t="n"/>
      <c r="B38" s="1" t="n"/>
      <c r="C38" s="2"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c r="AA38" s="3" t="n"/>
      <c r="AB38" s="3" t="n"/>
      <c r="AC38" s="3" t="n"/>
      <c r="AD38" s="3" t="n"/>
      <c r="AE38" s="3" t="n"/>
      <c r="AF38" s="3" t="n"/>
      <c r="AG38" s="3" t="n"/>
      <c r="AH38" s="3" t="n"/>
    </row>
    <row r="39" ht="26" customHeight="1">
      <c r="A39" s="1" t="n"/>
      <c r="B39" s="1" t="n"/>
      <c r="C39" s="2" t="n"/>
      <c r="D39" s="3" t="n"/>
      <c r="E39" s="40" t="inlineStr">
        <is>
          <t>📦 Fournitures en alerte</t>
        </is>
      </c>
      <c r="F39" s="41" t="n"/>
      <c r="G39" s="41" t="n"/>
      <c r="H39" s="41" t="n"/>
      <c r="I39" s="41" t="n"/>
      <c r="J39" s="41" t="n"/>
      <c r="K39" s="41" t="n"/>
      <c r="L39" s="41" t="n"/>
      <c r="M39" s="41" t="n"/>
      <c r="N39" s="41" t="n"/>
      <c r="O39" s="41" t="n"/>
      <c r="P39" s="42">
        <f>HYPERLINK("#'Fournitures'!E6","Voir le stock →")</f>
        <v/>
      </c>
      <c r="Q39" s="41" t="n"/>
      <c r="R39" s="43" t="n"/>
      <c r="S39" s="3" t="n"/>
      <c r="T39" s="44" t="inlineStr">
        <is>
          <t>État des stocks de fournitures</t>
        </is>
      </c>
      <c r="U39" s="41" t="n"/>
      <c r="V39" s="41" t="n"/>
      <c r="W39" s="41" t="n"/>
      <c r="X39" s="41" t="n"/>
      <c r="Y39" s="41" t="n"/>
      <c r="Z39" s="41" t="n"/>
      <c r="AA39" s="41" t="n"/>
      <c r="AB39" s="43" t="n"/>
      <c r="AC39" s="3" t="n"/>
      <c r="AD39" s="44" t="inlineStr">
        <is>
          <t>⚡ Actions rapides</t>
        </is>
      </c>
      <c r="AE39" s="41" t="n"/>
      <c r="AF39" s="41" t="n"/>
      <c r="AG39" s="43" t="n"/>
      <c r="AH39" s="3" t="n"/>
    </row>
    <row r="40" ht="20" customHeight="1">
      <c r="A40" s="1" t="n"/>
      <c r="B40" s="1" t="n"/>
      <c r="C40" s="2" t="n"/>
      <c r="D40" s="3" t="n"/>
      <c r="E40" s="73" t="inlineStr">
        <is>
          <t>ARTICLE</t>
        </is>
      </c>
      <c r="F40" s="74" t="n"/>
      <c r="G40" s="74" t="n"/>
      <c r="H40" s="74" t="n"/>
      <c r="I40" s="74" t="n"/>
      <c r="J40" s="75" t="inlineStr">
        <is>
          <t>UNITÉ</t>
        </is>
      </c>
      <c r="K40" s="74" t="n"/>
      <c r="L40" s="98" t="inlineStr">
        <is>
          <t>STOCK</t>
        </is>
      </c>
      <c r="M40" s="74" t="n"/>
      <c r="N40" s="98" t="inlineStr">
        <is>
          <t>SEUIL MIN.</t>
        </is>
      </c>
      <c r="O40" s="74" t="n"/>
      <c r="P40" s="74" t="n"/>
      <c r="Q40" s="76" t="inlineStr">
        <is>
          <t>STATUT</t>
        </is>
      </c>
      <c r="R40" s="77" t="n"/>
      <c r="S40" s="3" t="n"/>
      <c r="T40" s="28" t="n"/>
      <c r="U40" s="29" t="n"/>
      <c r="V40" s="29" t="n"/>
      <c r="W40" s="29" t="n"/>
      <c r="X40" s="29" t="n"/>
      <c r="Y40" s="29" t="n"/>
      <c r="Z40" s="29" t="n"/>
      <c r="AA40" s="29" t="n"/>
      <c r="AB40" s="30" t="n"/>
      <c r="AC40" s="3" t="n"/>
      <c r="AD40" s="28" t="n"/>
      <c r="AE40" s="29" t="n"/>
      <c r="AF40" s="29" t="n"/>
      <c r="AG40" s="30" t="n"/>
      <c r="AH40" s="3" t="n"/>
    </row>
    <row r="41" ht="24" customHeight="1">
      <c r="A41" s="1" t="n"/>
      <c r="B41" s="1" t="n"/>
      <c r="C41" s="2" t="n"/>
      <c r="D41" s="3" t="n"/>
      <c r="E41" s="78">
        <f>IFERROR(INDEX(FOU_Article,MATCH(SMALL(FOU_Score,1),FOU_Score,0)),"")</f>
        <v/>
      </c>
      <c r="F41" s="79" t="n"/>
      <c r="G41" s="79" t="n"/>
      <c r="H41" s="79" t="n"/>
      <c r="I41" s="79" t="n"/>
      <c r="J41" s="80">
        <f>IFERROR(INDEX(FOU_Unite,MATCH(SMALL(FOU_Score,1),FOU_Score,0)),"")</f>
        <v/>
      </c>
      <c r="K41" s="79" t="n"/>
      <c r="L41" s="99">
        <f>IFERROR(INDEX(FOU_Stock,MATCH(SMALL(FOU_Score,1),FOU_Score,0)),"")</f>
        <v/>
      </c>
      <c r="M41" s="79" t="n"/>
      <c r="N41" s="100">
        <f>IFERROR(INDEX(FOU_Seuil,MATCH(SMALL(FOU_Score,1),FOU_Score,0)),"")</f>
        <v/>
      </c>
      <c r="O41" s="79" t="n"/>
      <c r="P41" s="79" t="n"/>
      <c r="Q41" s="86">
        <f>IFERROR(INDEX(FOU_Statut,MATCH(SMALL(FOU_Score,1),FOU_Score,0)),"")</f>
        <v/>
      </c>
      <c r="R41" s="83" t="n"/>
      <c r="S41" s="3" t="n"/>
      <c r="T41" s="28" t="n"/>
      <c r="U41" s="29" t="n"/>
      <c r="V41" s="29" t="n"/>
      <c r="W41" s="29" t="n"/>
      <c r="X41" s="29" t="n"/>
      <c r="Y41" s="29" t="n"/>
      <c r="Z41" s="29" t="n"/>
      <c r="AA41" s="29" t="n"/>
      <c r="AB41" s="30" t="n"/>
      <c r="AC41" s="3" t="n"/>
      <c r="AD41" s="101">
        <f>HYPERLINK("#'Emprunts'!F"&amp;(7+COUNTIF(EMP_Date,"&gt;0")),"＋  Nouvel emprunt")</f>
        <v/>
      </c>
      <c r="AE41" s="102" t="n"/>
      <c r="AF41" s="102" t="n"/>
      <c r="AG41" s="103" t="n"/>
      <c r="AH41" s="3" t="n"/>
    </row>
    <row r="42" ht="24" customHeight="1">
      <c r="A42" s="1" t="n"/>
      <c r="B42" s="1" t="n"/>
      <c r="C42" s="2" t="n"/>
      <c r="D42" s="3" t="n"/>
      <c r="E42" s="78">
        <f>IFERROR(INDEX(FOU_Article,MATCH(SMALL(FOU_Score,2),FOU_Score,0)),"")</f>
        <v/>
      </c>
      <c r="F42" s="79" t="n"/>
      <c r="G42" s="79" t="n"/>
      <c r="H42" s="79" t="n"/>
      <c r="I42" s="79" t="n"/>
      <c r="J42" s="80">
        <f>IFERROR(INDEX(FOU_Unite,MATCH(SMALL(FOU_Score,2),FOU_Score,0)),"")</f>
        <v/>
      </c>
      <c r="K42" s="79" t="n"/>
      <c r="L42" s="99">
        <f>IFERROR(INDEX(FOU_Stock,MATCH(SMALL(FOU_Score,2),FOU_Score,0)),"")</f>
        <v/>
      </c>
      <c r="M42" s="79" t="n"/>
      <c r="N42" s="100">
        <f>IFERROR(INDEX(FOU_Seuil,MATCH(SMALL(FOU_Score,2),FOU_Score,0)),"")</f>
        <v/>
      </c>
      <c r="O42" s="79" t="n"/>
      <c r="P42" s="79" t="n"/>
      <c r="Q42" s="86">
        <f>IFERROR(INDEX(FOU_Statut,MATCH(SMALL(FOU_Score,2),FOU_Score,0)),"")</f>
        <v/>
      </c>
      <c r="R42" s="83" t="n"/>
      <c r="S42" s="3" t="n"/>
      <c r="T42" s="28" t="n"/>
      <c r="U42" s="29" t="n"/>
      <c r="V42" s="29" t="n"/>
      <c r="W42" s="29" t="n"/>
      <c r="X42" s="57" t="inlineStr">
        <is>
          <t>●</t>
        </is>
      </c>
      <c r="Y42" s="49">
        <f>"En stock"</f>
        <v/>
      </c>
      <c r="AB42" s="50">
        <f>Calculs!I2</f>
        <v/>
      </c>
      <c r="AC42" s="3" t="n"/>
      <c r="AD42" s="101">
        <f>HYPERLINK("#'Emprunts'!L"&amp;IFERROR(MATCH("",EMP_Retour,0)+6,7),"↩  Enregistrer un retour")</f>
        <v/>
      </c>
      <c r="AE42" s="102" t="n"/>
      <c r="AF42" s="102" t="n"/>
      <c r="AG42" s="103" t="n"/>
      <c r="AH42" s="3" t="n"/>
    </row>
    <row r="43" ht="24" customHeight="1">
      <c r="A43" s="1" t="n"/>
      <c r="B43" s="1" t="n"/>
      <c r="C43" s="2" t="n"/>
      <c r="D43" s="3" t="n"/>
      <c r="E43" s="78">
        <f>IFERROR(INDEX(FOU_Article,MATCH(SMALL(FOU_Score,3),FOU_Score,0)),"")</f>
        <v/>
      </c>
      <c r="F43" s="79" t="n"/>
      <c r="G43" s="79" t="n"/>
      <c r="H43" s="79" t="n"/>
      <c r="I43" s="79" t="n"/>
      <c r="J43" s="80">
        <f>IFERROR(INDEX(FOU_Unite,MATCH(SMALL(FOU_Score,3),FOU_Score,0)),"")</f>
        <v/>
      </c>
      <c r="K43" s="79" t="n"/>
      <c r="L43" s="99">
        <f>IFERROR(INDEX(FOU_Stock,MATCH(SMALL(FOU_Score,3),FOU_Score,0)),"")</f>
        <v/>
      </c>
      <c r="M43" s="79" t="n"/>
      <c r="N43" s="100">
        <f>IFERROR(INDEX(FOU_Seuil,MATCH(SMALL(FOU_Score,3),FOU_Score,0)),"")</f>
        <v/>
      </c>
      <c r="O43" s="79" t="n"/>
      <c r="P43" s="79" t="n"/>
      <c r="Q43" s="86">
        <f>IFERROR(INDEX(FOU_Statut,MATCH(SMALL(FOU_Score,3),FOU_Score,0)),"")</f>
        <v/>
      </c>
      <c r="R43" s="83" t="n"/>
      <c r="S43" s="3" t="n"/>
      <c r="T43" s="28" t="n"/>
      <c r="U43" s="29" t="n"/>
      <c r="V43" s="29" t="n"/>
      <c r="W43" s="29" t="n"/>
      <c r="X43" s="104" t="inlineStr">
        <is>
          <t>●</t>
        </is>
      </c>
      <c r="Y43" s="49">
        <f>"Stock faible"</f>
        <v/>
      </c>
      <c r="AB43" s="50">
        <f>Calculs!I3</f>
        <v/>
      </c>
      <c r="AC43" s="3" t="n"/>
      <c r="AD43" s="105">
        <f>HYPERLINK("#'Livres'!E"&amp;(7+COUNTIF(LIV_Code,"?*")),"＋  Nouveau livre")</f>
        <v/>
      </c>
      <c r="AE43" s="106" t="n"/>
      <c r="AF43" s="106" t="n"/>
      <c r="AG43" s="107" t="n"/>
      <c r="AH43" s="3" t="n"/>
    </row>
    <row r="44" ht="24" customHeight="1">
      <c r="A44" s="1" t="n"/>
      <c r="B44" s="1" t="n"/>
      <c r="C44" s="2" t="n"/>
      <c r="D44" s="3" t="n"/>
      <c r="E44" s="78">
        <f>IFERROR(INDEX(FOU_Article,MATCH(SMALL(FOU_Score,4),FOU_Score,0)),"")</f>
        <v/>
      </c>
      <c r="F44" s="79" t="n"/>
      <c r="G44" s="79" t="n"/>
      <c r="H44" s="79" t="n"/>
      <c r="I44" s="79" t="n"/>
      <c r="J44" s="80">
        <f>IFERROR(INDEX(FOU_Unite,MATCH(SMALL(FOU_Score,4),FOU_Score,0)),"")</f>
        <v/>
      </c>
      <c r="K44" s="79" t="n"/>
      <c r="L44" s="99">
        <f>IFERROR(INDEX(FOU_Stock,MATCH(SMALL(FOU_Score,4),FOU_Score,0)),"")</f>
        <v/>
      </c>
      <c r="M44" s="79" t="n"/>
      <c r="N44" s="100">
        <f>IFERROR(INDEX(FOU_Seuil,MATCH(SMALL(FOU_Score,4),FOU_Score,0)),"")</f>
        <v/>
      </c>
      <c r="O44" s="79" t="n"/>
      <c r="P44" s="79" t="n"/>
      <c r="Q44" s="86">
        <f>IFERROR(INDEX(FOU_Statut,MATCH(SMALL(FOU_Score,4),FOU_Score,0)),"")</f>
        <v/>
      </c>
      <c r="R44" s="83" t="n"/>
      <c r="S44" s="3" t="n"/>
      <c r="T44" s="28" t="n"/>
      <c r="U44" s="29" t="n"/>
      <c r="V44" s="29" t="n"/>
      <c r="W44" s="29" t="n"/>
      <c r="X44" s="108" t="inlineStr">
        <is>
          <t>●</t>
        </is>
      </c>
      <c r="Y44" s="49">
        <f>"Rupture"</f>
        <v/>
      </c>
      <c r="AB44" s="50">
        <f>Calculs!I4</f>
        <v/>
      </c>
      <c r="AC44" s="3" t="n"/>
      <c r="AD44" s="105">
        <f>HYPERLINK("#'Membres'!E"&amp;(7+COUNTIF(MEM_ID,"?*")),"＋  Nouveau membre")</f>
        <v/>
      </c>
      <c r="AE44" s="106" t="n"/>
      <c r="AF44" s="106" t="n"/>
      <c r="AG44" s="107" t="n"/>
      <c r="AH44" s="3" t="n"/>
    </row>
    <row r="45" ht="24" customHeight="1">
      <c r="A45" s="1" t="n"/>
      <c r="B45" s="1" t="n"/>
      <c r="C45" s="2" t="n"/>
      <c r="D45" s="3" t="n"/>
      <c r="E45" s="78">
        <f>IFERROR(INDEX(FOU_Article,MATCH(SMALL(FOU_Score,5),FOU_Score,0)),"")</f>
        <v/>
      </c>
      <c r="F45" s="79" t="n"/>
      <c r="G45" s="79" t="n"/>
      <c r="H45" s="79" t="n"/>
      <c r="I45" s="79" t="n"/>
      <c r="J45" s="80">
        <f>IFERROR(INDEX(FOU_Unite,MATCH(SMALL(FOU_Score,5),FOU_Score,0)),"")</f>
        <v/>
      </c>
      <c r="K45" s="79" t="n"/>
      <c r="L45" s="99">
        <f>IFERROR(INDEX(FOU_Stock,MATCH(SMALL(FOU_Score,5),FOU_Score,0)),"")</f>
        <v/>
      </c>
      <c r="M45" s="79" t="n"/>
      <c r="N45" s="100">
        <f>IFERROR(INDEX(FOU_Seuil,MATCH(SMALL(FOU_Score,5),FOU_Score,0)),"")</f>
        <v/>
      </c>
      <c r="O45" s="79" t="n"/>
      <c r="P45" s="79" t="n"/>
      <c r="Q45" s="86">
        <f>IFERROR(INDEX(FOU_Statut,MATCH(SMALL(FOU_Score,5),FOU_Score,0)),"")</f>
        <v/>
      </c>
      <c r="R45" s="83" t="n"/>
      <c r="S45" s="3" t="n"/>
      <c r="T45" s="28" t="n"/>
      <c r="U45" s="29" t="n"/>
      <c r="V45" s="29" t="n"/>
      <c r="W45" s="29" t="n"/>
      <c r="X45" s="64" t="n"/>
      <c r="Y45" s="65" t="inlineStr">
        <is>
          <t>TOTAL ARTICLES</t>
        </is>
      </c>
      <c r="Z45" s="66" t="n"/>
      <c r="AA45" s="66" t="n"/>
      <c r="AB45" s="67">
        <f>COUNTIF(FOU_Code,"?*")</f>
        <v/>
      </c>
      <c r="AC45" s="3" t="n"/>
      <c r="AD45" s="105">
        <f>HYPERLINK("#'Mouvements'!F"&amp;(7+COUNTIF(MOV_Date,"&gt;0")),"↕  Mouvement de stock")</f>
        <v/>
      </c>
      <c r="AE45" s="106" t="n"/>
      <c r="AF45" s="106" t="n"/>
      <c r="AG45" s="107" t="n"/>
      <c r="AH45" s="3" t="n"/>
    </row>
    <row r="46" ht="24" customHeight="1">
      <c r="A46" s="1" t="n"/>
      <c r="B46" s="1" t="n"/>
      <c r="C46" s="2" t="n"/>
      <c r="D46" s="3" t="n"/>
      <c r="E46" s="89">
        <f>IFERROR(INDEX(FOU_Article,MATCH(SMALL(FOU_Score,6),FOU_Score,0)),"")</f>
        <v/>
      </c>
      <c r="J46" s="90">
        <f>IFERROR(INDEX(FOU_Unite,MATCH(SMALL(FOU_Score,6),FOU_Score,0)),"")</f>
        <v/>
      </c>
      <c r="L46" s="109">
        <f>IFERROR(INDEX(FOU_Stock,MATCH(SMALL(FOU_Score,6),FOU_Score,0)),"")</f>
        <v/>
      </c>
      <c r="N46" s="110">
        <f>IFERROR(INDEX(FOU_Seuil,MATCH(SMALL(FOU_Score,6),FOU_Score,0)),"")</f>
        <v/>
      </c>
      <c r="Q46" s="95">
        <f>IFERROR(INDEX(FOU_Statut,MATCH(SMALL(FOU_Score,6),FOU_Score,0)),"")</f>
        <v/>
      </c>
      <c r="R46" s="32" t="n"/>
      <c r="S46" s="3" t="n"/>
      <c r="T46" s="28" t="n"/>
      <c r="U46" s="29" t="n"/>
      <c r="V46" s="29" t="n"/>
      <c r="W46" s="29" t="n"/>
      <c r="X46" s="29" t="n"/>
      <c r="Y46" s="29" t="n"/>
      <c r="Z46" s="29" t="n"/>
      <c r="AA46" s="29" t="n"/>
      <c r="AB46" s="30" t="n"/>
      <c r="AC46" s="3" t="n"/>
      <c r="AD46" s="105">
        <f>HYPERLINK("#'Recherche'!F5","🔍  Rechercher")</f>
        <v/>
      </c>
      <c r="AE46" s="106" t="n"/>
      <c r="AF46" s="106" t="n"/>
      <c r="AG46" s="107" t="n"/>
      <c r="AH46" s="3" t="n"/>
    </row>
    <row r="47" ht="24" customHeight="1">
      <c r="A47" s="1" t="n"/>
      <c r="B47" s="1" t="n"/>
      <c r="C47" s="2" t="n"/>
      <c r="D47" s="3" t="n"/>
      <c r="E47" s="28" t="n"/>
      <c r="F47" s="29" t="n"/>
      <c r="G47" s="29" t="n"/>
      <c r="H47" s="29" t="n"/>
      <c r="I47" s="29" t="n"/>
      <c r="J47" s="29" t="n"/>
      <c r="K47" s="29" t="n"/>
      <c r="L47" s="29" t="n"/>
      <c r="M47" s="29" t="n"/>
      <c r="N47" s="29" t="n"/>
      <c r="O47" s="29" t="n"/>
      <c r="P47" s="29" t="n"/>
      <c r="Q47" s="29" t="n"/>
      <c r="R47" s="30" t="n"/>
      <c r="S47" s="3" t="n"/>
      <c r="T47" s="28" t="n"/>
      <c r="U47" s="29" t="n"/>
      <c r="V47" s="29" t="n"/>
      <c r="W47" s="29" t="n"/>
      <c r="X47" s="29" t="n"/>
      <c r="Y47" s="29" t="n"/>
      <c r="Z47" s="29" t="n"/>
      <c r="AA47" s="29" t="n"/>
      <c r="AB47" s="30" t="n"/>
      <c r="AC47" s="3" t="n"/>
      <c r="AD47" s="28" t="n"/>
      <c r="AE47" s="29" t="n"/>
      <c r="AF47" s="29" t="n"/>
      <c r="AG47" s="30" t="n"/>
      <c r="AH47" s="3" t="n"/>
    </row>
    <row r="48" ht="10" customHeight="1">
      <c r="A48" s="1" t="n"/>
      <c r="B48" s="1" t="n"/>
      <c r="C48" s="2" t="n"/>
      <c r="D48" s="3" t="n"/>
      <c r="E48" s="36" t="n"/>
      <c r="F48" s="37" t="n"/>
      <c r="G48" s="37" t="n"/>
      <c r="H48" s="37" t="n"/>
      <c r="I48" s="37" t="n"/>
      <c r="J48" s="37" t="n"/>
      <c r="K48" s="37" t="n"/>
      <c r="L48" s="37" t="n"/>
      <c r="M48" s="37" t="n"/>
      <c r="N48" s="37" t="n"/>
      <c r="O48" s="37" t="n"/>
      <c r="P48" s="37" t="n"/>
      <c r="Q48" s="37" t="n"/>
      <c r="R48" s="38" t="n"/>
      <c r="S48" s="3" t="n"/>
      <c r="T48" s="36" t="n"/>
      <c r="U48" s="37" t="n"/>
      <c r="V48" s="37" t="n"/>
      <c r="W48" s="37" t="n"/>
      <c r="X48" s="37" t="n"/>
      <c r="Y48" s="37" t="n"/>
      <c r="Z48" s="37" t="n"/>
      <c r="AA48" s="37" t="n"/>
      <c r="AB48" s="38" t="n"/>
      <c r="AC48" s="3" t="n"/>
      <c r="AD48" s="36" t="n"/>
      <c r="AE48" s="37" t="n"/>
      <c r="AF48" s="37" t="n"/>
      <c r="AG48" s="38" t="n"/>
      <c r="AH48" s="3" t="n"/>
    </row>
    <row r="49" ht="14" customHeight="1">
      <c r="A49" s="1" t="n"/>
      <c r="B49" s="1" t="n"/>
      <c r="C49" s="2"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c r="AA49" s="3" t="n"/>
      <c r="AB49" s="3" t="n"/>
      <c r="AC49" s="3" t="n"/>
      <c r="AD49" s="3" t="n"/>
      <c r="AE49" s="3" t="n"/>
      <c r="AF49" s="3" t="n"/>
      <c r="AG49" s="3" t="n"/>
      <c r="AH49" s="3" t="n"/>
    </row>
    <row r="50" ht="18" customHeight="1">
      <c r="A50" s="1" t="n"/>
      <c r="B50" s="111" t="inlineStr">
        <is>
          <t>Made by Alexandre Declaire</t>
        </is>
      </c>
      <c r="C50" s="2" t="n"/>
      <c r="D50" s="3" t="n"/>
      <c r="E50" s="112">
        <f>"Bibliothèque "&amp;P_Ecole&amp;"  ·  Les chiffres se mettent à jour automatiquement à partir des feuilles de données."</f>
        <v/>
      </c>
      <c r="F50" s="3" t="n"/>
      <c r="G50" s="3" t="n"/>
      <c r="H50" s="3" t="n"/>
      <c r="I50" s="3" t="n"/>
      <c r="J50" s="3" t="n"/>
      <c r="K50" s="3" t="n"/>
      <c r="L50" s="3" t="n"/>
      <c r="M50" s="3" t="n"/>
      <c r="N50" s="3" t="n"/>
      <c r="O50" s="3" t="n"/>
      <c r="P50" s="3" t="n"/>
      <c r="Q50" s="3" t="n"/>
      <c r="R50" s="3" t="n"/>
      <c r="S50" s="3" t="n"/>
      <c r="T50" s="3" t="n"/>
      <c r="U50" s="3" t="n"/>
      <c r="V50" s="3" t="n"/>
      <c r="W50" s="3" t="n"/>
      <c r="X50" s="3" t="n"/>
      <c r="Y50" s="3" t="n"/>
      <c r="Z50" s="3" t="n"/>
      <c r="AA50" s="3" t="n"/>
      <c r="AB50" s="3" t="n"/>
      <c r="AC50" s="3" t="n"/>
      <c r="AD50" s="3" t="n"/>
      <c r="AE50" s="3" t="n"/>
      <c r="AF50" s="3" t="n"/>
      <c r="AG50" s="3" t="n"/>
      <c r="AH50" s="3" t="n"/>
    </row>
    <row r="51" ht="12" customHeight="1">
      <c r="A51" s="1" t="n"/>
      <c r="B51" s="1" t="n"/>
      <c r="C51" s="2"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c r="AA51" s="3" t="n"/>
      <c r="AB51" s="3" t="n"/>
      <c r="AC51" s="3" t="n"/>
      <c r="AD51" s="3" t="n"/>
      <c r="AE51" s="3" t="n"/>
      <c r="AF51" s="3" t="n"/>
      <c r="AG51" s="3" t="n"/>
      <c r="AH51" s="3" t="n"/>
    </row>
    <row r="52" ht="12" customHeight="1">
      <c r="A52" s="1" t="n"/>
      <c r="B52" s="1" t="n"/>
      <c r="C52" s="2"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c r="AA52" s="3" t="n"/>
      <c r="AB52" s="3" t="n"/>
      <c r="AC52" s="3" t="n"/>
      <c r="AD52" s="3" t="n"/>
      <c r="AE52" s="3" t="n"/>
      <c r="AF52" s="3" t="n"/>
      <c r="AG52" s="3" t="n"/>
      <c r="AH52" s="3" t="n"/>
    </row>
  </sheetData>
  <mergeCells count="161">
    <mergeCell ref="V32:Y32"/>
    <mergeCell ref="AD41:AG41"/>
    <mergeCell ref="AD19:AF19"/>
    <mergeCell ref="N33:P33"/>
    <mergeCell ref="T8:W8"/>
    <mergeCell ref="N42:P42"/>
    <mergeCell ref="B22:C22"/>
    <mergeCell ref="AD43:AG43"/>
    <mergeCell ref="T12:AB12"/>
    <mergeCell ref="J33:M33"/>
    <mergeCell ref="N44:P44"/>
    <mergeCell ref="B21:C21"/>
    <mergeCell ref="AD42:AG42"/>
    <mergeCell ref="O7:R7"/>
    <mergeCell ref="AD12:AG12"/>
    <mergeCell ref="B14:C14"/>
    <mergeCell ref="J45:K45"/>
    <mergeCell ref="AD22:AF22"/>
    <mergeCell ref="P12:R12"/>
    <mergeCell ref="E31:I31"/>
    <mergeCell ref="L45:M45"/>
    <mergeCell ref="O2:W2"/>
    <mergeCell ref="Q35:R35"/>
    <mergeCell ref="E40:I40"/>
    <mergeCell ref="P30:R30"/>
    <mergeCell ref="E8:H8"/>
    <mergeCell ref="J9:M9"/>
    <mergeCell ref="AG18:AG19"/>
    <mergeCell ref="L40:M40"/>
    <mergeCell ref="AG20:AG21"/>
    <mergeCell ref="AG14:AG15"/>
    <mergeCell ref="AD46:AG46"/>
    <mergeCell ref="V31:Y31"/>
    <mergeCell ref="N32:P32"/>
    <mergeCell ref="Z31:AD31"/>
    <mergeCell ref="Y44:AA44"/>
    <mergeCell ref="Y20:AA20"/>
    <mergeCell ref="B16:C16"/>
    <mergeCell ref="E12:O12"/>
    <mergeCell ref="Y14:AA14"/>
    <mergeCell ref="O8:R8"/>
    <mergeCell ref="T33:U33"/>
    <mergeCell ref="E42:I42"/>
    <mergeCell ref="T7:W7"/>
    <mergeCell ref="AD7:AG7"/>
    <mergeCell ref="Y22:AA22"/>
    <mergeCell ref="B18:C18"/>
    <mergeCell ref="Z32:AD32"/>
    <mergeCell ref="T35:U35"/>
    <mergeCell ref="E44:I44"/>
    <mergeCell ref="J8:M8"/>
    <mergeCell ref="L42:M42"/>
    <mergeCell ref="AD8:AG8"/>
    <mergeCell ref="AG16:AG17"/>
    <mergeCell ref="V33:Y33"/>
    <mergeCell ref="N34:P34"/>
    <mergeCell ref="Q31:R31"/>
    <mergeCell ref="Q40:R40"/>
    <mergeCell ref="Z33:AD33"/>
    <mergeCell ref="N36:P36"/>
    <mergeCell ref="V35:Y35"/>
    <mergeCell ref="E46:I46"/>
    <mergeCell ref="J34:M34"/>
    <mergeCell ref="N45:P45"/>
    <mergeCell ref="AD44:AG44"/>
    <mergeCell ref="Y23:AA23"/>
    <mergeCell ref="V34:Y34"/>
    <mergeCell ref="L44:M44"/>
    <mergeCell ref="AD21:AF21"/>
    <mergeCell ref="AD25:AG25"/>
    <mergeCell ref="T31:U31"/>
    <mergeCell ref="Y43:AA43"/>
    <mergeCell ref="Z35:AD35"/>
    <mergeCell ref="T9:W9"/>
    <mergeCell ref="J36:M36"/>
    <mergeCell ref="B15:C15"/>
    <mergeCell ref="AD20:AF20"/>
    <mergeCell ref="J46:K46"/>
    <mergeCell ref="AD14:AF14"/>
    <mergeCell ref="E32:I32"/>
    <mergeCell ref="Z34:AD34"/>
    <mergeCell ref="L46:M46"/>
    <mergeCell ref="AD23:AF23"/>
    <mergeCell ref="E41:I41"/>
    <mergeCell ref="AD45:AG45"/>
    <mergeCell ref="Y7:AB7"/>
    <mergeCell ref="Z36:AD36"/>
    <mergeCell ref="E43:I43"/>
    <mergeCell ref="Y2:AG2"/>
    <mergeCell ref="AE33:AG33"/>
    <mergeCell ref="AG22:AG23"/>
    <mergeCell ref="J31:M31"/>
    <mergeCell ref="AD15:AF15"/>
    <mergeCell ref="Y19:AA19"/>
    <mergeCell ref="E33:I33"/>
    <mergeCell ref="Q42:R42"/>
    <mergeCell ref="Y17:AA17"/>
    <mergeCell ref="J40:K40"/>
    <mergeCell ref="E39:O39"/>
    <mergeCell ref="Y8:AB8"/>
    <mergeCell ref="L43:M43"/>
    <mergeCell ref="E35:I35"/>
    <mergeCell ref="Y45:AA45"/>
    <mergeCell ref="N40:P40"/>
    <mergeCell ref="B17:C17"/>
    <mergeCell ref="AD16:AF16"/>
    <mergeCell ref="AE30:AG30"/>
    <mergeCell ref="O9:R9"/>
    <mergeCell ref="Y9:AB9"/>
    <mergeCell ref="B19:C19"/>
    <mergeCell ref="AD18:AF18"/>
    <mergeCell ref="Q46:R46"/>
    <mergeCell ref="E45:I45"/>
    <mergeCell ref="N35:P35"/>
    <mergeCell ref="Y42:AA42"/>
    <mergeCell ref="T39:AB39"/>
    <mergeCell ref="AD17:AF17"/>
    <mergeCell ref="B30:C30"/>
    <mergeCell ref="AE32:AG32"/>
    <mergeCell ref="Q45:R45"/>
    <mergeCell ref="B20:C20"/>
    <mergeCell ref="J35:M35"/>
    <mergeCell ref="Y15:AA15"/>
    <mergeCell ref="T34:U34"/>
    <mergeCell ref="J42:K42"/>
    <mergeCell ref="Q32:R32"/>
    <mergeCell ref="Q41:R41"/>
    <mergeCell ref="Y21:AA21"/>
    <mergeCell ref="V36:Y36"/>
    <mergeCell ref="J44:K44"/>
    <mergeCell ref="N46:P46"/>
    <mergeCell ref="Q43:R43"/>
    <mergeCell ref="T30:AD30"/>
    <mergeCell ref="T32:U32"/>
    <mergeCell ref="E7:H7"/>
    <mergeCell ref="Q33:R33"/>
    <mergeCell ref="P39:R39"/>
    <mergeCell ref="Y16:AA16"/>
    <mergeCell ref="AD9:AG9"/>
    <mergeCell ref="AD39:AG39"/>
    <mergeCell ref="N31:P31"/>
    <mergeCell ref="Y18:AA18"/>
    <mergeCell ref="AE34:AG34"/>
    <mergeCell ref="Q34:R34"/>
    <mergeCell ref="E34:I34"/>
    <mergeCell ref="E30:O30"/>
    <mergeCell ref="AE36:AG36"/>
    <mergeCell ref="J41:K41"/>
    <mergeCell ref="Q44:R44"/>
    <mergeCell ref="L41:M41"/>
    <mergeCell ref="Q36:R36"/>
    <mergeCell ref="E36:I36"/>
    <mergeCell ref="E9:H9"/>
    <mergeCell ref="N41:P41"/>
    <mergeCell ref="AE35:AG35"/>
    <mergeCell ref="J43:K43"/>
    <mergeCell ref="N43:P43"/>
    <mergeCell ref="AE31:AG31"/>
    <mergeCell ref="T36:U36"/>
    <mergeCell ref="J32:M32"/>
    <mergeCell ref="J7:M7"/>
  </mergeCells>
  <conditionalFormatting sqref="T9">
    <cfRule type="expression" priority="1" dxfId="0">
      <formula>Calculs!$M$2&gt;=0</formula>
    </cfRule>
    <cfRule type="expression" priority="2" dxfId="1">
      <formula>Calculs!$M$2&lt;0</formula>
    </cfRule>
  </conditionalFormatting>
  <conditionalFormatting sqref="AE32:AE36">
    <cfRule type="expression" priority="3" dxfId="2" stopIfTrue="1">
      <formula>OR($AE32="Disponible",$AE32="Rendu",$AE32="En stock",$AE32="Actif",$AE32="Entrée",$AE32="Oui")</formula>
    </cfRule>
    <cfRule type="expression" priority="4" dxfId="3" stopIfTrue="1">
      <formula>OR($AE32="En retard",$AE32="Rupture",$AE32="Indisponible",$AE32="Non")</formula>
    </cfRule>
    <cfRule type="expression" priority="5" dxfId="4" stopIfTrue="1">
      <formula>OR($AE32="Stock faible",$AE32="Dernier exemplaire",$AE32="Rendu en retard",$AE32="Limite atteinte",$AE32="Sortie")</formula>
    </cfRule>
    <cfRule type="expression" priority="6" dxfId="5" stopIfTrue="1">
      <formula>OR($AE32="En cours")</formula>
    </cfRule>
  </conditionalFormatting>
  <conditionalFormatting sqref="Q41:Q46">
    <cfRule type="expression" priority="7" dxfId="2" stopIfTrue="1">
      <formula>OR($Q41="Disponible",$Q41="Rendu",$Q41="En stock",$Q41="Actif",$Q41="Entrée",$Q41="Oui")</formula>
    </cfRule>
    <cfRule type="expression" priority="8" dxfId="3" stopIfTrue="1">
      <formula>OR($Q41="En retard",$Q41="Rupture",$Q41="Indisponible",$Q41="Non")</formula>
    </cfRule>
    <cfRule type="expression" priority="9" dxfId="4" stopIfTrue="1">
      <formula>OR($Q41="Stock faible",$Q41="Dernier exemplaire",$Q41="Rendu en retard",$Q41="Limite atteinte",$Q41="Sortie")</formula>
    </cfRule>
    <cfRule type="expression" priority="10" dxfId="5" stopIfTrue="1">
      <formula>OR($Q41="En cours")</formula>
    </cfRule>
  </conditionalFormatting>
  <pageMargins left="0.75" right="0.75" top="1" bottom="1" header="0.5" footer="0.5"/>
  <pageSetup orientation="landscape" fitToHeight="1" fitToWidth="1"/>
  <drawing xmlns:r="http://schemas.openxmlformats.org/officeDocument/2006/relationships" r:id="rId1"/>
</worksheet>
</file>

<file path=xl/worksheets/sheet2.xml><?xml version="1.0" encoding="utf-8"?>
<worksheet xmlns="http://schemas.openxmlformats.org/spreadsheetml/2006/main">
  <sheetPr>
    <tabColor rgb="0000AEEF"/>
    <outlinePr summaryBelow="1" summaryRight="1"/>
    <pageSetUpPr fitToPage="1"/>
  </sheetPr>
  <dimension ref="A1:U308"/>
  <sheetViews>
    <sheetView showGridLines="0" zoomScale="100" workbookViewId="0">
      <pane xSplit="4" ySplit="6" topLeftCell="E7" activePane="bottomRight" state="frozen"/>
      <selection pane="topRight"/>
      <selection pane="bottomLeft"/>
      <selection pane="bottomRight" activeCell="A1" sqref="A1"/>
    </sheetView>
  </sheetViews>
  <sheetFormatPr baseColWidth="8" defaultRowHeight="15"/>
  <cols>
    <col width="1" customWidth="1" min="1" max="1"/>
    <col width="23" customWidth="1" min="2" max="2"/>
    <col width="12" customWidth="1" min="3" max="3"/>
    <col width="3" customWidth="1" min="4" max="4"/>
    <col width="11" customWidth="1" min="5" max="5"/>
    <col width="20" customWidth="1" min="6" max="6"/>
    <col width="36" customWidth="1" min="7" max="7"/>
    <col width="24" customWidth="1" min="8" max="8"/>
    <col width="19" customWidth="1" min="9" max="9"/>
    <col width="18" customWidth="1" min="10" max="10"/>
    <col width="8" customWidth="1" min="11" max="11"/>
    <col width="12" customWidth="1" min="12" max="12"/>
    <col width="13" customWidth="1" min="13" max="13"/>
    <col width="11" customWidth="1" min="14" max="14"/>
    <col width="12" customWidth="1" min="15" max="15"/>
    <col width="13" customWidth="1" min="16" max="16"/>
    <col width="19" customWidth="1" min="17" max="17"/>
    <col width="3" customWidth="1" min="18" max="18"/>
    <col hidden="1" width="13" customWidth="1" min="19" max="19"/>
    <col hidden="1" width="13" customWidth="1" min="20" max="20"/>
    <col hidden="1" width="13" customWidth="1" min="21" max="21"/>
  </cols>
  <sheetData>
    <row r="1" ht="8" customHeight="1">
      <c r="A1" s="1" t="n"/>
      <c r="B1" s="1" t="n"/>
      <c r="C1" s="2" t="n"/>
    </row>
    <row r="2" ht="32" customHeight="1">
      <c r="A2" s="1" t="n"/>
      <c r="B2" s="1" t="n"/>
      <c r="C2" s="2" t="n"/>
      <c r="E2" s="113" t="inlineStr">
        <is>
          <t>📚  Catalogue des livres</t>
        </is>
      </c>
      <c r="N2" s="114">
        <f>HYPERLINK("#'Tableau de bord'!A1","⌂  Tableau de bord")</f>
        <v/>
      </c>
      <c r="O2" s="115" t="n"/>
      <c r="P2" s="116">
        <f>HYPERLINK("#'Livres'!E"&amp;(7+COUNTIF(LIV_Code,"?*")),"＋  Nouveau livre")</f>
        <v/>
      </c>
      <c r="Q2" s="117" t="n"/>
    </row>
    <row r="3" ht="18" customHeight="1">
      <c r="A3" s="1" t="n"/>
      <c r="B3" s="1" t="n"/>
      <c r="C3" s="2" t="n"/>
      <c r="E3" s="118" t="inlineStr">
        <is>
          <t>Saisissez dans les colonnes blanches — les colonnes bleutées se calculent automatiquement.</t>
        </is>
      </c>
    </row>
    <row r="4" ht="26" customHeight="1">
      <c r="A4" s="1" t="n"/>
      <c r="B4" s="1" t="n"/>
      <c r="C4" s="2" t="n"/>
      <c r="E4" s="119">
        <f>COUNTIF(LIV_Code,"?*")&amp;" titres"</f>
        <v/>
      </c>
      <c r="F4" s="120" t="n"/>
      <c r="G4" s="119">
        <f>SUM(LIV_Ex)&amp;" exemplaires"</f>
        <v/>
      </c>
      <c r="H4" s="120" t="n"/>
      <c r="I4" s="121">
        <f>SUM(LIV_Dispo)&amp;" disponibles"</f>
        <v/>
      </c>
      <c r="J4" s="122" t="n"/>
      <c r="K4" s="123">
        <f>SUM(LIV_Emp)&amp;" empruntés"</f>
        <v/>
      </c>
      <c r="L4" s="120" t="n"/>
    </row>
    <row r="5" ht="10" customHeight="1">
      <c r="A5" s="1" t="n"/>
      <c r="B5" s="1" t="n"/>
      <c r="C5" s="2" t="n"/>
    </row>
    <row r="6" ht="30" customHeight="1">
      <c r="A6" s="1" t="n"/>
      <c r="B6" s="1" t="n"/>
      <c r="C6" s="2" t="n"/>
      <c r="E6" s="124" t="inlineStr">
        <is>
          <t>Code</t>
        </is>
      </c>
      <c r="F6" s="124" t="inlineStr">
        <is>
          <t>ISBN</t>
        </is>
      </c>
      <c r="G6" s="124" t="inlineStr">
        <is>
          <t>Titre</t>
        </is>
      </c>
      <c r="H6" s="124" t="inlineStr">
        <is>
          <t>Auteur</t>
        </is>
      </c>
      <c r="I6" s="124" t="inlineStr">
        <is>
          <t>Catégorie</t>
        </is>
      </c>
      <c r="J6" s="124" t="inlineStr">
        <is>
          <t>Éditeur</t>
        </is>
      </c>
      <c r="K6" s="124" t="inlineStr">
        <is>
          <t>Année</t>
        </is>
      </c>
      <c r="L6" s="125" t="inlineStr">
        <is>
          <t>Exemplaires</t>
        </is>
      </c>
      <c r="M6" s="124" t="inlineStr">
        <is>
          <t>Emplacement</t>
        </is>
      </c>
      <c r="N6" s="126" t="inlineStr">
        <is>
          <t>Empruntés</t>
        </is>
      </c>
      <c r="O6" s="126" t="inlineStr">
        <is>
          <t>Disponibles</t>
        </is>
      </c>
      <c r="P6" s="126" t="inlineStr">
        <is>
          <t>Total emprunts</t>
        </is>
      </c>
      <c r="Q6" s="126" t="inlineStr">
        <is>
          <t>Statut</t>
        </is>
      </c>
    </row>
    <row r="7" ht="21" customHeight="1">
      <c r="A7" s="1" t="n"/>
      <c r="B7" s="1" t="n"/>
      <c r="C7" s="2" t="n"/>
      <c r="E7" s="127" t="inlineStr">
        <is>
          <t>LIV-001</t>
        </is>
      </c>
      <c r="F7" s="127" t="inlineStr">
        <is>
          <t>978-2-2824-1409-4</t>
        </is>
      </c>
      <c r="G7" s="127" t="inlineStr">
        <is>
          <t>L'Enfant noir</t>
        </is>
      </c>
      <c r="H7" s="127" t="inlineStr">
        <is>
          <t>Camara Laye</t>
        </is>
      </c>
      <c r="I7" s="127" t="inlineStr">
        <is>
          <t>Littérature africaine</t>
        </is>
      </c>
      <c r="J7" s="127" t="inlineStr">
        <is>
          <t>Plon</t>
        </is>
      </c>
      <c r="K7" s="128" t="n">
        <v>1953</v>
      </c>
      <c r="L7" s="128" t="n">
        <v>4</v>
      </c>
      <c r="M7" s="127" t="inlineStr">
        <is>
          <t>Rayon B2</t>
        </is>
      </c>
      <c r="N7" s="129">
        <f>IF($E7="","",COUNTIFS(EMP_Livre,$E7,EMP_Retour,""))</f>
        <v/>
      </c>
      <c r="O7" s="129">
        <f>IF($E7="","",$L7-$N7)</f>
        <v/>
      </c>
      <c r="P7" s="129">
        <f>IF($E7="","",COUNTIF(EMP_Livre,$E7))</f>
        <v/>
      </c>
      <c r="Q7" s="130">
        <f>IF($E7="","",IF($O7&lt;=0,"Indisponible",IF(AND($O7=1,$L7&gt;1),"Dernier exemplaire","Disponible")))</f>
        <v/>
      </c>
      <c r="S7">
        <f>IF($E7="","",$P7+ROW()/100000)</f>
        <v/>
      </c>
      <c r="T7">
        <f>IF(OR(Q_Rech="",$E7=""),"",IF(ISNUMBER(SEARCH(Q_Rech,$E7&amp;" "&amp;$F7&amp;" "&amp;$G7&amp;" "&amp;$H7&amp;" "&amp;$I7)),COUNT($T$6:$T6)+1,""))</f>
        <v/>
      </c>
      <c r="U7">
        <f>IF($E7="","",IF(COUNTIFS(EMP_Livre,$E7,EMP_Date,"&gt;="&amp;R_Mois,EMP_Date,"&lt;"&amp;EDATE(R_Mois,1))=0,"",COUNTIFS(EMP_Livre,$E7,EMP_Date,"&gt;="&amp;R_Mois,EMP_Date,"&lt;"&amp;EDATE(R_Mois,1))+ROW()/100000))</f>
        <v/>
      </c>
    </row>
    <row r="8" ht="21" customHeight="1">
      <c r="A8" s="1" t="n"/>
      <c r="B8" s="53">
        <f>HYPERLINK("#'Tableau de bord'!A1","▦   Tableau de bord")</f>
        <v/>
      </c>
      <c r="C8" s="54" t="n"/>
      <c r="E8" s="127" t="inlineStr">
        <is>
          <t>LIV-002</t>
        </is>
      </c>
      <c r="F8" s="127" t="inlineStr">
        <is>
          <t>978-2-3286-2679-8</t>
        </is>
      </c>
      <c r="G8" s="127" t="inlineStr">
        <is>
          <t>Une si longue lettre</t>
        </is>
      </c>
      <c r="H8" s="127" t="inlineStr">
        <is>
          <t>Mariama Bâ</t>
        </is>
      </c>
      <c r="I8" s="127" t="inlineStr">
        <is>
          <t>Littérature africaine</t>
        </is>
      </c>
      <c r="J8" s="127" t="inlineStr">
        <is>
          <t>NEA</t>
        </is>
      </c>
      <c r="K8" s="128" t="n">
        <v>1979</v>
      </c>
      <c r="L8" s="128" t="n">
        <v>3</v>
      </c>
      <c r="M8" s="127" t="inlineStr">
        <is>
          <t>Rayon B4</t>
        </is>
      </c>
      <c r="N8" s="129">
        <f>IF($E8="","",COUNTIFS(EMP_Livre,$E8,EMP_Retour,""))</f>
        <v/>
      </c>
      <c r="O8" s="129">
        <f>IF($E8="","",$L8-$N8)</f>
        <v/>
      </c>
      <c r="P8" s="129">
        <f>IF($E8="","",COUNTIF(EMP_Livre,$E8))</f>
        <v/>
      </c>
      <c r="Q8" s="130">
        <f>IF($E8="","",IF($O8&lt;=0,"Indisponible",IF(AND($O8=1,$L8&gt;1),"Dernier exemplaire","Disponible")))</f>
        <v/>
      </c>
      <c r="S8">
        <f>IF($E8="","",$P8+ROW()/100000)</f>
        <v/>
      </c>
      <c r="T8">
        <f>IF(OR(Q_Rech="",$E8=""),"",IF(ISNUMBER(SEARCH(Q_Rech,$E8&amp;" "&amp;$F8&amp;" "&amp;$G8&amp;" "&amp;$H8&amp;" "&amp;$I8)),COUNT($T$6:$T7)+1,""))</f>
        <v/>
      </c>
      <c r="U8">
        <f>IF($E8="","",IF(COUNTIFS(EMP_Livre,$E8,EMP_Date,"&gt;="&amp;R_Mois,EMP_Date,"&lt;"&amp;EDATE(R_Mois,1))=0,"",COUNTIFS(EMP_Livre,$E8,EMP_Date,"&gt;="&amp;R_Mois,EMP_Date,"&lt;"&amp;EDATE(R_Mois,1))+ROW()/100000))</f>
        <v/>
      </c>
    </row>
    <row r="9" ht="21" customHeight="1">
      <c r="A9" s="45" t="n"/>
      <c r="B9" s="46">
        <f>HYPERLINK("#'Livres'!A1","📚   Livres")</f>
        <v/>
      </c>
      <c r="C9" s="47" t="n"/>
      <c r="E9" s="127" t="inlineStr">
        <is>
          <t>LIV-003</t>
        </is>
      </c>
      <c r="F9" s="127" t="inlineStr">
        <is>
          <t>978-2-1520-1488-1</t>
        </is>
      </c>
      <c r="G9" s="127" t="inlineStr">
        <is>
          <t>Le Vieux Nègre et la médaille</t>
        </is>
      </c>
      <c r="H9" s="127" t="inlineStr">
        <is>
          <t>Ferdinand Oyono</t>
        </is>
      </c>
      <c r="I9" s="127" t="inlineStr">
        <is>
          <t>Littérature africaine</t>
        </is>
      </c>
      <c r="J9" s="127" t="inlineStr">
        <is>
          <t>Julliard</t>
        </is>
      </c>
      <c r="K9" s="128" t="n">
        <v>1956</v>
      </c>
      <c r="L9" s="128" t="n">
        <v>2</v>
      </c>
      <c r="M9" s="127" t="inlineStr">
        <is>
          <t>Rayon B2</t>
        </is>
      </c>
      <c r="N9" s="129">
        <f>IF($E9="","",COUNTIFS(EMP_Livre,$E9,EMP_Retour,""))</f>
        <v/>
      </c>
      <c r="O9" s="129">
        <f>IF($E9="","",$L9-$N9)</f>
        <v/>
      </c>
      <c r="P9" s="129">
        <f>IF($E9="","",COUNTIF(EMP_Livre,$E9))</f>
        <v/>
      </c>
      <c r="Q9" s="130">
        <f>IF($E9="","",IF($O9&lt;=0,"Indisponible",IF(AND($O9=1,$L9&gt;1),"Dernier exemplaire","Disponible")))</f>
        <v/>
      </c>
      <c r="S9">
        <f>IF($E9="","",$P9+ROW()/100000)</f>
        <v/>
      </c>
      <c r="T9">
        <f>IF(OR(Q_Rech="",$E9=""),"",IF(ISNUMBER(SEARCH(Q_Rech,$E9&amp;" "&amp;$F9&amp;" "&amp;$G9&amp;" "&amp;$H9&amp;" "&amp;$I9)),COUNT($T$6:$T8)+1,""))</f>
        <v/>
      </c>
      <c r="U9">
        <f>IF($E9="","",IF(COUNTIFS(EMP_Livre,$E9,EMP_Date,"&gt;="&amp;R_Mois,EMP_Date,"&lt;"&amp;EDATE(R_Mois,1))=0,"",COUNTIFS(EMP_Livre,$E9,EMP_Date,"&gt;="&amp;R_Mois,EMP_Date,"&lt;"&amp;EDATE(R_Mois,1))+ROW()/100000))</f>
        <v/>
      </c>
    </row>
    <row r="10" ht="21" customHeight="1">
      <c r="A10" s="1" t="n"/>
      <c r="B10" s="53">
        <f>HYPERLINK("#'Membres'!A1","👥   Membres")</f>
        <v/>
      </c>
      <c r="C10" s="54" t="n"/>
      <c r="E10" s="127" t="inlineStr">
        <is>
          <t>LIV-004</t>
        </is>
      </c>
      <c r="F10" s="127" t="inlineStr">
        <is>
          <t>978-2-9279-1434-8</t>
        </is>
      </c>
      <c r="G10" s="127" t="inlineStr">
        <is>
          <t>Les Soleils des indépendances</t>
        </is>
      </c>
      <c r="H10" s="127" t="inlineStr">
        <is>
          <t>Ahmadou Kourouma</t>
        </is>
      </c>
      <c r="I10" s="127" t="inlineStr">
        <is>
          <t>Littérature africaine</t>
        </is>
      </c>
      <c r="J10" s="127" t="inlineStr">
        <is>
          <t>Seuil</t>
        </is>
      </c>
      <c r="K10" s="128" t="n">
        <v>1968</v>
      </c>
      <c r="L10" s="128" t="n">
        <v>4</v>
      </c>
      <c r="M10" s="127" t="inlineStr">
        <is>
          <t>Rayon B4</t>
        </is>
      </c>
      <c r="N10" s="129">
        <f>IF($E10="","",COUNTIFS(EMP_Livre,$E10,EMP_Retour,""))</f>
        <v/>
      </c>
      <c r="O10" s="129">
        <f>IF($E10="","",$L10-$N10)</f>
        <v/>
      </c>
      <c r="P10" s="129">
        <f>IF($E10="","",COUNTIF(EMP_Livre,$E10))</f>
        <v/>
      </c>
      <c r="Q10" s="130">
        <f>IF($E10="","",IF($O10&lt;=0,"Indisponible",IF(AND($O10=1,$L10&gt;1),"Dernier exemplaire","Disponible")))</f>
        <v/>
      </c>
      <c r="S10">
        <f>IF($E10="","",$P10+ROW()/100000)</f>
        <v/>
      </c>
      <c r="T10">
        <f>IF(OR(Q_Rech="",$E10=""),"",IF(ISNUMBER(SEARCH(Q_Rech,$E10&amp;" "&amp;$F10&amp;" "&amp;$G10&amp;" "&amp;$H10&amp;" "&amp;$I10)),COUNT($T$6:$T9)+1,""))</f>
        <v/>
      </c>
      <c r="U10">
        <f>IF($E10="","",IF(COUNTIFS(EMP_Livre,$E10,EMP_Date,"&gt;="&amp;R_Mois,EMP_Date,"&lt;"&amp;EDATE(R_Mois,1))=0,"",COUNTIFS(EMP_Livre,$E10,EMP_Date,"&gt;="&amp;R_Mois,EMP_Date,"&lt;"&amp;EDATE(R_Mois,1))+ROW()/100000))</f>
        <v/>
      </c>
    </row>
    <row r="11" ht="21" customHeight="1">
      <c r="A11" s="1" t="n"/>
      <c r="B11" s="53">
        <f>HYPERLINK("#'Emprunts'!A1","🔄   Emprunts")</f>
        <v/>
      </c>
      <c r="C11" s="54" t="n"/>
      <c r="E11" s="127" t="inlineStr">
        <is>
          <t>LIV-005</t>
        </is>
      </c>
      <c r="F11" s="127" t="inlineStr">
        <is>
          <t>978-2-4611-8359-9</t>
        </is>
      </c>
      <c r="G11" s="127" t="inlineStr">
        <is>
          <t>Things Fall Apart</t>
        </is>
      </c>
      <c r="H11" s="127" t="inlineStr">
        <is>
          <t>Chinua Achebe</t>
        </is>
      </c>
      <c r="I11" s="127" t="inlineStr">
        <is>
          <t>Littérature africaine</t>
        </is>
      </c>
      <c r="J11" s="127" t="inlineStr">
        <is>
          <t>Heinemann</t>
        </is>
      </c>
      <c r="K11" s="128" t="n">
        <v>1958</v>
      </c>
      <c r="L11" s="128" t="n">
        <v>2</v>
      </c>
      <c r="M11" s="127" t="inlineStr">
        <is>
          <t>Rayon B1</t>
        </is>
      </c>
      <c r="N11" s="129">
        <f>IF($E11="","",COUNTIFS(EMP_Livre,$E11,EMP_Retour,""))</f>
        <v/>
      </c>
      <c r="O11" s="129">
        <f>IF($E11="","",$L11-$N11)</f>
        <v/>
      </c>
      <c r="P11" s="129">
        <f>IF($E11="","",COUNTIF(EMP_Livre,$E11))</f>
        <v/>
      </c>
      <c r="Q11" s="130">
        <f>IF($E11="","",IF($O11&lt;=0,"Indisponible",IF(AND($O11=1,$L11&gt;1),"Dernier exemplaire","Disponible")))</f>
        <v/>
      </c>
      <c r="S11">
        <f>IF($E11="","",$P11+ROW()/100000)</f>
        <v/>
      </c>
      <c r="T11">
        <f>IF(OR(Q_Rech="",$E11=""),"",IF(ISNUMBER(SEARCH(Q_Rech,$E11&amp;" "&amp;$F11&amp;" "&amp;$G11&amp;" "&amp;$H11&amp;" "&amp;$I11)),COUNT($T$6:$T10)+1,""))</f>
        <v/>
      </c>
      <c r="U11">
        <f>IF($E11="","",IF(COUNTIFS(EMP_Livre,$E11,EMP_Date,"&gt;="&amp;R_Mois,EMP_Date,"&lt;"&amp;EDATE(R_Mois,1))=0,"",COUNTIFS(EMP_Livre,$E11,EMP_Date,"&gt;="&amp;R_Mois,EMP_Date,"&lt;"&amp;EDATE(R_Mois,1))+ROW()/100000))</f>
        <v/>
      </c>
    </row>
    <row r="12" ht="21" customHeight="1">
      <c r="A12" s="1" t="n"/>
      <c r="B12" s="53">
        <f>HYPERLINK("#'Fournitures'!A1","📦   Fournitures")</f>
        <v/>
      </c>
      <c r="C12" s="54" t="n"/>
      <c r="E12" s="127" t="inlineStr">
        <is>
          <t>LIV-006</t>
        </is>
      </c>
      <c r="F12" s="127" t="inlineStr">
        <is>
          <t>978-2-3615-7924-5</t>
        </is>
      </c>
      <c r="G12" s="127" t="inlineStr">
        <is>
          <t>Ville cruelle</t>
        </is>
      </c>
      <c r="H12" s="127" t="inlineStr">
        <is>
          <t>Mongo Beti</t>
        </is>
      </c>
      <c r="I12" s="127" t="inlineStr">
        <is>
          <t>Littérature africaine</t>
        </is>
      </c>
      <c r="J12" s="127" t="inlineStr">
        <is>
          <t>Présence Africaine</t>
        </is>
      </c>
      <c r="K12" s="128" t="n">
        <v>1954</v>
      </c>
      <c r="L12" s="128" t="n">
        <v>2</v>
      </c>
      <c r="M12" s="127" t="inlineStr">
        <is>
          <t>Rayon B2</t>
        </is>
      </c>
      <c r="N12" s="129">
        <f>IF($E12="","",COUNTIFS(EMP_Livre,$E12,EMP_Retour,""))</f>
        <v/>
      </c>
      <c r="O12" s="129">
        <f>IF($E12="","",$L12-$N12)</f>
        <v/>
      </c>
      <c r="P12" s="129">
        <f>IF($E12="","",COUNTIF(EMP_Livre,$E12))</f>
        <v/>
      </c>
      <c r="Q12" s="130">
        <f>IF($E12="","",IF($O12&lt;=0,"Indisponible",IF(AND($O12=1,$L12&gt;1),"Dernier exemplaire","Disponible")))</f>
        <v/>
      </c>
      <c r="S12">
        <f>IF($E12="","",$P12+ROW()/100000)</f>
        <v/>
      </c>
      <c r="T12">
        <f>IF(OR(Q_Rech="",$E12=""),"",IF(ISNUMBER(SEARCH(Q_Rech,$E12&amp;" "&amp;$F12&amp;" "&amp;$G12&amp;" "&amp;$H12&amp;" "&amp;$I12)),COUNT($T$6:$T11)+1,""))</f>
        <v/>
      </c>
      <c r="U12">
        <f>IF($E12="","",IF(COUNTIFS(EMP_Livre,$E12,EMP_Date,"&gt;="&amp;R_Mois,EMP_Date,"&lt;"&amp;EDATE(R_Mois,1))=0,"",COUNTIFS(EMP_Livre,$E12,EMP_Date,"&gt;="&amp;R_Mois,EMP_Date,"&lt;"&amp;EDATE(R_Mois,1))+ROW()/100000))</f>
        <v/>
      </c>
    </row>
    <row r="13" ht="21" customHeight="1">
      <c r="A13" s="1" t="n"/>
      <c r="B13" s="53">
        <f>HYPERLINK("#'Mouvements'!A1","↕   Mouvements de stock")</f>
        <v/>
      </c>
      <c r="C13" s="54" t="n"/>
      <c r="E13" s="127" t="inlineStr">
        <is>
          <t>LIV-007</t>
        </is>
      </c>
      <c r="F13" s="127" t="inlineStr">
        <is>
          <t>978-2-4527-6514-1</t>
        </is>
      </c>
      <c r="G13" s="127" t="inlineStr">
        <is>
          <t>Le Pleurer-Rire</t>
        </is>
      </c>
      <c r="H13" s="127" t="inlineStr">
        <is>
          <t>Henri Lopes</t>
        </is>
      </c>
      <c r="I13" s="127" t="inlineStr">
        <is>
          <t>Littérature africaine</t>
        </is>
      </c>
      <c r="J13" s="127" t="inlineStr">
        <is>
          <t>Présence Africaine</t>
        </is>
      </c>
      <c r="K13" s="128" t="n">
        <v>1982</v>
      </c>
      <c r="L13" s="128" t="n">
        <v>1</v>
      </c>
      <c r="M13" s="127" t="inlineStr">
        <is>
          <t>Rayon B4</t>
        </is>
      </c>
      <c r="N13" s="129">
        <f>IF($E13="","",COUNTIFS(EMP_Livre,$E13,EMP_Retour,""))</f>
        <v/>
      </c>
      <c r="O13" s="129">
        <f>IF($E13="","",$L13-$N13)</f>
        <v/>
      </c>
      <c r="P13" s="129">
        <f>IF($E13="","",COUNTIF(EMP_Livre,$E13))</f>
        <v/>
      </c>
      <c r="Q13" s="130">
        <f>IF($E13="","",IF($O13&lt;=0,"Indisponible",IF(AND($O13=1,$L13&gt;1),"Dernier exemplaire","Disponible")))</f>
        <v/>
      </c>
      <c r="S13">
        <f>IF($E13="","",$P13+ROW()/100000)</f>
        <v/>
      </c>
      <c r="T13">
        <f>IF(OR(Q_Rech="",$E13=""),"",IF(ISNUMBER(SEARCH(Q_Rech,$E13&amp;" "&amp;$F13&amp;" "&amp;$G13&amp;" "&amp;$H13&amp;" "&amp;$I13)),COUNT($T$6:$T12)+1,""))</f>
        <v/>
      </c>
      <c r="U13">
        <f>IF($E13="","",IF(COUNTIFS(EMP_Livre,$E13,EMP_Date,"&gt;="&amp;R_Mois,EMP_Date,"&lt;"&amp;EDATE(R_Mois,1))=0,"",COUNTIFS(EMP_Livre,$E13,EMP_Date,"&gt;="&amp;R_Mois,EMP_Date,"&lt;"&amp;EDATE(R_Mois,1))+ROW()/100000))</f>
        <v/>
      </c>
    </row>
    <row r="14" ht="21" customHeight="1">
      <c r="A14" s="1" t="n"/>
      <c r="B14" s="53">
        <f>HYPERLINK("#'Recherche'!A1","🔍   Recherche")</f>
        <v/>
      </c>
      <c r="C14" s="54" t="n"/>
      <c r="E14" s="127" t="inlineStr">
        <is>
          <t>LIV-008</t>
        </is>
      </c>
      <c r="F14" s="127" t="inlineStr">
        <is>
          <t>978-2-2584-6881-5</t>
        </is>
      </c>
      <c r="G14" s="127" t="inlineStr">
        <is>
          <t>Allah n'est pas obligé</t>
        </is>
      </c>
      <c r="H14" s="127" t="inlineStr">
        <is>
          <t>Ahmadou Kourouma</t>
        </is>
      </c>
      <c r="I14" s="127" t="inlineStr">
        <is>
          <t>Littérature africaine</t>
        </is>
      </c>
      <c r="J14" s="127" t="inlineStr">
        <is>
          <t>Seuil</t>
        </is>
      </c>
      <c r="K14" s="128" t="n">
        <v>2000</v>
      </c>
      <c r="L14" s="128" t="n">
        <v>3</v>
      </c>
      <c r="M14" s="127" t="inlineStr">
        <is>
          <t>Rayon B3</t>
        </is>
      </c>
      <c r="N14" s="129">
        <f>IF($E14="","",COUNTIFS(EMP_Livre,$E14,EMP_Retour,""))</f>
        <v/>
      </c>
      <c r="O14" s="129">
        <f>IF($E14="","",$L14-$N14)</f>
        <v/>
      </c>
      <c r="P14" s="129">
        <f>IF($E14="","",COUNTIF(EMP_Livre,$E14))</f>
        <v/>
      </c>
      <c r="Q14" s="130">
        <f>IF($E14="","",IF($O14&lt;=0,"Indisponible",IF(AND($O14=1,$L14&gt;1),"Dernier exemplaire","Disponible")))</f>
        <v/>
      </c>
      <c r="S14">
        <f>IF($E14="","",$P14+ROW()/100000)</f>
        <v/>
      </c>
      <c r="T14">
        <f>IF(OR(Q_Rech="",$E14=""),"",IF(ISNUMBER(SEARCH(Q_Rech,$E14&amp;" "&amp;$F14&amp;" "&amp;$G14&amp;" "&amp;$H14&amp;" "&amp;$I14)),COUNT($T$6:$T13)+1,""))</f>
        <v/>
      </c>
      <c r="U14">
        <f>IF($E14="","",IF(COUNTIFS(EMP_Livre,$E14,EMP_Date,"&gt;="&amp;R_Mois,EMP_Date,"&lt;"&amp;EDATE(R_Mois,1))=0,"",COUNTIFS(EMP_Livre,$E14,EMP_Date,"&gt;="&amp;R_Mois,EMP_Date,"&lt;"&amp;EDATE(R_Mois,1))+ROW()/100000))</f>
        <v/>
      </c>
    </row>
    <row r="15" ht="21" customHeight="1">
      <c r="A15" s="1" t="n"/>
      <c r="B15" s="53">
        <f>HYPERLINK("#'Rapport mensuel'!A1","🖨   Rapport mensuel")</f>
        <v/>
      </c>
      <c r="C15" s="54" t="n"/>
      <c r="E15" s="127" t="inlineStr">
        <is>
          <t>LIV-009</t>
        </is>
      </c>
      <c r="F15" s="127" t="inlineStr">
        <is>
          <t>978-2-1711-8527-8</t>
        </is>
      </c>
      <c r="G15" s="127" t="inlineStr">
        <is>
          <t>Les Bouts de bois de Dieu</t>
        </is>
      </c>
      <c r="H15" s="127" t="inlineStr">
        <is>
          <t>Sembène Ousmane</t>
        </is>
      </c>
      <c r="I15" s="127" t="inlineStr">
        <is>
          <t>Littérature africaine</t>
        </is>
      </c>
      <c r="J15" s="127" t="inlineStr">
        <is>
          <t>Pocket</t>
        </is>
      </c>
      <c r="K15" s="128" t="n">
        <v>1960</v>
      </c>
      <c r="L15" s="128" t="n">
        <v>1</v>
      </c>
      <c r="M15" s="127" t="inlineStr">
        <is>
          <t>Rayon B4</t>
        </is>
      </c>
      <c r="N15" s="129">
        <f>IF($E15="","",COUNTIFS(EMP_Livre,$E15,EMP_Retour,""))</f>
        <v/>
      </c>
      <c r="O15" s="129">
        <f>IF($E15="","",$L15-$N15)</f>
        <v/>
      </c>
      <c r="P15" s="129">
        <f>IF($E15="","",COUNTIF(EMP_Livre,$E15))</f>
        <v/>
      </c>
      <c r="Q15" s="130">
        <f>IF($E15="","",IF($O15&lt;=0,"Indisponible",IF(AND($O15=1,$L15&gt;1),"Dernier exemplaire","Disponible")))</f>
        <v/>
      </c>
      <c r="S15">
        <f>IF($E15="","",$P15+ROW()/100000)</f>
        <v/>
      </c>
      <c r="T15">
        <f>IF(OR(Q_Rech="",$E15=""),"",IF(ISNUMBER(SEARCH(Q_Rech,$E15&amp;" "&amp;$F15&amp;" "&amp;$G15&amp;" "&amp;$H15&amp;" "&amp;$I15)),COUNT($T$6:$T14)+1,""))</f>
        <v/>
      </c>
      <c r="U15">
        <f>IF($E15="","",IF(COUNTIFS(EMP_Livre,$E15,EMP_Date,"&gt;="&amp;R_Mois,EMP_Date,"&lt;"&amp;EDATE(R_Mois,1))=0,"",COUNTIFS(EMP_Livre,$E15,EMP_Date,"&gt;="&amp;R_Mois,EMP_Date,"&lt;"&amp;EDATE(R_Mois,1))+ROW()/100000))</f>
        <v/>
      </c>
    </row>
    <row r="16" ht="21" customHeight="1">
      <c r="A16" s="1" t="n"/>
      <c r="B16" s="53">
        <f>HYPERLINK("#'Paramètres'!A1","⚙   Paramètres")</f>
        <v/>
      </c>
      <c r="C16" s="54" t="n"/>
      <c r="E16" s="127" t="inlineStr">
        <is>
          <t>LIV-010</t>
        </is>
      </c>
      <c r="F16" s="127" t="inlineStr">
        <is>
          <t>978-2-2291-5803-9</t>
        </is>
      </c>
      <c r="G16" s="127" t="inlineStr">
        <is>
          <t>Petit Pays</t>
        </is>
      </c>
      <c r="H16" s="127" t="inlineStr">
        <is>
          <t>Gaël Faye</t>
        </is>
      </c>
      <c r="I16" s="127" t="inlineStr">
        <is>
          <t>Littérature africaine</t>
        </is>
      </c>
      <c r="J16" s="127" t="inlineStr">
        <is>
          <t>Grasset</t>
        </is>
      </c>
      <c r="K16" s="128" t="n">
        <v>2016</v>
      </c>
      <c r="L16" s="128" t="n">
        <v>5</v>
      </c>
      <c r="M16" s="127" t="inlineStr">
        <is>
          <t>Rayon B2</t>
        </is>
      </c>
      <c r="N16" s="129">
        <f>IF($E16="","",COUNTIFS(EMP_Livre,$E16,EMP_Retour,""))</f>
        <v/>
      </c>
      <c r="O16" s="129">
        <f>IF($E16="","",$L16-$N16)</f>
        <v/>
      </c>
      <c r="P16" s="129">
        <f>IF($E16="","",COUNTIF(EMP_Livre,$E16))</f>
        <v/>
      </c>
      <c r="Q16" s="130">
        <f>IF($E16="","",IF($O16&lt;=0,"Indisponible",IF(AND($O16=1,$L16&gt;1),"Dernier exemplaire","Disponible")))</f>
        <v/>
      </c>
      <c r="S16">
        <f>IF($E16="","",$P16+ROW()/100000)</f>
        <v/>
      </c>
      <c r="T16">
        <f>IF(OR(Q_Rech="",$E16=""),"",IF(ISNUMBER(SEARCH(Q_Rech,$E16&amp;" "&amp;$F16&amp;" "&amp;$G16&amp;" "&amp;$H16&amp;" "&amp;$I16)),COUNT($T$6:$T15)+1,""))</f>
        <v/>
      </c>
      <c r="U16">
        <f>IF($E16="","",IF(COUNTIFS(EMP_Livre,$E16,EMP_Date,"&gt;="&amp;R_Mois,EMP_Date,"&lt;"&amp;EDATE(R_Mois,1))=0,"",COUNTIFS(EMP_Livre,$E16,EMP_Date,"&gt;="&amp;R_Mois,EMP_Date,"&lt;"&amp;EDATE(R_Mois,1))+ROW()/100000))</f>
        <v/>
      </c>
    </row>
    <row r="17" ht="21" customHeight="1">
      <c r="A17" s="1" t="n"/>
      <c r="B17" s="1" t="n"/>
      <c r="C17" s="2" t="n"/>
      <c r="E17" s="127" t="inlineStr">
        <is>
          <t>LIV-011</t>
        </is>
      </c>
      <c r="F17" s="127" t="inlineStr">
        <is>
          <t>978-2-2139-1750-3</t>
        </is>
      </c>
      <c r="G17" s="127" t="inlineStr">
        <is>
          <t>Le Petit Prince</t>
        </is>
      </c>
      <c r="H17" s="127" t="inlineStr">
        <is>
          <t>Antoine de Saint-Exupéry</t>
        </is>
      </c>
      <c r="I17" s="127" t="inlineStr">
        <is>
          <t>Jeunesse</t>
        </is>
      </c>
      <c r="J17" s="127" t="inlineStr">
        <is>
          <t>Gallimard</t>
        </is>
      </c>
      <c r="K17" s="128" t="n">
        <v>1943</v>
      </c>
      <c r="L17" s="128" t="n">
        <v>5</v>
      </c>
      <c r="M17" s="127" t="inlineStr">
        <is>
          <t>Rayon H1</t>
        </is>
      </c>
      <c r="N17" s="129">
        <f>IF($E17="","",COUNTIFS(EMP_Livre,$E17,EMP_Retour,""))</f>
        <v/>
      </c>
      <c r="O17" s="129">
        <f>IF($E17="","",$L17-$N17)</f>
        <v/>
      </c>
      <c r="P17" s="129">
        <f>IF($E17="","",COUNTIF(EMP_Livre,$E17))</f>
        <v/>
      </c>
      <c r="Q17" s="130">
        <f>IF($E17="","",IF($O17&lt;=0,"Indisponible",IF(AND($O17=1,$L17&gt;1),"Dernier exemplaire","Disponible")))</f>
        <v/>
      </c>
      <c r="S17">
        <f>IF($E17="","",$P17+ROW()/100000)</f>
        <v/>
      </c>
      <c r="T17">
        <f>IF(OR(Q_Rech="",$E17=""),"",IF(ISNUMBER(SEARCH(Q_Rech,$E17&amp;" "&amp;$F17&amp;" "&amp;$G17&amp;" "&amp;$H17&amp;" "&amp;$I17)),COUNT($T$6:$T16)+1,""))</f>
        <v/>
      </c>
      <c r="U17">
        <f>IF($E17="","",IF(COUNTIFS(EMP_Livre,$E17,EMP_Date,"&gt;="&amp;R_Mois,EMP_Date,"&lt;"&amp;EDATE(R_Mois,1))=0,"",COUNTIFS(EMP_Livre,$E17,EMP_Date,"&gt;="&amp;R_Mois,EMP_Date,"&lt;"&amp;EDATE(R_Mois,1))+ROW()/100000))</f>
        <v/>
      </c>
    </row>
    <row r="18" ht="21" customHeight="1">
      <c r="A18" s="1" t="n"/>
      <c r="B18" s="1" t="n"/>
      <c r="C18" s="2" t="n"/>
      <c r="E18" s="127" t="inlineStr">
        <is>
          <t>LIV-012</t>
        </is>
      </c>
      <c r="F18" s="127" t="inlineStr">
        <is>
          <t>978-2-4814-2654-6</t>
        </is>
      </c>
      <c r="G18" s="127" t="inlineStr">
        <is>
          <t>Les Misérables</t>
        </is>
      </c>
      <c r="H18" s="127" t="inlineStr">
        <is>
          <t>Victor Hugo</t>
        </is>
      </c>
      <c r="I18" s="127" t="inlineStr">
        <is>
          <t>Roman</t>
        </is>
      </c>
      <c r="J18" s="127" t="inlineStr">
        <is>
          <t>Folio</t>
        </is>
      </c>
      <c r="K18" s="128" t="n">
        <v>1862</v>
      </c>
      <c r="L18" s="128" t="n">
        <v>2</v>
      </c>
      <c r="M18" s="127" t="inlineStr">
        <is>
          <t>Rayon A4</t>
        </is>
      </c>
      <c r="N18" s="129">
        <f>IF($E18="","",COUNTIFS(EMP_Livre,$E18,EMP_Retour,""))</f>
        <v/>
      </c>
      <c r="O18" s="129">
        <f>IF($E18="","",$L18-$N18)</f>
        <v/>
      </c>
      <c r="P18" s="129">
        <f>IF($E18="","",COUNTIF(EMP_Livre,$E18))</f>
        <v/>
      </c>
      <c r="Q18" s="130">
        <f>IF($E18="","",IF($O18&lt;=0,"Indisponible",IF(AND($O18=1,$L18&gt;1),"Dernier exemplaire","Disponible")))</f>
        <v/>
      </c>
      <c r="S18">
        <f>IF($E18="","",$P18+ROW()/100000)</f>
        <v/>
      </c>
      <c r="T18">
        <f>IF(OR(Q_Rech="",$E18=""),"",IF(ISNUMBER(SEARCH(Q_Rech,$E18&amp;" "&amp;$F18&amp;" "&amp;$G18&amp;" "&amp;$H18&amp;" "&amp;$I18)),COUNT($T$6:$T17)+1,""))</f>
        <v/>
      </c>
      <c r="U18">
        <f>IF($E18="","",IF(COUNTIFS(EMP_Livre,$E18,EMP_Date,"&gt;="&amp;R_Mois,EMP_Date,"&lt;"&amp;EDATE(R_Mois,1))=0,"",COUNTIFS(EMP_Livre,$E18,EMP_Date,"&gt;="&amp;R_Mois,EMP_Date,"&lt;"&amp;EDATE(R_Mois,1))+ROW()/100000))</f>
        <v/>
      </c>
    </row>
    <row r="19" ht="21" customHeight="1">
      <c r="A19" s="1" t="n"/>
      <c r="B19" s="1" t="n"/>
      <c r="C19" s="2" t="n"/>
      <c r="E19" s="127" t="inlineStr">
        <is>
          <t>LIV-013</t>
        </is>
      </c>
      <c r="F19" s="127" t="inlineStr">
        <is>
          <t>978-2-6977-3664-5</t>
        </is>
      </c>
      <c r="G19" s="127" t="inlineStr">
        <is>
          <t>Germinal</t>
        </is>
      </c>
      <c r="H19" s="127" t="inlineStr">
        <is>
          <t>Émile Zola</t>
        </is>
      </c>
      <c r="I19" s="127" t="inlineStr">
        <is>
          <t>Roman</t>
        </is>
      </c>
      <c r="J19" s="127" t="inlineStr">
        <is>
          <t>Folio</t>
        </is>
      </c>
      <c r="K19" s="128" t="n">
        <v>1885</v>
      </c>
      <c r="L19" s="128" t="n">
        <v>2</v>
      </c>
      <c r="M19" s="127" t="inlineStr">
        <is>
          <t>Rayon A2</t>
        </is>
      </c>
      <c r="N19" s="129">
        <f>IF($E19="","",COUNTIFS(EMP_Livre,$E19,EMP_Retour,""))</f>
        <v/>
      </c>
      <c r="O19" s="129">
        <f>IF($E19="","",$L19-$N19)</f>
        <v/>
      </c>
      <c r="P19" s="129">
        <f>IF($E19="","",COUNTIF(EMP_Livre,$E19))</f>
        <v/>
      </c>
      <c r="Q19" s="130">
        <f>IF($E19="","",IF($O19&lt;=0,"Indisponible",IF(AND($O19=1,$L19&gt;1),"Dernier exemplaire","Disponible")))</f>
        <v/>
      </c>
      <c r="S19">
        <f>IF($E19="","",$P19+ROW()/100000)</f>
        <v/>
      </c>
      <c r="T19">
        <f>IF(OR(Q_Rech="",$E19=""),"",IF(ISNUMBER(SEARCH(Q_Rech,$E19&amp;" "&amp;$F19&amp;" "&amp;$G19&amp;" "&amp;$H19&amp;" "&amp;$I19)),COUNT($T$6:$T18)+1,""))</f>
        <v/>
      </c>
      <c r="U19">
        <f>IF($E19="","",IF(COUNTIFS(EMP_Livre,$E19,EMP_Date,"&gt;="&amp;R_Mois,EMP_Date,"&lt;"&amp;EDATE(R_Mois,1))=0,"",COUNTIFS(EMP_Livre,$E19,EMP_Date,"&gt;="&amp;R_Mois,EMP_Date,"&lt;"&amp;EDATE(R_Mois,1))+ROW()/100000))</f>
        <v/>
      </c>
    </row>
    <row r="20" ht="21" customHeight="1">
      <c r="A20" s="1" t="n"/>
      <c r="B20" s="1" t="n"/>
      <c r="C20" s="2" t="n"/>
      <c r="E20" s="127" t="inlineStr">
        <is>
          <t>LIV-014</t>
        </is>
      </c>
      <c r="F20" s="127" t="inlineStr">
        <is>
          <t>978-2-5374-2169-9</t>
        </is>
      </c>
      <c r="G20" s="127" t="inlineStr">
        <is>
          <t>L'Étranger</t>
        </is>
      </c>
      <c r="H20" s="127" t="inlineStr">
        <is>
          <t>Albert Camus</t>
        </is>
      </c>
      <c r="I20" s="127" t="inlineStr">
        <is>
          <t>Roman</t>
        </is>
      </c>
      <c r="J20" s="127" t="inlineStr">
        <is>
          <t>Folio</t>
        </is>
      </c>
      <c r="K20" s="128" t="n">
        <v>1942</v>
      </c>
      <c r="L20" s="128" t="n">
        <v>4</v>
      </c>
      <c r="M20" s="127" t="inlineStr">
        <is>
          <t>Rayon A2</t>
        </is>
      </c>
      <c r="N20" s="129">
        <f>IF($E20="","",COUNTIFS(EMP_Livre,$E20,EMP_Retour,""))</f>
        <v/>
      </c>
      <c r="O20" s="129">
        <f>IF($E20="","",$L20-$N20)</f>
        <v/>
      </c>
      <c r="P20" s="129">
        <f>IF($E20="","",COUNTIF(EMP_Livre,$E20))</f>
        <v/>
      </c>
      <c r="Q20" s="130">
        <f>IF($E20="","",IF($O20&lt;=0,"Indisponible",IF(AND($O20=1,$L20&gt;1),"Dernier exemplaire","Disponible")))</f>
        <v/>
      </c>
      <c r="S20">
        <f>IF($E20="","",$P20+ROW()/100000)</f>
        <v/>
      </c>
      <c r="T20">
        <f>IF(OR(Q_Rech="",$E20=""),"",IF(ISNUMBER(SEARCH(Q_Rech,$E20&amp;" "&amp;$F20&amp;" "&amp;$G20&amp;" "&amp;$H20&amp;" "&amp;$I20)),COUNT($T$6:$T19)+1,""))</f>
        <v/>
      </c>
      <c r="U20">
        <f>IF($E20="","",IF(COUNTIFS(EMP_Livre,$E20,EMP_Date,"&gt;="&amp;R_Mois,EMP_Date,"&lt;"&amp;EDATE(R_Mois,1))=0,"",COUNTIFS(EMP_Livre,$E20,EMP_Date,"&gt;="&amp;R_Mois,EMP_Date,"&lt;"&amp;EDATE(R_Mois,1))+ROW()/100000))</f>
        <v/>
      </c>
    </row>
    <row r="21" ht="21" customHeight="1">
      <c r="A21" s="1" t="n"/>
      <c r="B21" s="1" t="n"/>
      <c r="C21" s="2" t="n"/>
      <c r="E21" s="127" t="inlineStr">
        <is>
          <t>LIV-015</t>
        </is>
      </c>
      <c r="F21" s="127" t="inlineStr">
        <is>
          <t>978-2-3677-8573-6</t>
        </is>
      </c>
      <c r="G21" s="127" t="inlineStr">
        <is>
          <t>Candide</t>
        </is>
      </c>
      <c r="H21" s="127" t="inlineStr">
        <is>
          <t>Voltaire</t>
        </is>
      </c>
      <c r="I21" s="127" t="inlineStr">
        <is>
          <t>Roman</t>
        </is>
      </c>
      <c r="J21" s="127" t="inlineStr">
        <is>
          <t>Librio</t>
        </is>
      </c>
      <c r="K21" s="128" t="n">
        <v>1759</v>
      </c>
      <c r="L21" s="128" t="n">
        <v>2</v>
      </c>
      <c r="M21" s="127" t="inlineStr">
        <is>
          <t>Rayon A2</t>
        </is>
      </c>
      <c r="N21" s="129">
        <f>IF($E21="","",COUNTIFS(EMP_Livre,$E21,EMP_Retour,""))</f>
        <v/>
      </c>
      <c r="O21" s="129">
        <f>IF($E21="","",$L21-$N21)</f>
        <v/>
      </c>
      <c r="P21" s="129">
        <f>IF($E21="","",COUNTIF(EMP_Livre,$E21))</f>
        <v/>
      </c>
      <c r="Q21" s="130">
        <f>IF($E21="","",IF($O21&lt;=0,"Indisponible",IF(AND($O21=1,$L21&gt;1),"Dernier exemplaire","Disponible")))</f>
        <v/>
      </c>
      <c r="S21">
        <f>IF($E21="","",$P21+ROW()/100000)</f>
        <v/>
      </c>
      <c r="T21">
        <f>IF(OR(Q_Rech="",$E21=""),"",IF(ISNUMBER(SEARCH(Q_Rech,$E21&amp;" "&amp;$F21&amp;" "&amp;$G21&amp;" "&amp;$H21&amp;" "&amp;$I21)),COUNT($T$6:$T20)+1,""))</f>
        <v/>
      </c>
      <c r="U21">
        <f>IF($E21="","",IF(COUNTIFS(EMP_Livre,$E21,EMP_Date,"&gt;="&amp;R_Mois,EMP_Date,"&lt;"&amp;EDATE(R_Mois,1))=0,"",COUNTIFS(EMP_Livre,$E21,EMP_Date,"&gt;="&amp;R_Mois,EMP_Date,"&lt;"&amp;EDATE(R_Mois,1))+ROW()/100000))</f>
        <v/>
      </c>
    </row>
    <row r="22" ht="21" customHeight="1">
      <c r="A22" s="1" t="n"/>
      <c r="B22" s="1" t="n"/>
      <c r="C22" s="2" t="n"/>
      <c r="E22" s="127" t="inlineStr">
        <is>
          <t>LIV-016</t>
        </is>
      </c>
      <c r="F22" s="127" t="inlineStr">
        <is>
          <t>978-2-6313-1916-3</t>
        </is>
      </c>
      <c r="G22" s="127" t="inlineStr">
        <is>
          <t>Vingt mille lieues sous les mers</t>
        </is>
      </c>
      <c r="H22" s="127" t="inlineStr">
        <is>
          <t>Jules Verne</t>
        </is>
      </c>
      <c r="I22" s="127" t="inlineStr">
        <is>
          <t>Roman</t>
        </is>
      </c>
      <c r="J22" s="127" t="inlineStr">
        <is>
          <t>Hetzel</t>
        </is>
      </c>
      <c r="K22" s="128" t="n">
        <v>1870</v>
      </c>
      <c r="L22" s="128" t="n">
        <v>1</v>
      </c>
      <c r="M22" s="127" t="inlineStr">
        <is>
          <t>Rayon A3</t>
        </is>
      </c>
      <c r="N22" s="129">
        <f>IF($E22="","",COUNTIFS(EMP_Livre,$E22,EMP_Retour,""))</f>
        <v/>
      </c>
      <c r="O22" s="129">
        <f>IF($E22="","",$L22-$N22)</f>
        <v/>
      </c>
      <c r="P22" s="129">
        <f>IF($E22="","",COUNTIF(EMP_Livre,$E22))</f>
        <v/>
      </c>
      <c r="Q22" s="130">
        <f>IF($E22="","",IF($O22&lt;=0,"Indisponible",IF(AND($O22=1,$L22&gt;1),"Dernier exemplaire","Disponible")))</f>
        <v/>
      </c>
      <c r="S22">
        <f>IF($E22="","",$P22+ROW()/100000)</f>
        <v/>
      </c>
      <c r="T22">
        <f>IF(OR(Q_Rech="",$E22=""),"",IF(ISNUMBER(SEARCH(Q_Rech,$E22&amp;" "&amp;$F22&amp;" "&amp;$G22&amp;" "&amp;$H22&amp;" "&amp;$I22)),COUNT($T$6:$T21)+1,""))</f>
        <v/>
      </c>
      <c r="U22">
        <f>IF($E22="","",IF(COUNTIFS(EMP_Livre,$E22,EMP_Date,"&gt;="&amp;R_Mois,EMP_Date,"&lt;"&amp;EDATE(R_Mois,1))=0,"",COUNTIFS(EMP_Livre,$E22,EMP_Date,"&gt;="&amp;R_Mois,EMP_Date,"&lt;"&amp;EDATE(R_Mois,1))+ROW()/100000))</f>
        <v/>
      </c>
    </row>
    <row r="23" ht="21" customHeight="1">
      <c r="A23" s="1" t="n"/>
      <c r="B23" s="1" t="n"/>
      <c r="C23" s="2" t="n"/>
      <c r="E23" s="127" t="inlineStr">
        <is>
          <t>LIV-017</t>
        </is>
      </c>
      <c r="F23" s="127" t="inlineStr">
        <is>
          <t>978-2-7572-5386-1</t>
        </is>
      </c>
      <c r="G23" s="127" t="inlineStr">
        <is>
          <t>Le Tour du monde en 80 jours</t>
        </is>
      </c>
      <c r="H23" s="127" t="inlineStr">
        <is>
          <t>Jules Verne</t>
        </is>
      </c>
      <c r="I23" s="127" t="inlineStr">
        <is>
          <t>Roman</t>
        </is>
      </c>
      <c r="J23" s="127" t="inlineStr">
        <is>
          <t>Hetzel</t>
        </is>
      </c>
      <c r="K23" s="128" t="n">
        <v>1872</v>
      </c>
      <c r="L23" s="128" t="n">
        <v>2</v>
      </c>
      <c r="M23" s="127" t="inlineStr">
        <is>
          <t>Rayon A3</t>
        </is>
      </c>
      <c r="N23" s="129">
        <f>IF($E23="","",COUNTIFS(EMP_Livre,$E23,EMP_Retour,""))</f>
        <v/>
      </c>
      <c r="O23" s="129">
        <f>IF($E23="","",$L23-$N23)</f>
        <v/>
      </c>
      <c r="P23" s="129">
        <f>IF($E23="","",COUNTIF(EMP_Livre,$E23))</f>
        <v/>
      </c>
      <c r="Q23" s="130">
        <f>IF($E23="","",IF($O23&lt;=0,"Indisponible",IF(AND($O23=1,$L23&gt;1),"Dernier exemplaire","Disponible")))</f>
        <v/>
      </c>
      <c r="S23">
        <f>IF($E23="","",$P23+ROW()/100000)</f>
        <v/>
      </c>
      <c r="T23">
        <f>IF(OR(Q_Rech="",$E23=""),"",IF(ISNUMBER(SEARCH(Q_Rech,$E23&amp;" "&amp;$F23&amp;" "&amp;$G23&amp;" "&amp;$H23&amp;" "&amp;$I23)),COUNT($T$6:$T22)+1,""))</f>
        <v/>
      </c>
      <c r="U23">
        <f>IF($E23="","",IF(COUNTIFS(EMP_Livre,$E23,EMP_Date,"&gt;="&amp;R_Mois,EMP_Date,"&lt;"&amp;EDATE(R_Mois,1))=0,"",COUNTIFS(EMP_Livre,$E23,EMP_Date,"&gt;="&amp;R_Mois,EMP_Date,"&lt;"&amp;EDATE(R_Mois,1))+ROW()/100000))</f>
        <v/>
      </c>
    </row>
    <row r="24" ht="21" customHeight="1">
      <c r="A24" s="1" t="n"/>
      <c r="B24" s="1" t="n"/>
      <c r="C24" s="2" t="n"/>
      <c r="E24" s="127" t="inlineStr">
        <is>
          <t>LIV-018</t>
        </is>
      </c>
      <c r="F24" s="127" t="inlineStr">
        <is>
          <t>978-2-4483-9179-6</t>
        </is>
      </c>
      <c r="G24" s="127" t="inlineStr">
        <is>
          <t>Antigone</t>
        </is>
      </c>
      <c r="H24" s="127" t="inlineStr">
        <is>
          <t>Jean Anouilh</t>
        </is>
      </c>
      <c r="I24" s="127" t="inlineStr">
        <is>
          <t>Roman</t>
        </is>
      </c>
      <c r="J24" s="127" t="inlineStr">
        <is>
          <t>La Table Ronde</t>
        </is>
      </c>
      <c r="K24" s="128" t="n">
        <v>1944</v>
      </c>
      <c r="L24" s="128" t="n">
        <v>4</v>
      </c>
      <c r="M24" s="127" t="inlineStr">
        <is>
          <t>Rayon A4</t>
        </is>
      </c>
      <c r="N24" s="129">
        <f>IF($E24="","",COUNTIFS(EMP_Livre,$E24,EMP_Retour,""))</f>
        <v/>
      </c>
      <c r="O24" s="129">
        <f>IF($E24="","",$L24-$N24)</f>
        <v/>
      </c>
      <c r="P24" s="129">
        <f>IF($E24="","",COUNTIF(EMP_Livre,$E24))</f>
        <v/>
      </c>
      <c r="Q24" s="130">
        <f>IF($E24="","",IF($O24&lt;=0,"Indisponible",IF(AND($O24=1,$L24&gt;1),"Dernier exemplaire","Disponible")))</f>
        <v/>
      </c>
      <c r="S24">
        <f>IF($E24="","",$P24+ROW()/100000)</f>
        <v/>
      </c>
      <c r="T24">
        <f>IF(OR(Q_Rech="",$E24=""),"",IF(ISNUMBER(SEARCH(Q_Rech,$E24&amp;" "&amp;$F24&amp;" "&amp;$G24&amp;" "&amp;$H24&amp;" "&amp;$I24)),COUNT($T$6:$T23)+1,""))</f>
        <v/>
      </c>
      <c r="U24">
        <f>IF($E24="","",IF(COUNTIFS(EMP_Livre,$E24,EMP_Date,"&gt;="&amp;R_Mois,EMP_Date,"&lt;"&amp;EDATE(R_Mois,1))=0,"",COUNTIFS(EMP_Livre,$E24,EMP_Date,"&gt;="&amp;R_Mois,EMP_Date,"&lt;"&amp;EDATE(R_Mois,1))+ROW()/100000))</f>
        <v/>
      </c>
    </row>
    <row r="25" ht="21" customHeight="1">
      <c r="A25" s="1" t="n"/>
      <c r="B25" s="1" t="n"/>
      <c r="C25" s="2" t="n"/>
      <c r="E25" s="127" t="inlineStr">
        <is>
          <t>LIV-019</t>
        </is>
      </c>
      <c r="F25" s="127" t="inlineStr">
        <is>
          <t>978-2-3340-5339-2</t>
        </is>
      </c>
      <c r="G25" s="127" t="inlineStr">
        <is>
          <t>Le Cid</t>
        </is>
      </c>
      <c r="H25" s="127" t="inlineStr">
        <is>
          <t>Pierre Corneille</t>
        </is>
      </c>
      <c r="I25" s="127" t="inlineStr">
        <is>
          <t>Roman</t>
        </is>
      </c>
      <c r="J25" s="127" t="inlineStr">
        <is>
          <t>Larousse</t>
        </is>
      </c>
      <c r="K25" s="128" t="n">
        <v>1637</v>
      </c>
      <c r="L25" s="128" t="n">
        <v>2</v>
      </c>
      <c r="M25" s="127" t="inlineStr">
        <is>
          <t>Rayon A3</t>
        </is>
      </c>
      <c r="N25" s="129">
        <f>IF($E25="","",COUNTIFS(EMP_Livre,$E25,EMP_Retour,""))</f>
        <v/>
      </c>
      <c r="O25" s="129">
        <f>IF($E25="","",$L25-$N25)</f>
        <v/>
      </c>
      <c r="P25" s="129">
        <f>IF($E25="","",COUNTIF(EMP_Livre,$E25))</f>
        <v/>
      </c>
      <c r="Q25" s="130">
        <f>IF($E25="","",IF($O25&lt;=0,"Indisponible",IF(AND($O25=1,$L25&gt;1),"Dernier exemplaire","Disponible")))</f>
        <v/>
      </c>
      <c r="S25">
        <f>IF($E25="","",$P25+ROW()/100000)</f>
        <v/>
      </c>
      <c r="T25">
        <f>IF(OR(Q_Rech="",$E25=""),"",IF(ISNUMBER(SEARCH(Q_Rech,$E25&amp;" "&amp;$F25&amp;" "&amp;$G25&amp;" "&amp;$H25&amp;" "&amp;$I25)),COUNT($T$6:$T24)+1,""))</f>
        <v/>
      </c>
      <c r="U25">
        <f>IF($E25="","",IF(COUNTIFS(EMP_Livre,$E25,EMP_Date,"&gt;="&amp;R_Mois,EMP_Date,"&lt;"&amp;EDATE(R_Mois,1))=0,"",COUNTIFS(EMP_Livre,$E25,EMP_Date,"&gt;="&amp;R_Mois,EMP_Date,"&lt;"&amp;EDATE(R_Mois,1))+ROW()/100000))</f>
        <v/>
      </c>
    </row>
    <row r="26" ht="21" customHeight="1">
      <c r="A26" s="1" t="n"/>
      <c r="B26" s="1" t="n"/>
      <c r="C26" s="2" t="n"/>
      <c r="E26" s="127" t="inlineStr">
        <is>
          <t>LIV-020</t>
        </is>
      </c>
      <c r="F26" s="127" t="inlineStr">
        <is>
          <t>978-2-8019-7543-5</t>
        </is>
      </c>
      <c r="G26" s="127" t="inlineStr">
        <is>
          <t>Le Malade imaginaire</t>
        </is>
      </c>
      <c r="H26" s="127" t="inlineStr">
        <is>
          <t>Molière</t>
        </is>
      </c>
      <c r="I26" s="127" t="inlineStr">
        <is>
          <t>Roman</t>
        </is>
      </c>
      <c r="J26" s="127" t="inlineStr">
        <is>
          <t>Larousse</t>
        </is>
      </c>
      <c r="K26" s="128" t="n">
        <v>1673</v>
      </c>
      <c r="L26" s="128" t="n">
        <v>2</v>
      </c>
      <c r="M26" s="127" t="inlineStr">
        <is>
          <t>Rayon A2</t>
        </is>
      </c>
      <c r="N26" s="129">
        <f>IF($E26="","",COUNTIFS(EMP_Livre,$E26,EMP_Retour,""))</f>
        <v/>
      </c>
      <c r="O26" s="129">
        <f>IF($E26="","",$L26-$N26)</f>
        <v/>
      </c>
      <c r="P26" s="129">
        <f>IF($E26="","",COUNTIF(EMP_Livre,$E26))</f>
        <v/>
      </c>
      <c r="Q26" s="130">
        <f>IF($E26="","",IF($O26&lt;=0,"Indisponible",IF(AND($O26=1,$L26&gt;1),"Dernier exemplaire","Disponible")))</f>
        <v/>
      </c>
      <c r="S26">
        <f>IF($E26="","",$P26+ROW()/100000)</f>
        <v/>
      </c>
      <c r="T26">
        <f>IF(OR(Q_Rech="",$E26=""),"",IF(ISNUMBER(SEARCH(Q_Rech,$E26&amp;" "&amp;$F26&amp;" "&amp;$G26&amp;" "&amp;$H26&amp;" "&amp;$I26)),COUNT($T$6:$T25)+1,""))</f>
        <v/>
      </c>
      <c r="U26">
        <f>IF($E26="","",IF(COUNTIFS(EMP_Livre,$E26,EMP_Date,"&gt;="&amp;R_Mois,EMP_Date,"&lt;"&amp;EDATE(R_Mois,1))=0,"",COUNTIFS(EMP_Livre,$E26,EMP_Date,"&gt;="&amp;R_Mois,EMP_Date,"&lt;"&amp;EDATE(R_Mois,1))+ROW()/100000))</f>
        <v/>
      </c>
    </row>
    <row r="27" ht="21" customHeight="1">
      <c r="A27" s="1" t="n"/>
      <c r="B27" s="1" t="n"/>
      <c r="C27" s="2" t="n"/>
      <c r="E27" s="127" t="inlineStr">
        <is>
          <t>LIV-021</t>
        </is>
      </c>
      <c r="F27" s="127" t="inlineStr">
        <is>
          <t>978-2-9348-9085-1</t>
        </is>
      </c>
      <c r="G27" s="127" t="inlineStr">
        <is>
          <t>Le Lion</t>
        </is>
      </c>
      <c r="H27" s="127" t="inlineStr">
        <is>
          <t>Joseph Kessel</t>
        </is>
      </c>
      <c r="I27" s="127" t="inlineStr">
        <is>
          <t>Roman</t>
        </is>
      </c>
      <c r="J27" s="127" t="inlineStr">
        <is>
          <t>Folio</t>
        </is>
      </c>
      <c r="K27" s="128" t="n">
        <v>1958</v>
      </c>
      <c r="L27" s="128" t="n">
        <v>1</v>
      </c>
      <c r="M27" s="127" t="inlineStr">
        <is>
          <t>Rayon A1</t>
        </is>
      </c>
      <c r="N27" s="129">
        <f>IF($E27="","",COUNTIFS(EMP_Livre,$E27,EMP_Retour,""))</f>
        <v/>
      </c>
      <c r="O27" s="129">
        <f>IF($E27="","",$L27-$N27)</f>
        <v/>
      </c>
      <c r="P27" s="129">
        <f>IF($E27="","",COUNTIF(EMP_Livre,$E27))</f>
        <v/>
      </c>
      <c r="Q27" s="130">
        <f>IF($E27="","",IF($O27&lt;=0,"Indisponible",IF(AND($O27=1,$L27&gt;1),"Dernier exemplaire","Disponible")))</f>
        <v/>
      </c>
      <c r="S27">
        <f>IF($E27="","",$P27+ROW()/100000)</f>
        <v/>
      </c>
      <c r="T27">
        <f>IF(OR(Q_Rech="",$E27=""),"",IF(ISNUMBER(SEARCH(Q_Rech,$E27&amp;" "&amp;$F27&amp;" "&amp;$G27&amp;" "&amp;$H27&amp;" "&amp;$I27)),COUNT($T$6:$T26)+1,""))</f>
        <v/>
      </c>
      <c r="U27">
        <f>IF($E27="","",IF(COUNTIFS(EMP_Livre,$E27,EMP_Date,"&gt;="&amp;R_Mois,EMP_Date,"&lt;"&amp;EDATE(R_Mois,1))=0,"",COUNTIFS(EMP_Livre,$E27,EMP_Date,"&gt;="&amp;R_Mois,EMP_Date,"&lt;"&amp;EDATE(R_Mois,1))+ROW()/100000))</f>
        <v/>
      </c>
    </row>
    <row r="28" ht="21" customHeight="1">
      <c r="A28" s="1" t="n"/>
      <c r="B28" s="1" t="n"/>
      <c r="C28" s="2" t="n"/>
      <c r="E28" s="127" t="inlineStr">
        <is>
          <t>LIV-022</t>
        </is>
      </c>
      <c r="F28" s="127" t="inlineStr">
        <is>
          <t>978-2-3504-3621-6</t>
        </is>
      </c>
      <c r="G28" s="127" t="inlineStr">
        <is>
          <t>Bel-Ami</t>
        </is>
      </c>
      <c r="H28" s="127" t="inlineStr">
        <is>
          <t>Guy de Maupassant</t>
        </is>
      </c>
      <c r="I28" s="127" t="inlineStr">
        <is>
          <t>Roman</t>
        </is>
      </c>
      <c r="J28" s="127" t="inlineStr">
        <is>
          <t>Folio</t>
        </is>
      </c>
      <c r="K28" s="128" t="n">
        <v>1885</v>
      </c>
      <c r="L28" s="128" t="n">
        <v>3</v>
      </c>
      <c r="M28" s="127" t="inlineStr">
        <is>
          <t>Rayon A1</t>
        </is>
      </c>
      <c r="N28" s="129">
        <f>IF($E28="","",COUNTIFS(EMP_Livre,$E28,EMP_Retour,""))</f>
        <v/>
      </c>
      <c r="O28" s="129">
        <f>IF($E28="","",$L28-$N28)</f>
        <v/>
      </c>
      <c r="P28" s="129">
        <f>IF($E28="","",COUNTIF(EMP_Livre,$E28))</f>
        <v/>
      </c>
      <c r="Q28" s="130">
        <f>IF($E28="","",IF($O28&lt;=0,"Indisponible",IF(AND($O28=1,$L28&gt;1),"Dernier exemplaire","Disponible")))</f>
        <v/>
      </c>
      <c r="S28">
        <f>IF($E28="","",$P28+ROW()/100000)</f>
        <v/>
      </c>
      <c r="T28">
        <f>IF(OR(Q_Rech="",$E28=""),"",IF(ISNUMBER(SEARCH(Q_Rech,$E28&amp;" "&amp;$F28&amp;" "&amp;$G28&amp;" "&amp;$H28&amp;" "&amp;$I28)),COUNT($T$6:$T27)+1,""))</f>
        <v/>
      </c>
      <c r="U28">
        <f>IF($E28="","",IF(COUNTIFS(EMP_Livre,$E28,EMP_Date,"&gt;="&amp;R_Mois,EMP_Date,"&lt;"&amp;EDATE(R_Mois,1))=0,"",COUNTIFS(EMP_Livre,$E28,EMP_Date,"&gt;="&amp;R_Mois,EMP_Date,"&lt;"&amp;EDATE(R_Mois,1))+ROW()/100000))</f>
        <v/>
      </c>
    </row>
    <row r="29" ht="21" customHeight="1">
      <c r="A29" s="1" t="n"/>
      <c r="B29" s="1" t="n"/>
      <c r="C29" s="2" t="n"/>
      <c r="E29" s="127" t="inlineStr">
        <is>
          <t>LIV-023</t>
        </is>
      </c>
      <c r="F29" s="127" t="inlineStr">
        <is>
          <t>978-2-7304-7252-9</t>
        </is>
      </c>
      <c r="G29" s="127" t="inlineStr">
        <is>
          <t>Harry Potter à l'école des sorciers</t>
        </is>
      </c>
      <c r="H29" s="127" t="inlineStr">
        <is>
          <t>J.K. Rowling</t>
        </is>
      </c>
      <c r="I29" s="127" t="inlineStr">
        <is>
          <t>Jeunesse</t>
        </is>
      </c>
      <c r="J29" s="127" t="inlineStr">
        <is>
          <t>Gallimard Jeunesse</t>
        </is>
      </c>
      <c r="K29" s="128" t="n">
        <v>1998</v>
      </c>
      <c r="L29" s="128" t="n">
        <v>6</v>
      </c>
      <c r="M29" s="127" t="inlineStr">
        <is>
          <t>Rayon H3</t>
        </is>
      </c>
      <c r="N29" s="129">
        <f>IF($E29="","",COUNTIFS(EMP_Livre,$E29,EMP_Retour,""))</f>
        <v/>
      </c>
      <c r="O29" s="129">
        <f>IF($E29="","",$L29-$N29)</f>
        <v/>
      </c>
      <c r="P29" s="129">
        <f>IF($E29="","",COUNTIF(EMP_Livre,$E29))</f>
        <v/>
      </c>
      <c r="Q29" s="130">
        <f>IF($E29="","",IF($O29&lt;=0,"Indisponible",IF(AND($O29=1,$L29&gt;1),"Dernier exemplaire","Disponible")))</f>
        <v/>
      </c>
      <c r="S29">
        <f>IF($E29="","",$P29+ROW()/100000)</f>
        <v/>
      </c>
      <c r="T29">
        <f>IF(OR(Q_Rech="",$E29=""),"",IF(ISNUMBER(SEARCH(Q_Rech,$E29&amp;" "&amp;$F29&amp;" "&amp;$G29&amp;" "&amp;$H29&amp;" "&amp;$I29)),COUNT($T$6:$T28)+1,""))</f>
        <v/>
      </c>
      <c r="U29">
        <f>IF($E29="","",IF(COUNTIFS(EMP_Livre,$E29,EMP_Date,"&gt;="&amp;R_Mois,EMP_Date,"&lt;"&amp;EDATE(R_Mois,1))=0,"",COUNTIFS(EMP_Livre,$E29,EMP_Date,"&gt;="&amp;R_Mois,EMP_Date,"&lt;"&amp;EDATE(R_Mois,1))+ROW()/100000))</f>
        <v/>
      </c>
    </row>
    <row r="30" ht="21" customHeight="1">
      <c r="A30" s="1" t="n"/>
      <c r="B30" s="1" t="n"/>
      <c r="C30" s="2" t="n"/>
      <c r="E30" s="127" t="inlineStr">
        <is>
          <t>LIV-024</t>
        </is>
      </c>
      <c r="F30" s="127" t="inlineStr">
        <is>
          <t>978-2-1188-2876-8</t>
        </is>
      </c>
      <c r="G30" s="127" t="inlineStr">
        <is>
          <t>Le Journal d'Anne Frank</t>
        </is>
      </c>
      <c r="H30" s="127" t="inlineStr">
        <is>
          <t>Anne Frank</t>
        </is>
      </c>
      <c r="I30" s="127" t="inlineStr">
        <is>
          <t>Jeunesse</t>
        </is>
      </c>
      <c r="J30" s="127" t="inlineStr">
        <is>
          <t>Livre de Poche</t>
        </is>
      </c>
      <c r="K30" s="128" t="n">
        <v>1947</v>
      </c>
      <c r="L30" s="128" t="n">
        <v>2</v>
      </c>
      <c r="M30" s="127" t="inlineStr">
        <is>
          <t>Rayon H3</t>
        </is>
      </c>
      <c r="N30" s="129">
        <f>IF($E30="","",COUNTIFS(EMP_Livre,$E30,EMP_Retour,""))</f>
        <v/>
      </c>
      <c r="O30" s="129">
        <f>IF($E30="","",$L30-$N30)</f>
        <v/>
      </c>
      <c r="P30" s="129">
        <f>IF($E30="","",COUNTIF(EMP_Livre,$E30))</f>
        <v/>
      </c>
      <c r="Q30" s="130">
        <f>IF($E30="","",IF($O30&lt;=0,"Indisponible",IF(AND($O30=1,$L30&gt;1),"Dernier exemplaire","Disponible")))</f>
        <v/>
      </c>
      <c r="S30">
        <f>IF($E30="","",$P30+ROW()/100000)</f>
        <v/>
      </c>
      <c r="T30">
        <f>IF(OR(Q_Rech="",$E30=""),"",IF(ISNUMBER(SEARCH(Q_Rech,$E30&amp;" "&amp;$F30&amp;" "&amp;$G30&amp;" "&amp;$H30&amp;" "&amp;$I30)),COUNT($T$6:$T29)+1,""))</f>
        <v/>
      </c>
      <c r="U30">
        <f>IF($E30="","",IF(COUNTIFS(EMP_Livre,$E30,EMP_Date,"&gt;="&amp;R_Mois,EMP_Date,"&lt;"&amp;EDATE(R_Mois,1))=0,"",COUNTIFS(EMP_Livre,$E30,EMP_Date,"&gt;="&amp;R_Mois,EMP_Date,"&lt;"&amp;EDATE(R_Mois,1))+ROW()/100000))</f>
        <v/>
      </c>
    </row>
    <row r="31" ht="21" customHeight="1">
      <c r="A31" s="1" t="n"/>
      <c r="B31" s="1" t="n"/>
      <c r="C31" s="2" t="n"/>
      <c r="E31" s="127" t="inlineStr">
        <is>
          <t>LIV-025</t>
        </is>
      </c>
      <c r="F31" s="127" t="inlineStr">
        <is>
          <t>978-2-2827-5808-6</t>
        </is>
      </c>
      <c r="G31" s="127" t="inlineStr">
        <is>
          <t>Matilda</t>
        </is>
      </c>
      <c r="H31" s="127" t="inlineStr">
        <is>
          <t>Roald Dahl</t>
        </is>
      </c>
      <c r="I31" s="127" t="inlineStr">
        <is>
          <t>Jeunesse</t>
        </is>
      </c>
      <c r="J31" s="127" t="inlineStr">
        <is>
          <t>Folio Junior</t>
        </is>
      </c>
      <c r="K31" s="128" t="n">
        <v>1988</v>
      </c>
      <c r="L31" s="128" t="n">
        <v>2</v>
      </c>
      <c r="M31" s="127" t="inlineStr">
        <is>
          <t>Rayon H4</t>
        </is>
      </c>
      <c r="N31" s="129">
        <f>IF($E31="","",COUNTIFS(EMP_Livre,$E31,EMP_Retour,""))</f>
        <v/>
      </c>
      <c r="O31" s="129">
        <f>IF($E31="","",$L31-$N31)</f>
        <v/>
      </c>
      <c r="P31" s="129">
        <f>IF($E31="","",COUNTIF(EMP_Livre,$E31))</f>
        <v/>
      </c>
      <c r="Q31" s="130">
        <f>IF($E31="","",IF($O31&lt;=0,"Indisponible",IF(AND($O31=1,$L31&gt;1),"Dernier exemplaire","Disponible")))</f>
        <v/>
      </c>
      <c r="S31">
        <f>IF($E31="","",$P31+ROW()/100000)</f>
        <v/>
      </c>
      <c r="T31">
        <f>IF(OR(Q_Rech="",$E31=""),"",IF(ISNUMBER(SEARCH(Q_Rech,$E31&amp;" "&amp;$F31&amp;" "&amp;$G31&amp;" "&amp;$H31&amp;" "&amp;$I31)),COUNT($T$6:$T30)+1,""))</f>
        <v/>
      </c>
      <c r="U31">
        <f>IF($E31="","",IF(COUNTIFS(EMP_Livre,$E31,EMP_Date,"&gt;="&amp;R_Mois,EMP_Date,"&lt;"&amp;EDATE(R_Mois,1))=0,"",COUNTIFS(EMP_Livre,$E31,EMP_Date,"&gt;="&amp;R_Mois,EMP_Date,"&lt;"&amp;EDATE(R_Mois,1))+ROW()/100000))</f>
        <v/>
      </c>
    </row>
    <row r="32" ht="21" customHeight="1">
      <c r="A32" s="1" t="n"/>
      <c r="B32" s="1" t="n"/>
      <c r="C32" s="2" t="n"/>
      <c r="E32" s="127" t="inlineStr">
        <is>
          <t>LIV-026</t>
        </is>
      </c>
      <c r="F32" s="127" t="inlineStr">
        <is>
          <t>978-2-1053-5315-8</t>
        </is>
      </c>
      <c r="G32" s="127" t="inlineStr">
        <is>
          <t>Charlie et la chocolaterie</t>
        </is>
      </c>
      <c r="H32" s="127" t="inlineStr">
        <is>
          <t>Roald Dahl</t>
        </is>
      </c>
      <c r="I32" s="127" t="inlineStr">
        <is>
          <t>Jeunesse</t>
        </is>
      </c>
      <c r="J32" s="127" t="inlineStr">
        <is>
          <t>Folio Junior</t>
        </is>
      </c>
      <c r="K32" s="128" t="n">
        <v>1964</v>
      </c>
      <c r="L32" s="128" t="n">
        <v>2</v>
      </c>
      <c r="M32" s="127" t="inlineStr">
        <is>
          <t>Rayon H1</t>
        </is>
      </c>
      <c r="N32" s="129">
        <f>IF($E32="","",COUNTIFS(EMP_Livre,$E32,EMP_Retour,""))</f>
        <v/>
      </c>
      <c r="O32" s="129">
        <f>IF($E32="","",$L32-$N32)</f>
        <v/>
      </c>
      <c r="P32" s="129">
        <f>IF($E32="","",COUNTIF(EMP_Livre,$E32))</f>
        <v/>
      </c>
      <c r="Q32" s="130">
        <f>IF($E32="","",IF($O32&lt;=0,"Indisponible",IF(AND($O32=1,$L32&gt;1),"Dernier exemplaire","Disponible")))</f>
        <v/>
      </c>
      <c r="S32">
        <f>IF($E32="","",$P32+ROW()/100000)</f>
        <v/>
      </c>
      <c r="T32">
        <f>IF(OR(Q_Rech="",$E32=""),"",IF(ISNUMBER(SEARCH(Q_Rech,$E32&amp;" "&amp;$F32&amp;" "&amp;$G32&amp;" "&amp;$H32&amp;" "&amp;$I32)),COUNT($T$6:$T31)+1,""))</f>
        <v/>
      </c>
      <c r="U32">
        <f>IF($E32="","",IF(COUNTIFS(EMP_Livre,$E32,EMP_Date,"&gt;="&amp;R_Mois,EMP_Date,"&lt;"&amp;EDATE(R_Mois,1))=0,"",COUNTIFS(EMP_Livre,$E32,EMP_Date,"&gt;="&amp;R_Mois,EMP_Date,"&lt;"&amp;EDATE(R_Mois,1))+ROW()/100000))</f>
        <v/>
      </c>
    </row>
    <row r="33" ht="21" customHeight="1">
      <c r="A33" s="1" t="n"/>
      <c r="B33" s="1" t="n"/>
      <c r="C33" s="2" t="n"/>
      <c r="E33" s="127" t="inlineStr">
        <is>
          <t>LIV-027</t>
        </is>
      </c>
      <c r="F33" s="127" t="inlineStr">
        <is>
          <t>978-2-5889-9317-9</t>
        </is>
      </c>
      <c r="G33" s="127" t="inlineStr">
        <is>
          <t>Kirikou et la sorcière</t>
        </is>
      </c>
      <c r="H33" s="127" t="inlineStr">
        <is>
          <t>Michel Ocelot</t>
        </is>
      </c>
      <c r="I33" s="127" t="inlineStr">
        <is>
          <t>Jeunesse</t>
        </is>
      </c>
      <c r="J33" s="127" t="inlineStr">
        <is>
          <t>Milan</t>
        </is>
      </c>
      <c r="K33" s="128" t="n">
        <v>1998</v>
      </c>
      <c r="L33" s="128" t="n">
        <v>2</v>
      </c>
      <c r="M33" s="127" t="inlineStr">
        <is>
          <t>Rayon H2</t>
        </is>
      </c>
      <c r="N33" s="129">
        <f>IF($E33="","",COUNTIFS(EMP_Livre,$E33,EMP_Retour,""))</f>
        <v/>
      </c>
      <c r="O33" s="129">
        <f>IF($E33="","",$L33-$N33)</f>
        <v/>
      </c>
      <c r="P33" s="129">
        <f>IF($E33="","",COUNTIF(EMP_Livre,$E33))</f>
        <v/>
      </c>
      <c r="Q33" s="130">
        <f>IF($E33="","",IF($O33&lt;=0,"Indisponible",IF(AND($O33=1,$L33&gt;1),"Dernier exemplaire","Disponible")))</f>
        <v/>
      </c>
      <c r="S33">
        <f>IF($E33="","",$P33+ROW()/100000)</f>
        <v/>
      </c>
      <c r="T33">
        <f>IF(OR(Q_Rech="",$E33=""),"",IF(ISNUMBER(SEARCH(Q_Rech,$E33&amp;" "&amp;$F33&amp;" "&amp;$G33&amp;" "&amp;$H33&amp;" "&amp;$I33)),COUNT($T$6:$T32)+1,""))</f>
        <v/>
      </c>
      <c r="U33">
        <f>IF($E33="","",IF(COUNTIFS(EMP_Livre,$E33,EMP_Date,"&gt;="&amp;R_Mois,EMP_Date,"&lt;"&amp;EDATE(R_Mois,1))=0,"",COUNTIFS(EMP_Livre,$E33,EMP_Date,"&gt;="&amp;R_Mois,EMP_Date,"&lt;"&amp;EDATE(R_Mois,1))+ROW()/100000))</f>
        <v/>
      </c>
    </row>
    <row r="34" ht="21" customHeight="1">
      <c r="A34" s="1" t="n"/>
      <c r="B34" s="1" t="n"/>
      <c r="C34" s="2" t="n"/>
      <c r="E34" s="127" t="inlineStr">
        <is>
          <t>LIV-028</t>
        </is>
      </c>
      <c r="F34" s="127" t="inlineStr">
        <is>
          <t>978-2-7126-3646-8</t>
        </is>
      </c>
      <c r="G34" s="127" t="inlineStr">
        <is>
          <t>Les Contes d'Amadou Koumba</t>
        </is>
      </c>
      <c r="H34" s="127" t="inlineStr">
        <is>
          <t>Birago Diop</t>
        </is>
      </c>
      <c r="I34" s="127" t="inlineStr">
        <is>
          <t>Jeunesse</t>
        </is>
      </c>
      <c r="J34" s="127" t="inlineStr">
        <is>
          <t>Présence Africaine</t>
        </is>
      </c>
      <c r="K34" s="128" t="n">
        <v>1947</v>
      </c>
      <c r="L34" s="128" t="n">
        <v>3</v>
      </c>
      <c r="M34" s="127" t="inlineStr">
        <is>
          <t>Rayon H1</t>
        </is>
      </c>
      <c r="N34" s="129">
        <f>IF($E34="","",COUNTIFS(EMP_Livre,$E34,EMP_Retour,""))</f>
        <v/>
      </c>
      <c r="O34" s="129">
        <f>IF($E34="","",$L34-$N34)</f>
        <v/>
      </c>
      <c r="P34" s="129">
        <f>IF($E34="","",COUNTIF(EMP_Livre,$E34))</f>
        <v/>
      </c>
      <c r="Q34" s="130">
        <f>IF($E34="","",IF($O34&lt;=0,"Indisponible",IF(AND($O34=1,$L34&gt;1),"Dernier exemplaire","Disponible")))</f>
        <v/>
      </c>
      <c r="S34">
        <f>IF($E34="","",$P34+ROW()/100000)</f>
        <v/>
      </c>
      <c r="T34">
        <f>IF(OR(Q_Rech="",$E34=""),"",IF(ISNUMBER(SEARCH(Q_Rech,$E34&amp;" "&amp;$F34&amp;" "&amp;$G34&amp;" "&amp;$H34&amp;" "&amp;$I34)),COUNT($T$6:$T33)+1,""))</f>
        <v/>
      </c>
      <c r="U34">
        <f>IF($E34="","",IF(COUNTIFS(EMP_Livre,$E34,EMP_Date,"&gt;="&amp;R_Mois,EMP_Date,"&lt;"&amp;EDATE(R_Mois,1))=0,"",COUNTIFS(EMP_Livre,$E34,EMP_Date,"&gt;="&amp;R_Mois,EMP_Date,"&lt;"&amp;EDATE(R_Mois,1))+ROW()/100000))</f>
        <v/>
      </c>
    </row>
    <row r="35" ht="21" customHeight="1">
      <c r="A35" s="1" t="n"/>
      <c r="B35" s="1" t="n"/>
      <c r="C35" s="2" t="n"/>
      <c r="E35" s="127" t="inlineStr">
        <is>
          <t>LIV-029</t>
        </is>
      </c>
      <c r="F35" s="127" t="inlineStr">
        <is>
          <t>978-2-6310-9005-0</t>
        </is>
      </c>
      <c r="G35" s="127" t="inlineStr">
        <is>
          <t>Mathématiques 1ère Humanités</t>
        </is>
      </c>
      <c r="H35" s="127" t="inlineStr">
        <is>
          <t>Collectif</t>
        </is>
      </c>
      <c r="I35" s="127" t="inlineStr">
        <is>
          <t>Mathématiques</t>
        </is>
      </c>
      <c r="J35" s="127" t="inlineStr">
        <is>
          <t>Loyola</t>
        </is>
      </c>
      <c r="K35" s="128" t="n">
        <v>2021</v>
      </c>
      <c r="L35" s="128" t="n">
        <v>3</v>
      </c>
      <c r="M35" s="127" t="inlineStr">
        <is>
          <t>Rayon D3</t>
        </is>
      </c>
      <c r="N35" s="129">
        <f>IF($E35="","",COUNTIFS(EMP_Livre,$E35,EMP_Retour,""))</f>
        <v/>
      </c>
      <c r="O35" s="129">
        <f>IF($E35="","",$L35-$N35)</f>
        <v/>
      </c>
      <c r="P35" s="129">
        <f>IF($E35="","",COUNTIF(EMP_Livre,$E35))</f>
        <v/>
      </c>
      <c r="Q35" s="130">
        <f>IF($E35="","",IF($O35&lt;=0,"Indisponible",IF(AND($O35=1,$L35&gt;1),"Dernier exemplaire","Disponible")))</f>
        <v/>
      </c>
      <c r="S35">
        <f>IF($E35="","",$P35+ROW()/100000)</f>
        <v/>
      </c>
      <c r="T35">
        <f>IF(OR(Q_Rech="",$E35=""),"",IF(ISNUMBER(SEARCH(Q_Rech,$E35&amp;" "&amp;$F35&amp;" "&amp;$G35&amp;" "&amp;$H35&amp;" "&amp;$I35)),COUNT($T$6:$T34)+1,""))</f>
        <v/>
      </c>
      <c r="U35">
        <f>IF($E35="","",IF(COUNTIFS(EMP_Livre,$E35,EMP_Date,"&gt;="&amp;R_Mois,EMP_Date,"&lt;"&amp;EDATE(R_Mois,1))=0,"",COUNTIFS(EMP_Livre,$E35,EMP_Date,"&gt;="&amp;R_Mois,EMP_Date,"&lt;"&amp;EDATE(R_Mois,1))+ROW()/100000))</f>
        <v/>
      </c>
    </row>
    <row r="36" ht="21" customHeight="1">
      <c r="A36" s="1" t="n"/>
      <c r="B36" s="1" t="n"/>
      <c r="C36" s="2" t="n"/>
      <c r="E36" s="127" t="inlineStr">
        <is>
          <t>LIV-030</t>
        </is>
      </c>
      <c r="F36" s="127" t="inlineStr">
        <is>
          <t>978-2-6038-4923-0</t>
        </is>
      </c>
      <c r="G36" s="127" t="inlineStr">
        <is>
          <t>Mathématiques 2ème Humanités</t>
        </is>
      </c>
      <c r="H36" s="127" t="inlineStr">
        <is>
          <t>Collectif</t>
        </is>
      </c>
      <c r="I36" s="127" t="inlineStr">
        <is>
          <t>Mathématiques</t>
        </is>
      </c>
      <c r="J36" s="127" t="inlineStr">
        <is>
          <t>Loyola</t>
        </is>
      </c>
      <c r="K36" s="128" t="n">
        <v>2021</v>
      </c>
      <c r="L36" s="128" t="n">
        <v>2</v>
      </c>
      <c r="M36" s="127" t="inlineStr">
        <is>
          <t>Rayon D1</t>
        </is>
      </c>
      <c r="N36" s="129">
        <f>IF($E36="","",COUNTIFS(EMP_Livre,$E36,EMP_Retour,""))</f>
        <v/>
      </c>
      <c r="O36" s="129">
        <f>IF($E36="","",$L36-$N36)</f>
        <v/>
      </c>
      <c r="P36" s="129">
        <f>IF($E36="","",COUNTIF(EMP_Livre,$E36))</f>
        <v/>
      </c>
      <c r="Q36" s="130">
        <f>IF($E36="","",IF($O36&lt;=0,"Indisponible",IF(AND($O36=1,$L36&gt;1),"Dernier exemplaire","Disponible")))</f>
        <v/>
      </c>
      <c r="S36">
        <f>IF($E36="","",$P36+ROW()/100000)</f>
        <v/>
      </c>
      <c r="T36">
        <f>IF(OR(Q_Rech="",$E36=""),"",IF(ISNUMBER(SEARCH(Q_Rech,$E36&amp;" "&amp;$F36&amp;" "&amp;$G36&amp;" "&amp;$H36&amp;" "&amp;$I36)),COUNT($T$6:$T35)+1,""))</f>
        <v/>
      </c>
      <c r="U36">
        <f>IF($E36="","",IF(COUNTIFS(EMP_Livre,$E36,EMP_Date,"&gt;="&amp;R_Mois,EMP_Date,"&lt;"&amp;EDATE(R_Mois,1))=0,"",COUNTIFS(EMP_Livre,$E36,EMP_Date,"&gt;="&amp;R_Mois,EMP_Date,"&lt;"&amp;EDATE(R_Mois,1))+ROW()/100000))</f>
        <v/>
      </c>
    </row>
    <row r="37" ht="21" customHeight="1">
      <c r="A37" s="1" t="n"/>
      <c r="B37" s="1" t="n"/>
      <c r="C37" s="2" t="n"/>
      <c r="E37" s="127" t="inlineStr">
        <is>
          <t>LIV-031</t>
        </is>
      </c>
      <c r="F37" s="127" t="inlineStr">
        <is>
          <t>978-2-2403-8962-1</t>
        </is>
      </c>
      <c r="G37" s="127" t="inlineStr">
        <is>
          <t>Mathématiques 3ème Humanités</t>
        </is>
      </c>
      <c r="H37" s="127" t="inlineStr">
        <is>
          <t>Collectif</t>
        </is>
      </c>
      <c r="I37" s="127" t="inlineStr">
        <is>
          <t>Mathématiques</t>
        </is>
      </c>
      <c r="J37" s="127" t="inlineStr">
        <is>
          <t>Loyola</t>
        </is>
      </c>
      <c r="K37" s="128" t="n">
        <v>2022</v>
      </c>
      <c r="L37" s="128" t="n">
        <v>3</v>
      </c>
      <c r="M37" s="127" t="inlineStr">
        <is>
          <t>Rayon D2</t>
        </is>
      </c>
      <c r="N37" s="129">
        <f>IF($E37="","",COUNTIFS(EMP_Livre,$E37,EMP_Retour,""))</f>
        <v/>
      </c>
      <c r="O37" s="129">
        <f>IF($E37="","",$L37-$N37)</f>
        <v/>
      </c>
      <c r="P37" s="129">
        <f>IF($E37="","",COUNTIF(EMP_Livre,$E37))</f>
        <v/>
      </c>
      <c r="Q37" s="130">
        <f>IF($E37="","",IF($O37&lt;=0,"Indisponible",IF(AND($O37=1,$L37&gt;1),"Dernier exemplaire","Disponible")))</f>
        <v/>
      </c>
      <c r="S37">
        <f>IF($E37="","",$P37+ROW()/100000)</f>
        <v/>
      </c>
      <c r="T37">
        <f>IF(OR(Q_Rech="",$E37=""),"",IF(ISNUMBER(SEARCH(Q_Rech,$E37&amp;" "&amp;$F37&amp;" "&amp;$G37&amp;" "&amp;$H37&amp;" "&amp;$I37)),COUNT($T$6:$T36)+1,""))</f>
        <v/>
      </c>
      <c r="U37">
        <f>IF($E37="","",IF(COUNTIFS(EMP_Livre,$E37,EMP_Date,"&gt;="&amp;R_Mois,EMP_Date,"&lt;"&amp;EDATE(R_Mois,1))=0,"",COUNTIFS(EMP_Livre,$E37,EMP_Date,"&gt;="&amp;R_Mois,EMP_Date,"&lt;"&amp;EDATE(R_Mois,1))+ROW()/100000))</f>
        <v/>
      </c>
    </row>
    <row r="38" ht="21" customHeight="1">
      <c r="A38" s="1" t="n"/>
      <c r="B38" s="1" t="n"/>
      <c r="C38" s="2" t="n"/>
      <c r="E38" s="127" t="inlineStr">
        <is>
          <t>LIV-032</t>
        </is>
      </c>
      <c r="F38" s="127" t="inlineStr">
        <is>
          <t>978-2-3103-8787-8</t>
        </is>
      </c>
      <c r="G38" s="127" t="inlineStr">
        <is>
          <t>Algèbre et géométrie 7ème EB</t>
        </is>
      </c>
      <c r="H38" s="127" t="inlineStr">
        <is>
          <t>Collectif</t>
        </is>
      </c>
      <c r="I38" s="127" t="inlineStr">
        <is>
          <t>Mathématiques</t>
        </is>
      </c>
      <c r="J38" s="127" t="inlineStr">
        <is>
          <t>Médiaspaul</t>
        </is>
      </c>
      <c r="K38" s="128" t="n">
        <v>2020</v>
      </c>
      <c r="L38" s="128" t="n">
        <v>2</v>
      </c>
      <c r="M38" s="127" t="inlineStr">
        <is>
          <t>Rayon D3</t>
        </is>
      </c>
      <c r="N38" s="129">
        <f>IF($E38="","",COUNTIFS(EMP_Livre,$E38,EMP_Retour,""))</f>
        <v/>
      </c>
      <c r="O38" s="129">
        <f>IF($E38="","",$L38-$N38)</f>
        <v/>
      </c>
      <c r="P38" s="129">
        <f>IF($E38="","",COUNTIF(EMP_Livre,$E38))</f>
        <v/>
      </c>
      <c r="Q38" s="130">
        <f>IF($E38="","",IF($O38&lt;=0,"Indisponible",IF(AND($O38=1,$L38&gt;1),"Dernier exemplaire","Disponible")))</f>
        <v/>
      </c>
      <c r="S38">
        <f>IF($E38="","",$P38+ROW()/100000)</f>
        <v/>
      </c>
      <c r="T38">
        <f>IF(OR(Q_Rech="",$E38=""),"",IF(ISNUMBER(SEARCH(Q_Rech,$E38&amp;" "&amp;$F38&amp;" "&amp;$G38&amp;" "&amp;$H38&amp;" "&amp;$I38)),COUNT($T$6:$T37)+1,""))</f>
        <v/>
      </c>
      <c r="U38">
        <f>IF($E38="","",IF(COUNTIFS(EMP_Livre,$E38,EMP_Date,"&gt;="&amp;R_Mois,EMP_Date,"&lt;"&amp;EDATE(R_Mois,1))=0,"",COUNTIFS(EMP_Livre,$E38,EMP_Date,"&gt;="&amp;R_Mois,EMP_Date,"&lt;"&amp;EDATE(R_Mois,1))+ROW()/100000))</f>
        <v/>
      </c>
    </row>
    <row r="39" ht="21" customHeight="1">
      <c r="A39" s="1" t="n"/>
      <c r="B39" s="1" t="n"/>
      <c r="C39" s="2" t="n"/>
      <c r="E39" s="127" t="inlineStr">
        <is>
          <t>LIV-033</t>
        </is>
      </c>
      <c r="F39" s="127" t="inlineStr">
        <is>
          <t>978-2-9645-7932-3</t>
        </is>
      </c>
      <c r="G39" s="127" t="inlineStr">
        <is>
          <t>Calcul mental — Primaire</t>
        </is>
      </c>
      <c r="H39" s="127" t="inlineStr">
        <is>
          <t>Collectif</t>
        </is>
      </c>
      <c r="I39" s="127" t="inlineStr">
        <is>
          <t>Mathématiques</t>
        </is>
      </c>
      <c r="J39" s="127" t="inlineStr">
        <is>
          <t>Médiaspaul</t>
        </is>
      </c>
      <c r="K39" s="128" t="n">
        <v>2019</v>
      </c>
      <c r="L39" s="128" t="n">
        <v>3</v>
      </c>
      <c r="M39" s="127" t="inlineStr">
        <is>
          <t>Rayon D2</t>
        </is>
      </c>
      <c r="N39" s="129">
        <f>IF($E39="","",COUNTIFS(EMP_Livre,$E39,EMP_Retour,""))</f>
        <v/>
      </c>
      <c r="O39" s="129">
        <f>IF($E39="","",$L39-$N39)</f>
        <v/>
      </c>
      <c r="P39" s="129">
        <f>IF($E39="","",COUNTIF(EMP_Livre,$E39))</f>
        <v/>
      </c>
      <c r="Q39" s="130">
        <f>IF($E39="","",IF($O39&lt;=0,"Indisponible",IF(AND($O39=1,$L39&gt;1),"Dernier exemplaire","Disponible")))</f>
        <v/>
      </c>
      <c r="S39">
        <f>IF($E39="","",$P39+ROW()/100000)</f>
        <v/>
      </c>
      <c r="T39">
        <f>IF(OR(Q_Rech="",$E39=""),"",IF(ISNUMBER(SEARCH(Q_Rech,$E39&amp;" "&amp;$F39&amp;" "&amp;$G39&amp;" "&amp;$H39&amp;" "&amp;$I39)),COUNT($T$6:$T38)+1,""))</f>
        <v/>
      </c>
      <c r="U39">
        <f>IF($E39="","",IF(COUNTIFS(EMP_Livre,$E39,EMP_Date,"&gt;="&amp;R_Mois,EMP_Date,"&lt;"&amp;EDATE(R_Mois,1))=0,"",COUNTIFS(EMP_Livre,$E39,EMP_Date,"&gt;="&amp;R_Mois,EMP_Date,"&lt;"&amp;EDATE(R_Mois,1))+ROW()/100000))</f>
        <v/>
      </c>
    </row>
    <row r="40" ht="21" customHeight="1">
      <c r="A40" s="1" t="n"/>
      <c r="B40" s="1" t="n"/>
      <c r="C40" s="2" t="n"/>
      <c r="E40" s="127" t="inlineStr">
        <is>
          <t>LIV-034</t>
        </is>
      </c>
      <c r="F40" s="127" t="inlineStr">
        <is>
          <t>978-2-6107-7537-5</t>
        </is>
      </c>
      <c r="G40" s="127" t="inlineStr">
        <is>
          <t>Physique 3ème Humanités</t>
        </is>
      </c>
      <c r="H40" s="127" t="inlineStr">
        <is>
          <t>Collectif</t>
        </is>
      </c>
      <c r="I40" s="127" t="inlineStr">
        <is>
          <t>Sciences</t>
        </is>
      </c>
      <c r="J40" s="127" t="inlineStr">
        <is>
          <t>Loyola</t>
        </is>
      </c>
      <c r="K40" s="128" t="n">
        <v>2022</v>
      </c>
      <c r="L40" s="128" t="n">
        <v>3</v>
      </c>
      <c r="M40" s="127" t="inlineStr">
        <is>
          <t>Rayon C4</t>
        </is>
      </c>
      <c r="N40" s="129">
        <f>IF($E40="","",COUNTIFS(EMP_Livre,$E40,EMP_Retour,""))</f>
        <v/>
      </c>
      <c r="O40" s="129">
        <f>IF($E40="","",$L40-$N40)</f>
        <v/>
      </c>
      <c r="P40" s="129">
        <f>IF($E40="","",COUNTIF(EMP_Livre,$E40))</f>
        <v/>
      </c>
      <c r="Q40" s="130">
        <f>IF($E40="","",IF($O40&lt;=0,"Indisponible",IF(AND($O40=1,$L40&gt;1),"Dernier exemplaire","Disponible")))</f>
        <v/>
      </c>
      <c r="S40">
        <f>IF($E40="","",$P40+ROW()/100000)</f>
        <v/>
      </c>
      <c r="T40">
        <f>IF(OR(Q_Rech="",$E40=""),"",IF(ISNUMBER(SEARCH(Q_Rech,$E40&amp;" "&amp;$F40&amp;" "&amp;$G40&amp;" "&amp;$H40&amp;" "&amp;$I40)),COUNT($T$6:$T39)+1,""))</f>
        <v/>
      </c>
      <c r="U40">
        <f>IF($E40="","",IF(COUNTIFS(EMP_Livre,$E40,EMP_Date,"&gt;="&amp;R_Mois,EMP_Date,"&lt;"&amp;EDATE(R_Mois,1))=0,"",COUNTIFS(EMP_Livre,$E40,EMP_Date,"&gt;="&amp;R_Mois,EMP_Date,"&lt;"&amp;EDATE(R_Mois,1))+ROW()/100000))</f>
        <v/>
      </c>
    </row>
    <row r="41" ht="21" customHeight="1">
      <c r="A41" s="1" t="n"/>
      <c r="B41" s="1" t="n"/>
      <c r="C41" s="2" t="n"/>
      <c r="E41" s="127" t="inlineStr">
        <is>
          <t>LIV-035</t>
        </is>
      </c>
      <c r="F41" s="127" t="inlineStr">
        <is>
          <t>978-2-2982-5061-3</t>
        </is>
      </c>
      <c r="G41" s="127" t="inlineStr">
        <is>
          <t>Chimie générale</t>
        </is>
      </c>
      <c r="H41" s="127" t="inlineStr">
        <is>
          <t>Collectif</t>
        </is>
      </c>
      <c r="I41" s="127" t="inlineStr">
        <is>
          <t>Sciences</t>
        </is>
      </c>
      <c r="J41" s="127" t="inlineStr">
        <is>
          <t>De Boeck</t>
        </is>
      </c>
      <c r="K41" s="128" t="n">
        <v>2018</v>
      </c>
      <c r="L41" s="128" t="n">
        <v>3</v>
      </c>
      <c r="M41" s="127" t="inlineStr">
        <is>
          <t>Rayon C3</t>
        </is>
      </c>
      <c r="N41" s="129">
        <f>IF($E41="","",COUNTIFS(EMP_Livre,$E41,EMP_Retour,""))</f>
        <v/>
      </c>
      <c r="O41" s="129">
        <f>IF($E41="","",$L41-$N41)</f>
        <v/>
      </c>
      <c r="P41" s="129">
        <f>IF($E41="","",COUNTIF(EMP_Livre,$E41))</f>
        <v/>
      </c>
      <c r="Q41" s="130">
        <f>IF($E41="","",IF($O41&lt;=0,"Indisponible",IF(AND($O41=1,$L41&gt;1),"Dernier exemplaire","Disponible")))</f>
        <v/>
      </c>
      <c r="S41">
        <f>IF($E41="","",$P41+ROW()/100000)</f>
        <v/>
      </c>
      <c r="T41">
        <f>IF(OR(Q_Rech="",$E41=""),"",IF(ISNUMBER(SEARCH(Q_Rech,$E41&amp;" "&amp;$F41&amp;" "&amp;$G41&amp;" "&amp;$H41&amp;" "&amp;$I41)),COUNT($T$6:$T40)+1,""))</f>
        <v/>
      </c>
      <c r="U41">
        <f>IF($E41="","",IF(COUNTIFS(EMP_Livre,$E41,EMP_Date,"&gt;="&amp;R_Mois,EMP_Date,"&lt;"&amp;EDATE(R_Mois,1))=0,"",COUNTIFS(EMP_Livre,$E41,EMP_Date,"&gt;="&amp;R_Mois,EMP_Date,"&lt;"&amp;EDATE(R_Mois,1))+ROW()/100000))</f>
        <v/>
      </c>
    </row>
    <row r="42" ht="21" customHeight="1">
      <c r="A42" s="1" t="n"/>
      <c r="B42" s="1" t="n"/>
      <c r="C42" s="2" t="n"/>
      <c r="E42" s="127" t="inlineStr">
        <is>
          <t>LIV-036</t>
        </is>
      </c>
      <c r="F42" s="127" t="inlineStr">
        <is>
          <t>978-2-1344-4770-9</t>
        </is>
      </c>
      <c r="G42" s="127" t="inlineStr">
        <is>
          <t>Biologie — Le corps humain</t>
        </is>
      </c>
      <c r="H42" s="127" t="inlineStr">
        <is>
          <t>Collectif</t>
        </is>
      </c>
      <c r="I42" s="127" t="inlineStr">
        <is>
          <t>Sciences</t>
        </is>
      </c>
      <c r="J42" s="127" t="inlineStr">
        <is>
          <t>Nathan</t>
        </is>
      </c>
      <c r="K42" s="128" t="n">
        <v>2019</v>
      </c>
      <c r="L42" s="128" t="n">
        <v>2</v>
      </c>
      <c r="M42" s="127" t="inlineStr">
        <is>
          <t>Rayon C1</t>
        </is>
      </c>
      <c r="N42" s="129">
        <f>IF($E42="","",COUNTIFS(EMP_Livre,$E42,EMP_Retour,""))</f>
        <v/>
      </c>
      <c r="O42" s="129">
        <f>IF($E42="","",$L42-$N42)</f>
        <v/>
      </c>
      <c r="P42" s="129">
        <f>IF($E42="","",COUNTIF(EMP_Livre,$E42))</f>
        <v/>
      </c>
      <c r="Q42" s="130">
        <f>IF($E42="","",IF($O42&lt;=0,"Indisponible",IF(AND($O42=1,$L42&gt;1),"Dernier exemplaire","Disponible")))</f>
        <v/>
      </c>
      <c r="S42">
        <f>IF($E42="","",$P42+ROW()/100000)</f>
        <v/>
      </c>
      <c r="T42">
        <f>IF(OR(Q_Rech="",$E42=""),"",IF(ISNUMBER(SEARCH(Q_Rech,$E42&amp;" "&amp;$F42&amp;" "&amp;$G42&amp;" "&amp;$H42&amp;" "&amp;$I42)),COUNT($T$6:$T41)+1,""))</f>
        <v/>
      </c>
      <c r="U42">
        <f>IF($E42="","",IF(COUNTIFS(EMP_Livre,$E42,EMP_Date,"&gt;="&amp;R_Mois,EMP_Date,"&lt;"&amp;EDATE(R_Mois,1))=0,"",COUNTIFS(EMP_Livre,$E42,EMP_Date,"&gt;="&amp;R_Mois,EMP_Date,"&lt;"&amp;EDATE(R_Mois,1))+ROW()/100000))</f>
        <v/>
      </c>
    </row>
    <row r="43" ht="21" customHeight="1">
      <c r="A43" s="1" t="n"/>
      <c r="B43" s="1" t="n"/>
      <c r="C43" s="2" t="n"/>
      <c r="E43" s="127" t="inlineStr">
        <is>
          <t>LIV-037</t>
        </is>
      </c>
      <c r="F43" s="127" t="inlineStr">
        <is>
          <t>978-2-2163-1964-3</t>
        </is>
      </c>
      <c r="G43" s="127" t="inlineStr">
        <is>
          <t>Une brève histoire du temps</t>
        </is>
      </c>
      <c r="H43" s="127" t="inlineStr">
        <is>
          <t>Stephen Hawking</t>
        </is>
      </c>
      <c r="I43" s="127" t="inlineStr">
        <is>
          <t>Sciences</t>
        </is>
      </c>
      <c r="J43" s="127" t="inlineStr">
        <is>
          <t>Flammarion</t>
        </is>
      </c>
      <c r="K43" s="128" t="n">
        <v>1988</v>
      </c>
      <c r="L43" s="128" t="n">
        <v>1</v>
      </c>
      <c r="M43" s="127" t="inlineStr">
        <is>
          <t>Rayon C1</t>
        </is>
      </c>
      <c r="N43" s="129">
        <f>IF($E43="","",COUNTIFS(EMP_Livre,$E43,EMP_Retour,""))</f>
        <v/>
      </c>
      <c r="O43" s="129">
        <f>IF($E43="","",$L43-$N43)</f>
        <v/>
      </c>
      <c r="P43" s="129">
        <f>IF($E43="","",COUNTIF(EMP_Livre,$E43))</f>
        <v/>
      </c>
      <c r="Q43" s="130">
        <f>IF($E43="","",IF($O43&lt;=0,"Indisponible",IF(AND($O43=1,$L43&gt;1),"Dernier exemplaire","Disponible")))</f>
        <v/>
      </c>
      <c r="S43">
        <f>IF($E43="","",$P43+ROW()/100000)</f>
        <v/>
      </c>
      <c r="T43">
        <f>IF(OR(Q_Rech="",$E43=""),"",IF(ISNUMBER(SEARCH(Q_Rech,$E43&amp;" "&amp;$F43&amp;" "&amp;$G43&amp;" "&amp;$H43&amp;" "&amp;$I43)),COUNT($T$6:$T42)+1,""))</f>
        <v/>
      </c>
      <c r="U43">
        <f>IF($E43="","",IF(COUNTIFS(EMP_Livre,$E43,EMP_Date,"&gt;="&amp;R_Mois,EMP_Date,"&lt;"&amp;EDATE(R_Mois,1))=0,"",COUNTIFS(EMP_Livre,$E43,EMP_Date,"&gt;="&amp;R_Mois,EMP_Date,"&lt;"&amp;EDATE(R_Mois,1))+ROW()/100000))</f>
        <v/>
      </c>
    </row>
    <row r="44" ht="21" customHeight="1">
      <c r="A44" s="1" t="n"/>
      <c r="B44" s="1" t="n"/>
      <c r="C44" s="2" t="n"/>
      <c r="E44" s="127" t="inlineStr">
        <is>
          <t>LIV-038</t>
        </is>
      </c>
      <c r="F44" s="127" t="inlineStr">
        <is>
          <t>978-2-6413-2160-8</t>
        </is>
      </c>
      <c r="G44" s="127" t="inlineStr">
        <is>
          <t>Sciences de la Terre</t>
        </is>
      </c>
      <c r="H44" s="127" t="inlineStr">
        <is>
          <t>Collectif</t>
        </is>
      </c>
      <c r="I44" s="127" t="inlineStr">
        <is>
          <t>Sciences</t>
        </is>
      </c>
      <c r="J44" s="127" t="inlineStr">
        <is>
          <t>Hachette</t>
        </is>
      </c>
      <c r="K44" s="128" t="n">
        <v>2017</v>
      </c>
      <c r="L44" s="128" t="n">
        <v>2</v>
      </c>
      <c r="M44" s="127" t="inlineStr">
        <is>
          <t>Rayon C3</t>
        </is>
      </c>
      <c r="N44" s="129">
        <f>IF($E44="","",COUNTIFS(EMP_Livre,$E44,EMP_Retour,""))</f>
        <v/>
      </c>
      <c r="O44" s="129">
        <f>IF($E44="","",$L44-$N44)</f>
        <v/>
      </c>
      <c r="P44" s="129">
        <f>IF($E44="","",COUNTIF(EMP_Livre,$E44))</f>
        <v/>
      </c>
      <c r="Q44" s="130">
        <f>IF($E44="","",IF($O44&lt;=0,"Indisponible",IF(AND($O44=1,$L44&gt;1),"Dernier exemplaire","Disponible")))</f>
        <v/>
      </c>
      <c r="S44">
        <f>IF($E44="","",$P44+ROW()/100000)</f>
        <v/>
      </c>
      <c r="T44">
        <f>IF(OR(Q_Rech="",$E44=""),"",IF(ISNUMBER(SEARCH(Q_Rech,$E44&amp;" "&amp;$F44&amp;" "&amp;$G44&amp;" "&amp;$H44&amp;" "&amp;$I44)),COUNT($T$6:$T43)+1,""))</f>
        <v/>
      </c>
      <c r="U44">
        <f>IF($E44="","",IF(COUNTIFS(EMP_Livre,$E44,EMP_Date,"&gt;="&amp;R_Mois,EMP_Date,"&lt;"&amp;EDATE(R_Mois,1))=0,"",COUNTIFS(EMP_Livre,$E44,EMP_Date,"&gt;="&amp;R_Mois,EMP_Date,"&lt;"&amp;EDATE(R_Mois,1))+ROW()/100000))</f>
        <v/>
      </c>
    </row>
    <row r="45" ht="21" customHeight="1">
      <c r="A45" s="1" t="n"/>
      <c r="B45" s="1" t="n"/>
      <c r="C45" s="2" t="n"/>
      <c r="E45" s="127" t="inlineStr">
        <is>
          <t>LIV-039</t>
        </is>
      </c>
      <c r="F45" s="127" t="inlineStr">
        <is>
          <t>978-2-8953-4510-8</t>
        </is>
      </c>
      <c r="G45" s="127" t="inlineStr">
        <is>
          <t>Histoire de la RDC</t>
        </is>
      </c>
      <c r="H45" s="127" t="inlineStr">
        <is>
          <t>Isidore Ndaywel</t>
        </is>
      </c>
      <c r="I45" s="127" t="inlineStr">
        <is>
          <t>Histoire-Géo</t>
        </is>
      </c>
      <c r="J45" s="127" t="inlineStr">
        <is>
          <t>Le Cri</t>
        </is>
      </c>
      <c r="K45" s="128" t="n">
        <v>2009</v>
      </c>
      <c r="L45" s="128" t="n">
        <v>2</v>
      </c>
      <c r="M45" s="127" t="inlineStr">
        <is>
          <t>Rayon E4</t>
        </is>
      </c>
      <c r="N45" s="129">
        <f>IF($E45="","",COUNTIFS(EMP_Livre,$E45,EMP_Retour,""))</f>
        <v/>
      </c>
      <c r="O45" s="129">
        <f>IF($E45="","",$L45-$N45)</f>
        <v/>
      </c>
      <c r="P45" s="129">
        <f>IF($E45="","",COUNTIF(EMP_Livre,$E45))</f>
        <v/>
      </c>
      <c r="Q45" s="130">
        <f>IF($E45="","",IF($O45&lt;=0,"Indisponible",IF(AND($O45=1,$L45&gt;1),"Dernier exemplaire","Disponible")))</f>
        <v/>
      </c>
      <c r="S45">
        <f>IF($E45="","",$P45+ROW()/100000)</f>
        <v/>
      </c>
      <c r="T45">
        <f>IF(OR(Q_Rech="",$E45=""),"",IF(ISNUMBER(SEARCH(Q_Rech,$E45&amp;" "&amp;$F45&amp;" "&amp;$G45&amp;" "&amp;$H45&amp;" "&amp;$I45)),COUNT($T$6:$T44)+1,""))</f>
        <v/>
      </c>
      <c r="U45">
        <f>IF($E45="","",IF(COUNTIFS(EMP_Livre,$E45,EMP_Date,"&gt;="&amp;R_Mois,EMP_Date,"&lt;"&amp;EDATE(R_Mois,1))=0,"",COUNTIFS(EMP_Livre,$E45,EMP_Date,"&gt;="&amp;R_Mois,EMP_Date,"&lt;"&amp;EDATE(R_Mois,1))+ROW()/100000))</f>
        <v/>
      </c>
    </row>
    <row r="46" ht="21" customHeight="1">
      <c r="A46" s="1" t="n"/>
      <c r="B46" s="1" t="n"/>
      <c r="C46" s="2" t="n"/>
      <c r="E46" s="127" t="inlineStr">
        <is>
          <t>LIV-040</t>
        </is>
      </c>
      <c r="F46" s="127" t="inlineStr">
        <is>
          <t>978-2-4981-8749-6</t>
        </is>
      </c>
      <c r="G46" s="127" t="inlineStr">
        <is>
          <t>Atlas de la RD Congo</t>
        </is>
      </c>
      <c r="H46" s="127" t="inlineStr">
        <is>
          <t>Collectif</t>
        </is>
      </c>
      <c r="I46" s="127" t="inlineStr">
        <is>
          <t>Histoire-Géo</t>
        </is>
      </c>
      <c r="J46" s="127" t="inlineStr">
        <is>
          <t>Jeune Afrique</t>
        </is>
      </c>
      <c r="K46" s="128" t="n">
        <v>2016</v>
      </c>
      <c r="L46" s="128" t="n">
        <v>2</v>
      </c>
      <c r="M46" s="127" t="inlineStr">
        <is>
          <t>Rayon E1</t>
        </is>
      </c>
      <c r="N46" s="129">
        <f>IF($E46="","",COUNTIFS(EMP_Livre,$E46,EMP_Retour,""))</f>
        <v/>
      </c>
      <c r="O46" s="129">
        <f>IF($E46="","",$L46-$N46)</f>
        <v/>
      </c>
      <c r="P46" s="129">
        <f>IF($E46="","",COUNTIF(EMP_Livre,$E46))</f>
        <v/>
      </c>
      <c r="Q46" s="130">
        <f>IF($E46="","",IF($O46&lt;=0,"Indisponible",IF(AND($O46=1,$L46&gt;1),"Dernier exemplaire","Disponible")))</f>
        <v/>
      </c>
      <c r="S46">
        <f>IF($E46="","",$P46+ROW()/100000)</f>
        <v/>
      </c>
      <c r="T46">
        <f>IF(OR(Q_Rech="",$E46=""),"",IF(ISNUMBER(SEARCH(Q_Rech,$E46&amp;" "&amp;$F46&amp;" "&amp;$G46&amp;" "&amp;$H46&amp;" "&amp;$I46)),COUNT($T$6:$T45)+1,""))</f>
        <v/>
      </c>
      <c r="U46">
        <f>IF($E46="","",IF(COUNTIFS(EMP_Livre,$E46,EMP_Date,"&gt;="&amp;R_Mois,EMP_Date,"&lt;"&amp;EDATE(R_Mois,1))=0,"",COUNTIFS(EMP_Livre,$E46,EMP_Date,"&gt;="&amp;R_Mois,EMP_Date,"&lt;"&amp;EDATE(R_Mois,1))+ROW()/100000))</f>
        <v/>
      </c>
    </row>
    <row r="47" ht="21" customHeight="1">
      <c r="A47" s="1" t="n"/>
      <c r="B47" s="1" t="n"/>
      <c r="C47" s="2" t="n"/>
      <c r="E47" s="127" t="inlineStr">
        <is>
          <t>LIV-041</t>
        </is>
      </c>
      <c r="F47" s="127" t="inlineStr">
        <is>
          <t>978-2-2588-8062-5</t>
        </is>
      </c>
      <c r="G47" s="127" t="inlineStr">
        <is>
          <t>Géographie du Kivu</t>
        </is>
      </c>
      <c r="H47" s="127" t="inlineStr">
        <is>
          <t>Collectif</t>
        </is>
      </c>
      <c r="I47" s="127" t="inlineStr">
        <is>
          <t>Histoire-Géo</t>
        </is>
      </c>
      <c r="J47" s="127" t="inlineStr">
        <is>
          <t>Médiaspaul</t>
        </is>
      </c>
      <c r="K47" s="128" t="n">
        <v>2015</v>
      </c>
      <c r="L47" s="128" t="n">
        <v>3</v>
      </c>
      <c r="M47" s="127" t="inlineStr">
        <is>
          <t>Rayon E4</t>
        </is>
      </c>
      <c r="N47" s="129">
        <f>IF($E47="","",COUNTIFS(EMP_Livre,$E47,EMP_Retour,""))</f>
        <v/>
      </c>
      <c r="O47" s="129">
        <f>IF($E47="","",$L47-$N47)</f>
        <v/>
      </c>
      <c r="P47" s="129">
        <f>IF($E47="","",COUNTIF(EMP_Livre,$E47))</f>
        <v/>
      </c>
      <c r="Q47" s="130">
        <f>IF($E47="","",IF($O47&lt;=0,"Indisponible",IF(AND($O47=1,$L47&gt;1),"Dernier exemplaire","Disponible")))</f>
        <v/>
      </c>
      <c r="S47">
        <f>IF($E47="","",$P47+ROW()/100000)</f>
        <v/>
      </c>
      <c r="T47">
        <f>IF(OR(Q_Rech="",$E47=""),"",IF(ISNUMBER(SEARCH(Q_Rech,$E47&amp;" "&amp;$F47&amp;" "&amp;$G47&amp;" "&amp;$H47&amp;" "&amp;$I47)),COUNT($T$6:$T46)+1,""))</f>
        <v/>
      </c>
      <c r="U47">
        <f>IF($E47="","",IF(COUNTIFS(EMP_Livre,$E47,EMP_Date,"&gt;="&amp;R_Mois,EMP_Date,"&lt;"&amp;EDATE(R_Mois,1))=0,"",COUNTIFS(EMP_Livre,$E47,EMP_Date,"&gt;="&amp;R_Mois,EMP_Date,"&lt;"&amp;EDATE(R_Mois,1))+ROW()/100000))</f>
        <v/>
      </c>
    </row>
    <row r="48" ht="21" customHeight="1">
      <c r="A48" s="1" t="n"/>
      <c r="B48" s="1" t="n"/>
      <c r="C48" s="2" t="n"/>
      <c r="E48" s="127" t="inlineStr">
        <is>
          <t>LIV-042</t>
        </is>
      </c>
      <c r="F48" s="127" t="inlineStr">
        <is>
          <t>978-2-8651-1887-1</t>
        </is>
      </c>
      <c r="G48" s="127" t="inlineStr">
        <is>
          <t>Histoire de l'Afrique</t>
        </is>
      </c>
      <c r="H48" s="127" t="inlineStr">
        <is>
          <t>Joseph Ki-Zerbo</t>
        </is>
      </c>
      <c r="I48" s="127" t="inlineStr">
        <is>
          <t>Histoire-Géo</t>
        </is>
      </c>
      <c r="J48" s="127" t="inlineStr">
        <is>
          <t>Hatier</t>
        </is>
      </c>
      <c r="K48" s="128" t="n">
        <v>1972</v>
      </c>
      <c r="L48" s="128" t="n">
        <v>1</v>
      </c>
      <c r="M48" s="127" t="inlineStr">
        <is>
          <t>Rayon E4</t>
        </is>
      </c>
      <c r="N48" s="129">
        <f>IF($E48="","",COUNTIFS(EMP_Livre,$E48,EMP_Retour,""))</f>
        <v/>
      </c>
      <c r="O48" s="129">
        <f>IF($E48="","",$L48-$N48)</f>
        <v/>
      </c>
      <c r="P48" s="129">
        <f>IF($E48="","",COUNTIF(EMP_Livre,$E48))</f>
        <v/>
      </c>
      <c r="Q48" s="130">
        <f>IF($E48="","",IF($O48&lt;=0,"Indisponible",IF(AND($O48=1,$L48&gt;1),"Dernier exemplaire","Disponible")))</f>
        <v/>
      </c>
      <c r="S48">
        <f>IF($E48="","",$P48+ROW()/100000)</f>
        <v/>
      </c>
      <c r="T48">
        <f>IF(OR(Q_Rech="",$E48=""),"",IF(ISNUMBER(SEARCH(Q_Rech,$E48&amp;" "&amp;$F48&amp;" "&amp;$G48&amp;" "&amp;$H48&amp;" "&amp;$I48)),COUNT($T$6:$T47)+1,""))</f>
        <v/>
      </c>
      <c r="U48">
        <f>IF($E48="","",IF(COUNTIFS(EMP_Livre,$E48,EMP_Date,"&gt;="&amp;R_Mois,EMP_Date,"&lt;"&amp;EDATE(R_Mois,1))=0,"",COUNTIFS(EMP_Livre,$E48,EMP_Date,"&gt;="&amp;R_Mois,EMP_Date,"&lt;"&amp;EDATE(R_Mois,1))+ROW()/100000))</f>
        <v/>
      </c>
    </row>
    <row r="49" ht="21" customHeight="1">
      <c r="A49" s="1" t="n"/>
      <c r="B49" s="1" t="n"/>
      <c r="C49" s="2" t="n"/>
      <c r="E49" s="127" t="inlineStr">
        <is>
          <t>LIV-043</t>
        </is>
      </c>
      <c r="F49" s="127" t="inlineStr">
        <is>
          <t>978-2-6559-2790-3</t>
        </is>
      </c>
      <c r="G49" s="127" t="inlineStr">
        <is>
          <t>Sapiens</t>
        </is>
      </c>
      <c r="H49" s="127" t="inlineStr">
        <is>
          <t>Yuval Noah Harari</t>
        </is>
      </c>
      <c r="I49" s="127" t="inlineStr">
        <is>
          <t>Histoire-Géo</t>
        </is>
      </c>
      <c r="J49" s="127" t="inlineStr">
        <is>
          <t>Albin Michel</t>
        </is>
      </c>
      <c r="K49" s="128" t="n">
        <v>2015</v>
      </c>
      <c r="L49" s="128" t="n">
        <v>2</v>
      </c>
      <c r="M49" s="127" t="inlineStr">
        <is>
          <t>Rayon E2</t>
        </is>
      </c>
      <c r="N49" s="129">
        <f>IF($E49="","",COUNTIFS(EMP_Livre,$E49,EMP_Retour,""))</f>
        <v/>
      </c>
      <c r="O49" s="129">
        <f>IF($E49="","",$L49-$N49)</f>
        <v/>
      </c>
      <c r="P49" s="129">
        <f>IF($E49="","",COUNTIF(EMP_Livre,$E49))</f>
        <v/>
      </c>
      <c r="Q49" s="130">
        <f>IF($E49="","",IF($O49&lt;=0,"Indisponible",IF(AND($O49=1,$L49&gt;1),"Dernier exemplaire","Disponible")))</f>
        <v/>
      </c>
      <c r="S49">
        <f>IF($E49="","",$P49+ROW()/100000)</f>
        <v/>
      </c>
      <c r="T49">
        <f>IF(OR(Q_Rech="",$E49=""),"",IF(ISNUMBER(SEARCH(Q_Rech,$E49&amp;" "&amp;$F49&amp;" "&amp;$G49&amp;" "&amp;$H49&amp;" "&amp;$I49)),COUNT($T$6:$T48)+1,""))</f>
        <v/>
      </c>
      <c r="U49">
        <f>IF($E49="","",IF(COUNTIFS(EMP_Livre,$E49,EMP_Date,"&gt;="&amp;R_Mois,EMP_Date,"&lt;"&amp;EDATE(R_Mois,1))=0,"",COUNTIFS(EMP_Livre,$E49,EMP_Date,"&gt;="&amp;R_Mois,EMP_Date,"&lt;"&amp;EDATE(R_Mois,1))+ROW()/100000))</f>
        <v/>
      </c>
    </row>
    <row r="50" ht="21" customHeight="1">
      <c r="A50" s="1" t="n"/>
      <c r="B50" s="1" t="n"/>
      <c r="C50" s="2" t="n"/>
      <c r="E50" s="127" t="inlineStr">
        <is>
          <t>LIV-044</t>
        </is>
      </c>
      <c r="F50" s="127" t="inlineStr">
        <is>
          <t>978-2-9786-8350-2</t>
        </is>
      </c>
      <c r="G50" s="127" t="inlineStr">
        <is>
          <t>English for Today — Book 1</t>
        </is>
      </c>
      <c r="H50" s="127" t="inlineStr">
        <is>
          <t>Collectif</t>
        </is>
      </c>
      <c r="I50" s="127" t="inlineStr">
        <is>
          <t>Langues</t>
        </is>
      </c>
      <c r="J50" s="127" t="inlineStr">
        <is>
          <t>Longman</t>
        </is>
      </c>
      <c r="K50" s="128" t="n">
        <v>2018</v>
      </c>
      <c r="L50" s="128" t="n">
        <v>3</v>
      </c>
      <c r="M50" s="127" t="inlineStr">
        <is>
          <t>Rayon F2</t>
        </is>
      </c>
      <c r="N50" s="129">
        <f>IF($E50="","",COUNTIFS(EMP_Livre,$E50,EMP_Retour,""))</f>
        <v/>
      </c>
      <c r="O50" s="129">
        <f>IF($E50="","",$L50-$N50)</f>
        <v/>
      </c>
      <c r="P50" s="129">
        <f>IF($E50="","",COUNTIF(EMP_Livre,$E50))</f>
        <v/>
      </c>
      <c r="Q50" s="130">
        <f>IF($E50="","",IF($O50&lt;=0,"Indisponible",IF(AND($O50=1,$L50&gt;1),"Dernier exemplaire","Disponible")))</f>
        <v/>
      </c>
      <c r="S50">
        <f>IF($E50="","",$P50+ROW()/100000)</f>
        <v/>
      </c>
      <c r="T50">
        <f>IF(OR(Q_Rech="",$E50=""),"",IF(ISNUMBER(SEARCH(Q_Rech,$E50&amp;" "&amp;$F50&amp;" "&amp;$G50&amp;" "&amp;$H50&amp;" "&amp;$I50)),COUNT($T$6:$T49)+1,""))</f>
        <v/>
      </c>
      <c r="U50">
        <f>IF($E50="","",IF(COUNTIFS(EMP_Livre,$E50,EMP_Date,"&gt;="&amp;R_Mois,EMP_Date,"&lt;"&amp;EDATE(R_Mois,1))=0,"",COUNTIFS(EMP_Livre,$E50,EMP_Date,"&gt;="&amp;R_Mois,EMP_Date,"&lt;"&amp;EDATE(R_Mois,1))+ROW()/100000))</f>
        <v/>
      </c>
    </row>
    <row r="51" ht="21" customHeight="1">
      <c r="A51" s="1" t="n"/>
      <c r="B51" s="1" t="n"/>
      <c r="C51" s="2" t="n"/>
      <c r="E51" s="127" t="inlineStr">
        <is>
          <t>LIV-045</t>
        </is>
      </c>
      <c r="F51" s="127" t="inlineStr">
        <is>
          <t>978-2-5563-8579-3</t>
        </is>
      </c>
      <c r="G51" s="127" t="inlineStr">
        <is>
          <t>English Grammar in Use</t>
        </is>
      </c>
      <c r="H51" s="127" t="inlineStr">
        <is>
          <t>Raymond Murphy</t>
        </is>
      </c>
      <c r="I51" s="127" t="inlineStr">
        <is>
          <t>Langues</t>
        </is>
      </c>
      <c r="J51" s="127" t="inlineStr">
        <is>
          <t>Cambridge</t>
        </is>
      </c>
      <c r="K51" s="128" t="n">
        <v>2019</v>
      </c>
      <c r="L51" s="128" t="n">
        <v>3</v>
      </c>
      <c r="M51" s="127" t="inlineStr">
        <is>
          <t>Rayon F4</t>
        </is>
      </c>
      <c r="N51" s="129">
        <f>IF($E51="","",COUNTIFS(EMP_Livre,$E51,EMP_Retour,""))</f>
        <v/>
      </c>
      <c r="O51" s="129">
        <f>IF($E51="","",$L51-$N51)</f>
        <v/>
      </c>
      <c r="P51" s="129">
        <f>IF($E51="","",COUNTIF(EMP_Livre,$E51))</f>
        <v/>
      </c>
      <c r="Q51" s="130">
        <f>IF($E51="","",IF($O51&lt;=0,"Indisponible",IF(AND($O51=1,$L51&gt;1),"Dernier exemplaire","Disponible")))</f>
        <v/>
      </c>
      <c r="S51">
        <f>IF($E51="","",$P51+ROW()/100000)</f>
        <v/>
      </c>
      <c r="T51">
        <f>IF(OR(Q_Rech="",$E51=""),"",IF(ISNUMBER(SEARCH(Q_Rech,$E51&amp;" "&amp;$F51&amp;" "&amp;$G51&amp;" "&amp;$H51&amp;" "&amp;$I51)),COUNT($T$6:$T50)+1,""))</f>
        <v/>
      </c>
      <c r="U51">
        <f>IF($E51="","",IF(COUNTIFS(EMP_Livre,$E51,EMP_Date,"&gt;="&amp;R_Mois,EMP_Date,"&lt;"&amp;EDATE(R_Mois,1))=0,"",COUNTIFS(EMP_Livre,$E51,EMP_Date,"&gt;="&amp;R_Mois,EMP_Date,"&lt;"&amp;EDATE(R_Mois,1))+ROW()/100000))</f>
        <v/>
      </c>
    </row>
    <row r="52" ht="21" customHeight="1">
      <c r="A52" s="1" t="n"/>
      <c r="B52" s="1" t="n"/>
      <c r="C52" s="2" t="n"/>
      <c r="E52" s="127" t="inlineStr">
        <is>
          <t>LIV-046</t>
        </is>
      </c>
      <c r="F52" s="127" t="inlineStr">
        <is>
          <t>978-2-2604-1828-8</t>
        </is>
      </c>
      <c r="G52" s="127" t="inlineStr">
        <is>
          <t>Bescherelle — La conjugaison</t>
        </is>
      </c>
      <c r="H52" s="127" t="inlineStr">
        <is>
          <t>Collectif</t>
        </is>
      </c>
      <c r="I52" s="127" t="inlineStr">
        <is>
          <t>Langues</t>
        </is>
      </c>
      <c r="J52" s="127" t="inlineStr">
        <is>
          <t>Hatier</t>
        </is>
      </c>
      <c r="K52" s="128" t="n">
        <v>2019</v>
      </c>
      <c r="L52" s="128" t="n">
        <v>1</v>
      </c>
      <c r="M52" s="127" t="inlineStr">
        <is>
          <t>Rayon F1</t>
        </is>
      </c>
      <c r="N52" s="129">
        <f>IF($E52="","",COUNTIFS(EMP_Livre,$E52,EMP_Retour,""))</f>
        <v/>
      </c>
      <c r="O52" s="129">
        <f>IF($E52="","",$L52-$N52)</f>
        <v/>
      </c>
      <c r="P52" s="129">
        <f>IF($E52="","",COUNTIF(EMP_Livre,$E52))</f>
        <v/>
      </c>
      <c r="Q52" s="130">
        <f>IF($E52="","",IF($O52&lt;=0,"Indisponible",IF(AND($O52=1,$L52&gt;1),"Dernier exemplaire","Disponible")))</f>
        <v/>
      </c>
      <c r="S52">
        <f>IF($E52="","",$P52+ROW()/100000)</f>
        <v/>
      </c>
      <c r="T52">
        <f>IF(OR(Q_Rech="",$E52=""),"",IF(ISNUMBER(SEARCH(Q_Rech,$E52&amp;" "&amp;$F52&amp;" "&amp;$G52&amp;" "&amp;$H52&amp;" "&amp;$I52)),COUNT($T$6:$T51)+1,""))</f>
        <v/>
      </c>
      <c r="U52">
        <f>IF($E52="","",IF(COUNTIFS(EMP_Livre,$E52,EMP_Date,"&gt;="&amp;R_Mois,EMP_Date,"&lt;"&amp;EDATE(R_Mois,1))=0,"",COUNTIFS(EMP_Livre,$E52,EMP_Date,"&gt;="&amp;R_Mois,EMP_Date,"&lt;"&amp;EDATE(R_Mois,1))+ROW()/100000))</f>
        <v/>
      </c>
    </row>
    <row r="53" ht="21" customHeight="1">
      <c r="A53" s="1" t="n"/>
      <c r="B53" s="1" t="n"/>
      <c r="C53" s="2" t="n"/>
      <c r="E53" s="127" t="inlineStr">
        <is>
          <t>LIV-047</t>
        </is>
      </c>
      <c r="F53" s="127" t="inlineStr">
        <is>
          <t>978-2-4872-3724-6</t>
        </is>
      </c>
      <c r="G53" s="127" t="inlineStr">
        <is>
          <t>Grammaire française 6ème</t>
        </is>
      </c>
      <c r="H53" s="127" t="inlineStr">
        <is>
          <t>Collectif</t>
        </is>
      </c>
      <c r="I53" s="127" t="inlineStr">
        <is>
          <t>Langues</t>
        </is>
      </c>
      <c r="J53" s="127" t="inlineStr">
        <is>
          <t>Hachette</t>
        </is>
      </c>
      <c r="K53" s="128" t="n">
        <v>2018</v>
      </c>
      <c r="L53" s="128" t="n">
        <v>3</v>
      </c>
      <c r="M53" s="127" t="inlineStr">
        <is>
          <t>Rayon F4</t>
        </is>
      </c>
      <c r="N53" s="129">
        <f>IF($E53="","",COUNTIFS(EMP_Livre,$E53,EMP_Retour,""))</f>
        <v/>
      </c>
      <c r="O53" s="129">
        <f>IF($E53="","",$L53-$N53)</f>
        <v/>
      </c>
      <c r="P53" s="129">
        <f>IF($E53="","",COUNTIF(EMP_Livre,$E53))</f>
        <v/>
      </c>
      <c r="Q53" s="130">
        <f>IF($E53="","",IF($O53&lt;=0,"Indisponible",IF(AND($O53=1,$L53&gt;1),"Dernier exemplaire","Disponible")))</f>
        <v/>
      </c>
      <c r="S53">
        <f>IF($E53="","",$P53+ROW()/100000)</f>
        <v/>
      </c>
      <c r="T53">
        <f>IF(OR(Q_Rech="",$E53=""),"",IF(ISNUMBER(SEARCH(Q_Rech,$E53&amp;" "&amp;$F53&amp;" "&amp;$G53&amp;" "&amp;$H53&amp;" "&amp;$I53)),COUNT($T$6:$T52)+1,""))</f>
        <v/>
      </c>
      <c r="U53">
        <f>IF($E53="","",IF(COUNTIFS(EMP_Livre,$E53,EMP_Date,"&gt;="&amp;R_Mois,EMP_Date,"&lt;"&amp;EDATE(R_Mois,1))=0,"",COUNTIFS(EMP_Livre,$E53,EMP_Date,"&gt;="&amp;R_Mois,EMP_Date,"&lt;"&amp;EDATE(R_Mois,1))+ROW()/100000))</f>
        <v/>
      </c>
    </row>
    <row r="54" ht="21" customHeight="1">
      <c r="A54" s="1" t="n"/>
      <c r="B54" s="1" t="n"/>
      <c r="C54" s="2" t="n"/>
      <c r="E54" s="127" t="inlineStr">
        <is>
          <t>LIV-048</t>
        </is>
      </c>
      <c r="F54" s="127" t="inlineStr">
        <is>
          <t>978-2-4502-7570-0</t>
        </is>
      </c>
      <c r="G54" s="127" t="inlineStr">
        <is>
          <t>Swahili kwa Wote</t>
        </is>
      </c>
      <c r="H54" s="127" t="inlineStr">
        <is>
          <t>Collectif</t>
        </is>
      </c>
      <c r="I54" s="127" t="inlineStr">
        <is>
          <t>Langues</t>
        </is>
      </c>
      <c r="J54" s="127" t="inlineStr">
        <is>
          <t>Médiaspaul</t>
        </is>
      </c>
      <c r="K54" s="128" t="n">
        <v>2017</v>
      </c>
      <c r="L54" s="128" t="n">
        <v>2</v>
      </c>
      <c r="M54" s="127" t="inlineStr">
        <is>
          <t>Rayon F4</t>
        </is>
      </c>
      <c r="N54" s="129">
        <f>IF($E54="","",COUNTIFS(EMP_Livre,$E54,EMP_Retour,""))</f>
        <v/>
      </c>
      <c r="O54" s="129">
        <f>IF($E54="","",$L54-$N54)</f>
        <v/>
      </c>
      <c r="P54" s="129">
        <f>IF($E54="","",COUNTIF(EMP_Livre,$E54))</f>
        <v/>
      </c>
      <c r="Q54" s="130">
        <f>IF($E54="","",IF($O54&lt;=0,"Indisponible",IF(AND($O54=1,$L54&gt;1),"Dernier exemplaire","Disponible")))</f>
        <v/>
      </c>
      <c r="S54">
        <f>IF($E54="","",$P54+ROW()/100000)</f>
        <v/>
      </c>
      <c r="T54">
        <f>IF(OR(Q_Rech="",$E54=""),"",IF(ISNUMBER(SEARCH(Q_Rech,$E54&amp;" "&amp;$F54&amp;" "&amp;$G54&amp;" "&amp;$H54&amp;" "&amp;$I54)),COUNT($T$6:$T53)+1,""))</f>
        <v/>
      </c>
      <c r="U54">
        <f>IF($E54="","",IF(COUNTIFS(EMP_Livre,$E54,EMP_Date,"&gt;="&amp;R_Mois,EMP_Date,"&lt;"&amp;EDATE(R_Mois,1))=0,"",COUNTIFS(EMP_Livre,$E54,EMP_Date,"&gt;="&amp;R_Mois,EMP_Date,"&lt;"&amp;EDATE(R_Mois,1))+ROW()/100000))</f>
        <v/>
      </c>
    </row>
    <row r="55" ht="21" customHeight="1">
      <c r="A55" s="1" t="n"/>
      <c r="B55" s="1" t="n"/>
      <c r="C55" s="2" t="n"/>
      <c r="E55" s="127" t="inlineStr">
        <is>
          <t>LIV-049</t>
        </is>
      </c>
      <c r="F55" s="127" t="inlineStr">
        <is>
          <t>978-2-1035-7396-4</t>
        </is>
      </c>
      <c r="G55" s="127" t="inlineStr">
        <is>
          <t>Le Petit Larousse illustré</t>
        </is>
      </c>
      <c r="H55" s="127" t="inlineStr">
        <is>
          <t>Larousse</t>
        </is>
      </c>
      <c r="I55" s="127" t="inlineStr">
        <is>
          <t>Référence</t>
        </is>
      </c>
      <c r="J55" s="127" t="inlineStr">
        <is>
          <t>Larousse</t>
        </is>
      </c>
      <c r="K55" s="128" t="n">
        <v>2023</v>
      </c>
      <c r="L55" s="128" t="n">
        <v>3</v>
      </c>
      <c r="M55" s="127" t="inlineStr">
        <is>
          <t>Rayon G3</t>
        </is>
      </c>
      <c r="N55" s="129">
        <f>IF($E55="","",COUNTIFS(EMP_Livre,$E55,EMP_Retour,""))</f>
        <v/>
      </c>
      <c r="O55" s="129">
        <f>IF($E55="","",$L55-$N55)</f>
        <v/>
      </c>
      <c r="P55" s="129">
        <f>IF($E55="","",COUNTIF(EMP_Livre,$E55))</f>
        <v/>
      </c>
      <c r="Q55" s="130">
        <f>IF($E55="","",IF($O55&lt;=0,"Indisponible",IF(AND($O55=1,$L55&gt;1),"Dernier exemplaire","Disponible")))</f>
        <v/>
      </c>
      <c r="S55">
        <f>IF($E55="","",$P55+ROW()/100000)</f>
        <v/>
      </c>
      <c r="T55">
        <f>IF(OR(Q_Rech="",$E55=""),"",IF(ISNUMBER(SEARCH(Q_Rech,$E55&amp;" "&amp;$F55&amp;" "&amp;$G55&amp;" "&amp;$H55&amp;" "&amp;$I55)),COUNT($T$6:$T54)+1,""))</f>
        <v/>
      </c>
      <c r="U55">
        <f>IF($E55="","",IF(COUNTIFS(EMP_Livre,$E55,EMP_Date,"&gt;="&amp;R_Mois,EMP_Date,"&lt;"&amp;EDATE(R_Mois,1))=0,"",COUNTIFS(EMP_Livre,$E55,EMP_Date,"&gt;="&amp;R_Mois,EMP_Date,"&lt;"&amp;EDATE(R_Mois,1))+ROW()/100000))</f>
        <v/>
      </c>
    </row>
    <row r="56" ht="21" customHeight="1">
      <c r="A56" s="1" t="n"/>
      <c r="B56" s="1" t="n"/>
      <c r="C56" s="2" t="n"/>
      <c r="E56" s="127" t="inlineStr">
        <is>
          <t>LIV-050</t>
        </is>
      </c>
      <c r="F56" s="127" t="inlineStr">
        <is>
          <t>978-2-7930-8973-2</t>
        </is>
      </c>
      <c r="G56" s="127" t="inlineStr">
        <is>
          <t>Le Robert de poche</t>
        </is>
      </c>
      <c r="H56" s="127" t="inlineStr">
        <is>
          <t>Le Robert</t>
        </is>
      </c>
      <c r="I56" s="127" t="inlineStr">
        <is>
          <t>Référence</t>
        </is>
      </c>
      <c r="J56" s="127" t="inlineStr">
        <is>
          <t>Le Robert</t>
        </is>
      </c>
      <c r="K56" s="128" t="n">
        <v>2022</v>
      </c>
      <c r="L56" s="128" t="n">
        <v>2</v>
      </c>
      <c r="M56" s="127" t="inlineStr">
        <is>
          <t>Rayon G3</t>
        </is>
      </c>
      <c r="N56" s="129">
        <f>IF($E56="","",COUNTIFS(EMP_Livre,$E56,EMP_Retour,""))</f>
        <v/>
      </c>
      <c r="O56" s="129">
        <f>IF($E56="","",$L56-$N56)</f>
        <v/>
      </c>
      <c r="P56" s="129">
        <f>IF($E56="","",COUNTIF(EMP_Livre,$E56))</f>
        <v/>
      </c>
      <c r="Q56" s="130">
        <f>IF($E56="","",IF($O56&lt;=0,"Indisponible",IF(AND($O56=1,$L56&gt;1),"Dernier exemplaire","Disponible")))</f>
        <v/>
      </c>
      <c r="S56">
        <f>IF($E56="","",$P56+ROW()/100000)</f>
        <v/>
      </c>
      <c r="T56">
        <f>IF(OR(Q_Rech="",$E56=""),"",IF(ISNUMBER(SEARCH(Q_Rech,$E56&amp;" "&amp;$F56&amp;" "&amp;$G56&amp;" "&amp;$H56&amp;" "&amp;$I56)),COUNT($T$6:$T55)+1,""))</f>
        <v/>
      </c>
      <c r="U56">
        <f>IF($E56="","",IF(COUNTIFS(EMP_Livre,$E56,EMP_Date,"&gt;="&amp;R_Mois,EMP_Date,"&lt;"&amp;EDATE(R_Mois,1))=0,"",COUNTIFS(EMP_Livre,$E56,EMP_Date,"&gt;="&amp;R_Mois,EMP_Date,"&lt;"&amp;EDATE(R_Mois,1))+ROW()/100000))</f>
        <v/>
      </c>
    </row>
    <row r="57" ht="21" customHeight="1">
      <c r="A57" s="1" t="n"/>
      <c r="B57" s="1" t="n"/>
      <c r="C57" s="2" t="n"/>
      <c r="E57" s="127" t="inlineStr">
        <is>
          <t>LIV-051</t>
        </is>
      </c>
      <c r="F57" s="127" t="inlineStr">
        <is>
          <t>978-2-4566-1958-9</t>
        </is>
      </c>
      <c r="G57" s="127" t="inlineStr">
        <is>
          <t>Dictionnaire Français-Anglais</t>
        </is>
      </c>
      <c r="H57" s="127" t="inlineStr">
        <is>
          <t>Collectif</t>
        </is>
      </c>
      <c r="I57" s="127" t="inlineStr">
        <is>
          <t>Référence</t>
        </is>
      </c>
      <c r="J57" s="127" t="inlineStr">
        <is>
          <t>Harrap's</t>
        </is>
      </c>
      <c r="K57" s="128" t="n">
        <v>2020</v>
      </c>
      <c r="L57" s="128" t="n">
        <v>4</v>
      </c>
      <c r="M57" s="127" t="inlineStr">
        <is>
          <t>Rayon G1</t>
        </is>
      </c>
      <c r="N57" s="129">
        <f>IF($E57="","",COUNTIFS(EMP_Livre,$E57,EMP_Retour,""))</f>
        <v/>
      </c>
      <c r="O57" s="129">
        <f>IF($E57="","",$L57-$N57)</f>
        <v/>
      </c>
      <c r="P57" s="129">
        <f>IF($E57="","",COUNTIF(EMP_Livre,$E57))</f>
        <v/>
      </c>
      <c r="Q57" s="130">
        <f>IF($E57="","",IF($O57&lt;=0,"Indisponible",IF(AND($O57=1,$L57&gt;1),"Dernier exemplaire","Disponible")))</f>
        <v/>
      </c>
      <c r="S57">
        <f>IF($E57="","",$P57+ROW()/100000)</f>
        <v/>
      </c>
      <c r="T57">
        <f>IF(OR(Q_Rech="",$E57=""),"",IF(ISNUMBER(SEARCH(Q_Rech,$E57&amp;" "&amp;$F57&amp;" "&amp;$G57&amp;" "&amp;$H57&amp;" "&amp;$I57)),COUNT($T$6:$T56)+1,""))</f>
        <v/>
      </c>
      <c r="U57">
        <f>IF($E57="","",IF(COUNTIFS(EMP_Livre,$E57,EMP_Date,"&gt;="&amp;R_Mois,EMP_Date,"&lt;"&amp;EDATE(R_Mois,1))=0,"",COUNTIFS(EMP_Livre,$E57,EMP_Date,"&gt;="&amp;R_Mois,EMP_Date,"&lt;"&amp;EDATE(R_Mois,1))+ROW()/100000))</f>
        <v/>
      </c>
    </row>
    <row r="58" ht="21" customHeight="1">
      <c r="A58" s="1" t="n"/>
      <c r="B58" s="1" t="n"/>
      <c r="C58" s="2" t="n"/>
      <c r="E58" s="127" t="inlineStr">
        <is>
          <t>LIV-052</t>
        </is>
      </c>
      <c r="F58" s="127" t="inlineStr">
        <is>
          <t>978-2-6138-1936-0</t>
        </is>
      </c>
      <c r="G58" s="127" t="inlineStr">
        <is>
          <t>Encyclopédie des sciences</t>
        </is>
      </c>
      <c r="H58" s="127" t="inlineStr">
        <is>
          <t>Collectif</t>
        </is>
      </c>
      <c r="I58" s="127" t="inlineStr">
        <is>
          <t>Référence</t>
        </is>
      </c>
      <c r="J58" s="127" t="inlineStr">
        <is>
          <t>Larousse</t>
        </is>
      </c>
      <c r="K58" s="128" t="n">
        <v>2016</v>
      </c>
      <c r="L58" s="128" t="n">
        <v>3</v>
      </c>
      <c r="M58" s="127" t="inlineStr">
        <is>
          <t>Rayon G4</t>
        </is>
      </c>
      <c r="N58" s="129">
        <f>IF($E58="","",COUNTIFS(EMP_Livre,$E58,EMP_Retour,""))</f>
        <v/>
      </c>
      <c r="O58" s="129">
        <f>IF($E58="","",$L58-$N58)</f>
        <v/>
      </c>
      <c r="P58" s="129">
        <f>IF($E58="","",COUNTIF(EMP_Livre,$E58))</f>
        <v/>
      </c>
      <c r="Q58" s="130">
        <f>IF($E58="","",IF($O58&lt;=0,"Indisponible",IF(AND($O58=1,$L58&gt;1),"Dernier exemplaire","Disponible")))</f>
        <v/>
      </c>
      <c r="S58">
        <f>IF($E58="","",$P58+ROW()/100000)</f>
        <v/>
      </c>
      <c r="T58">
        <f>IF(OR(Q_Rech="",$E58=""),"",IF(ISNUMBER(SEARCH(Q_Rech,$E58&amp;" "&amp;$F58&amp;" "&amp;$G58&amp;" "&amp;$H58&amp;" "&amp;$I58)),COUNT($T$6:$T57)+1,""))</f>
        <v/>
      </c>
      <c r="U58">
        <f>IF($E58="","",IF(COUNTIFS(EMP_Livre,$E58,EMP_Date,"&gt;="&amp;R_Mois,EMP_Date,"&lt;"&amp;EDATE(R_Mois,1))=0,"",COUNTIFS(EMP_Livre,$E58,EMP_Date,"&gt;="&amp;R_Mois,EMP_Date,"&lt;"&amp;EDATE(R_Mois,1))+ROW()/100000))</f>
        <v/>
      </c>
    </row>
    <row r="59" ht="21" customHeight="1">
      <c r="A59" s="1" t="n"/>
      <c r="B59" s="1" t="n"/>
      <c r="C59" s="2" t="n"/>
      <c r="E59" s="127" t="inlineStr">
        <is>
          <t>LIV-053</t>
        </is>
      </c>
      <c r="F59" s="127" t="inlineStr">
        <is>
          <t>978-2-9238-9701-2</t>
        </is>
      </c>
      <c r="G59" s="127" t="inlineStr">
        <is>
          <t>Atlas mondial</t>
        </is>
      </c>
      <c r="H59" s="127" t="inlineStr">
        <is>
          <t>Collectif</t>
        </is>
      </c>
      <c r="I59" s="127" t="inlineStr">
        <is>
          <t>Référence</t>
        </is>
      </c>
      <c r="J59" s="127" t="inlineStr">
        <is>
          <t>Nathan</t>
        </is>
      </c>
      <c r="K59" s="128" t="n">
        <v>2021</v>
      </c>
      <c r="L59" s="128" t="n">
        <v>1</v>
      </c>
      <c r="M59" s="127" t="inlineStr">
        <is>
          <t>Rayon G1</t>
        </is>
      </c>
      <c r="N59" s="129">
        <f>IF($E59="","",COUNTIFS(EMP_Livre,$E59,EMP_Retour,""))</f>
        <v/>
      </c>
      <c r="O59" s="129">
        <f>IF($E59="","",$L59-$N59)</f>
        <v/>
      </c>
      <c r="P59" s="129">
        <f>IF($E59="","",COUNTIF(EMP_Livre,$E59))</f>
        <v/>
      </c>
      <c r="Q59" s="130">
        <f>IF($E59="","",IF($O59&lt;=0,"Indisponible",IF(AND($O59=1,$L59&gt;1),"Dernier exemplaire","Disponible")))</f>
        <v/>
      </c>
      <c r="S59">
        <f>IF($E59="","",$P59+ROW()/100000)</f>
        <v/>
      </c>
      <c r="T59">
        <f>IF(OR(Q_Rech="",$E59=""),"",IF(ISNUMBER(SEARCH(Q_Rech,$E59&amp;" "&amp;$F59&amp;" "&amp;$G59&amp;" "&amp;$H59&amp;" "&amp;$I59)),COUNT($T$6:$T58)+1,""))</f>
        <v/>
      </c>
      <c r="U59">
        <f>IF($E59="","",IF(COUNTIFS(EMP_Livre,$E59,EMP_Date,"&gt;="&amp;R_Mois,EMP_Date,"&lt;"&amp;EDATE(R_Mois,1))=0,"",COUNTIFS(EMP_Livre,$E59,EMP_Date,"&gt;="&amp;R_Mois,EMP_Date,"&lt;"&amp;EDATE(R_Mois,1))+ROW()/100000))</f>
        <v/>
      </c>
    </row>
    <row r="60" ht="21" customHeight="1">
      <c r="A60" s="1" t="n"/>
      <c r="B60" s="1" t="n"/>
      <c r="C60" s="2" t="n"/>
      <c r="E60" s="127" t="inlineStr">
        <is>
          <t>LIV-054</t>
        </is>
      </c>
      <c r="F60" s="127" t="inlineStr">
        <is>
          <t>978-2-4044-2122-9</t>
        </is>
      </c>
      <c r="G60" s="127" t="inlineStr">
        <is>
          <t>Initiation à l'informatique</t>
        </is>
      </c>
      <c r="H60" s="127" t="inlineStr">
        <is>
          <t>Collectif</t>
        </is>
      </c>
      <c r="I60" s="127" t="inlineStr">
        <is>
          <t>Informatique</t>
        </is>
      </c>
      <c r="J60" s="127" t="inlineStr">
        <is>
          <t>Eyrolles</t>
        </is>
      </c>
      <c r="K60" s="128" t="n">
        <v>2020</v>
      </c>
      <c r="L60" s="128" t="n">
        <v>1</v>
      </c>
      <c r="M60" s="127" t="inlineStr">
        <is>
          <t>Rayon I2</t>
        </is>
      </c>
      <c r="N60" s="129">
        <f>IF($E60="","",COUNTIFS(EMP_Livre,$E60,EMP_Retour,""))</f>
        <v/>
      </c>
      <c r="O60" s="129">
        <f>IF($E60="","",$L60-$N60)</f>
        <v/>
      </c>
      <c r="P60" s="129">
        <f>IF($E60="","",COUNTIF(EMP_Livre,$E60))</f>
        <v/>
      </c>
      <c r="Q60" s="130">
        <f>IF($E60="","",IF($O60&lt;=0,"Indisponible",IF(AND($O60=1,$L60&gt;1),"Dernier exemplaire","Disponible")))</f>
        <v/>
      </c>
      <c r="S60">
        <f>IF($E60="","",$P60+ROW()/100000)</f>
        <v/>
      </c>
      <c r="T60">
        <f>IF(OR(Q_Rech="",$E60=""),"",IF(ISNUMBER(SEARCH(Q_Rech,$E60&amp;" "&amp;$F60&amp;" "&amp;$G60&amp;" "&amp;$H60&amp;" "&amp;$I60)),COUNT($T$6:$T59)+1,""))</f>
        <v/>
      </c>
      <c r="U60">
        <f>IF($E60="","",IF(COUNTIFS(EMP_Livre,$E60,EMP_Date,"&gt;="&amp;R_Mois,EMP_Date,"&lt;"&amp;EDATE(R_Mois,1))=0,"",COUNTIFS(EMP_Livre,$E60,EMP_Date,"&gt;="&amp;R_Mois,EMP_Date,"&lt;"&amp;EDATE(R_Mois,1))+ROW()/100000))</f>
        <v/>
      </c>
    </row>
    <row r="61" ht="21" customHeight="1">
      <c r="A61" s="1" t="n"/>
      <c r="B61" s="1" t="n"/>
      <c r="C61" s="2" t="n"/>
      <c r="E61" s="127" t="inlineStr">
        <is>
          <t>LIV-055</t>
        </is>
      </c>
      <c r="F61" s="127" t="inlineStr">
        <is>
          <t>978-2-7615-2964-9</t>
        </is>
      </c>
      <c r="G61" s="127" t="inlineStr">
        <is>
          <t>Python pour les débutants</t>
        </is>
      </c>
      <c r="H61" s="127" t="inlineStr">
        <is>
          <t>Collectif</t>
        </is>
      </c>
      <c r="I61" s="127" t="inlineStr">
        <is>
          <t>Informatique</t>
        </is>
      </c>
      <c r="J61" s="127" t="inlineStr">
        <is>
          <t>Eyrolles</t>
        </is>
      </c>
      <c r="K61" s="128" t="n">
        <v>2022</v>
      </c>
      <c r="L61" s="128" t="n">
        <v>2</v>
      </c>
      <c r="M61" s="127" t="inlineStr">
        <is>
          <t>Rayon I1</t>
        </is>
      </c>
      <c r="N61" s="129">
        <f>IF($E61="","",COUNTIFS(EMP_Livre,$E61,EMP_Retour,""))</f>
        <v/>
      </c>
      <c r="O61" s="129">
        <f>IF($E61="","",$L61-$N61)</f>
        <v/>
      </c>
      <c r="P61" s="129">
        <f>IF($E61="","",COUNTIF(EMP_Livre,$E61))</f>
        <v/>
      </c>
      <c r="Q61" s="130">
        <f>IF($E61="","",IF($O61&lt;=0,"Indisponible",IF(AND($O61=1,$L61&gt;1),"Dernier exemplaire","Disponible")))</f>
        <v/>
      </c>
      <c r="S61">
        <f>IF($E61="","",$P61+ROW()/100000)</f>
        <v/>
      </c>
      <c r="T61">
        <f>IF(OR(Q_Rech="",$E61=""),"",IF(ISNUMBER(SEARCH(Q_Rech,$E61&amp;" "&amp;$F61&amp;" "&amp;$G61&amp;" "&amp;$H61&amp;" "&amp;$I61)),COUNT($T$6:$T60)+1,""))</f>
        <v/>
      </c>
      <c r="U61">
        <f>IF($E61="","",IF(COUNTIFS(EMP_Livre,$E61,EMP_Date,"&gt;="&amp;R_Mois,EMP_Date,"&lt;"&amp;EDATE(R_Mois,1))=0,"",COUNTIFS(EMP_Livre,$E61,EMP_Date,"&gt;="&amp;R_Mois,EMP_Date,"&lt;"&amp;EDATE(R_Mois,1))+ROW()/100000))</f>
        <v/>
      </c>
    </row>
    <row r="62" ht="21" customHeight="1">
      <c r="A62" s="1" t="n"/>
      <c r="B62" s="1" t="n"/>
      <c r="C62" s="2" t="n"/>
      <c r="E62" s="127" t="inlineStr">
        <is>
          <t>LIV-056</t>
        </is>
      </c>
      <c r="F62" s="127" t="inlineStr">
        <is>
          <t>978-2-2343-7868-9</t>
        </is>
      </c>
      <c r="G62" s="127" t="inlineStr">
        <is>
          <t>Excel 2019 — Pas à pas</t>
        </is>
      </c>
      <c r="H62" s="127" t="inlineStr">
        <is>
          <t>Collectif</t>
        </is>
      </c>
      <c r="I62" s="127" t="inlineStr">
        <is>
          <t>Informatique</t>
        </is>
      </c>
      <c r="J62" s="127" t="inlineStr">
        <is>
          <t>ENI</t>
        </is>
      </c>
      <c r="K62" s="128" t="n">
        <v>2019</v>
      </c>
      <c r="L62" s="128" t="n">
        <v>3</v>
      </c>
      <c r="M62" s="127" t="inlineStr">
        <is>
          <t>Rayon I3</t>
        </is>
      </c>
      <c r="N62" s="129">
        <f>IF($E62="","",COUNTIFS(EMP_Livre,$E62,EMP_Retour,""))</f>
        <v/>
      </c>
      <c r="O62" s="129">
        <f>IF($E62="","",$L62-$N62)</f>
        <v/>
      </c>
      <c r="P62" s="129">
        <f>IF($E62="","",COUNTIF(EMP_Livre,$E62))</f>
        <v/>
      </c>
      <c r="Q62" s="130">
        <f>IF($E62="","",IF($O62&lt;=0,"Indisponible",IF(AND($O62=1,$L62&gt;1),"Dernier exemplaire","Disponible")))</f>
        <v/>
      </c>
      <c r="S62">
        <f>IF($E62="","",$P62+ROW()/100000)</f>
        <v/>
      </c>
      <c r="T62">
        <f>IF(OR(Q_Rech="",$E62=""),"",IF(ISNUMBER(SEARCH(Q_Rech,$E62&amp;" "&amp;$F62&amp;" "&amp;$G62&amp;" "&amp;$H62&amp;" "&amp;$I62)),COUNT($T$6:$T61)+1,""))</f>
        <v/>
      </c>
      <c r="U62">
        <f>IF($E62="","",IF(COUNTIFS(EMP_Livre,$E62,EMP_Date,"&gt;="&amp;R_Mois,EMP_Date,"&lt;"&amp;EDATE(R_Mois,1))=0,"",COUNTIFS(EMP_Livre,$E62,EMP_Date,"&gt;="&amp;R_Mois,EMP_Date,"&lt;"&amp;EDATE(R_Mois,1))+ROW()/100000))</f>
        <v/>
      </c>
    </row>
    <row r="63" ht="21" customHeight="1">
      <c r="A63" s="1" t="n"/>
      <c r="B63" s="1" t="n"/>
      <c r="C63" s="2" t="n"/>
      <c r="E63" s="127" t="inlineStr">
        <is>
          <t>LIV-057</t>
        </is>
      </c>
      <c r="F63" s="127" t="inlineStr">
        <is>
          <t>978-2-5272-4346-5</t>
        </is>
      </c>
      <c r="G63" s="127" t="inlineStr">
        <is>
          <t>Internet et sécurité</t>
        </is>
      </c>
      <c r="H63" s="127" t="inlineStr">
        <is>
          <t>Collectif</t>
        </is>
      </c>
      <c r="I63" s="127" t="inlineStr">
        <is>
          <t>Informatique</t>
        </is>
      </c>
      <c r="J63" s="127" t="inlineStr">
        <is>
          <t>ENI</t>
        </is>
      </c>
      <c r="K63" s="128" t="n">
        <v>2021</v>
      </c>
      <c r="L63" s="128" t="n">
        <v>2</v>
      </c>
      <c r="M63" s="127" t="inlineStr">
        <is>
          <t>Rayon I3</t>
        </is>
      </c>
      <c r="N63" s="129">
        <f>IF($E63="","",COUNTIFS(EMP_Livre,$E63,EMP_Retour,""))</f>
        <v/>
      </c>
      <c r="O63" s="129">
        <f>IF($E63="","",$L63-$N63)</f>
        <v/>
      </c>
      <c r="P63" s="129">
        <f>IF($E63="","",COUNTIF(EMP_Livre,$E63))</f>
        <v/>
      </c>
      <c r="Q63" s="130">
        <f>IF($E63="","",IF($O63&lt;=0,"Indisponible",IF(AND($O63=1,$L63&gt;1),"Dernier exemplaire","Disponible")))</f>
        <v/>
      </c>
      <c r="S63">
        <f>IF($E63="","",$P63+ROW()/100000)</f>
        <v/>
      </c>
      <c r="T63">
        <f>IF(OR(Q_Rech="",$E63=""),"",IF(ISNUMBER(SEARCH(Q_Rech,$E63&amp;" "&amp;$F63&amp;" "&amp;$G63&amp;" "&amp;$H63&amp;" "&amp;$I63)),COUNT($T$6:$T62)+1,""))</f>
        <v/>
      </c>
      <c r="U63">
        <f>IF($E63="","",IF(COUNTIFS(EMP_Livre,$E63,EMP_Date,"&gt;="&amp;R_Mois,EMP_Date,"&lt;"&amp;EDATE(R_Mois,1))=0,"",COUNTIFS(EMP_Livre,$E63,EMP_Date,"&gt;="&amp;R_Mois,EMP_Date,"&lt;"&amp;EDATE(R_Mois,1))+ROW()/100000))</f>
        <v/>
      </c>
    </row>
    <row r="64" ht="21" customHeight="1">
      <c r="A64" s="1" t="n"/>
      <c r="B64" s="1" t="n"/>
      <c r="C64" s="2" t="n"/>
      <c r="E64" s="127" t="inlineStr">
        <is>
          <t>LIV-058</t>
        </is>
      </c>
      <c r="F64" s="127" t="inlineStr">
        <is>
          <t>978-2-7484-3144-4</t>
        </is>
      </c>
      <c r="G64" s="127" t="inlineStr">
        <is>
          <t>Le Monde de Sophie</t>
        </is>
      </c>
      <c r="H64" s="127" t="inlineStr">
        <is>
          <t>Jostein Gaarder</t>
        </is>
      </c>
      <c r="I64" s="127" t="inlineStr">
        <is>
          <t>Roman</t>
        </is>
      </c>
      <c r="J64" s="127" t="inlineStr">
        <is>
          <t>Points</t>
        </is>
      </c>
      <c r="K64" s="128" t="n">
        <v>1991</v>
      </c>
      <c r="L64" s="128" t="n">
        <v>3</v>
      </c>
      <c r="M64" s="127" t="inlineStr">
        <is>
          <t>Rayon A3</t>
        </is>
      </c>
      <c r="N64" s="129">
        <f>IF($E64="","",COUNTIFS(EMP_Livre,$E64,EMP_Retour,""))</f>
        <v/>
      </c>
      <c r="O64" s="129">
        <f>IF($E64="","",$L64-$N64)</f>
        <v/>
      </c>
      <c r="P64" s="129">
        <f>IF($E64="","",COUNTIF(EMP_Livre,$E64))</f>
        <v/>
      </c>
      <c r="Q64" s="130">
        <f>IF($E64="","",IF($O64&lt;=0,"Indisponible",IF(AND($O64=1,$L64&gt;1),"Dernier exemplaire","Disponible")))</f>
        <v/>
      </c>
      <c r="S64">
        <f>IF($E64="","",$P64+ROW()/100000)</f>
        <v/>
      </c>
      <c r="T64">
        <f>IF(OR(Q_Rech="",$E64=""),"",IF(ISNUMBER(SEARCH(Q_Rech,$E64&amp;" "&amp;$F64&amp;" "&amp;$G64&amp;" "&amp;$H64&amp;" "&amp;$I64)),COUNT($T$6:$T63)+1,""))</f>
        <v/>
      </c>
      <c r="U64">
        <f>IF($E64="","",IF(COUNTIFS(EMP_Livre,$E64,EMP_Date,"&gt;="&amp;R_Mois,EMP_Date,"&lt;"&amp;EDATE(R_Mois,1))=0,"",COUNTIFS(EMP_Livre,$E64,EMP_Date,"&gt;="&amp;R_Mois,EMP_Date,"&lt;"&amp;EDATE(R_Mois,1))+ROW()/100000))</f>
        <v/>
      </c>
    </row>
    <row r="65" ht="21" customHeight="1">
      <c r="A65" s="1" t="n"/>
      <c r="B65" s="1" t="n"/>
      <c r="C65" s="2" t="n"/>
      <c r="E65" s="127" t="inlineStr">
        <is>
          <t>LIV-059</t>
        </is>
      </c>
      <c r="F65" s="127" t="inlineStr">
        <is>
          <t>978-2-2188-1152-7</t>
        </is>
      </c>
      <c r="G65" s="127" t="inlineStr">
        <is>
          <t>L'Alchimiste</t>
        </is>
      </c>
      <c r="H65" s="127" t="inlineStr">
        <is>
          <t>Paulo Coelho</t>
        </is>
      </c>
      <c r="I65" s="127" t="inlineStr">
        <is>
          <t>Roman</t>
        </is>
      </c>
      <c r="J65" s="127" t="inlineStr">
        <is>
          <t>J'ai lu</t>
        </is>
      </c>
      <c r="K65" s="128" t="n">
        <v>1988</v>
      </c>
      <c r="L65" s="128" t="n">
        <v>3</v>
      </c>
      <c r="M65" s="127" t="inlineStr">
        <is>
          <t>Rayon A1</t>
        </is>
      </c>
      <c r="N65" s="129">
        <f>IF($E65="","",COUNTIFS(EMP_Livre,$E65,EMP_Retour,""))</f>
        <v/>
      </c>
      <c r="O65" s="129">
        <f>IF($E65="","",$L65-$N65)</f>
        <v/>
      </c>
      <c r="P65" s="129">
        <f>IF($E65="","",COUNTIF(EMP_Livre,$E65))</f>
        <v/>
      </c>
      <c r="Q65" s="130">
        <f>IF($E65="","",IF($O65&lt;=0,"Indisponible",IF(AND($O65=1,$L65&gt;1),"Dernier exemplaire","Disponible")))</f>
        <v/>
      </c>
      <c r="S65">
        <f>IF($E65="","",$P65+ROW()/100000)</f>
        <v/>
      </c>
      <c r="T65">
        <f>IF(OR(Q_Rech="",$E65=""),"",IF(ISNUMBER(SEARCH(Q_Rech,$E65&amp;" "&amp;$F65&amp;" "&amp;$G65&amp;" "&amp;$H65&amp;" "&amp;$I65)),COUNT($T$6:$T64)+1,""))</f>
        <v/>
      </c>
      <c r="U65">
        <f>IF($E65="","",IF(COUNTIFS(EMP_Livre,$E65,EMP_Date,"&gt;="&amp;R_Mois,EMP_Date,"&lt;"&amp;EDATE(R_Mois,1))=0,"",COUNTIFS(EMP_Livre,$E65,EMP_Date,"&gt;="&amp;R_Mois,EMP_Date,"&lt;"&amp;EDATE(R_Mois,1))+ROW()/100000))</f>
        <v/>
      </c>
    </row>
    <row r="66" ht="21" customHeight="1">
      <c r="A66" s="1" t="n"/>
      <c r="B66" s="1" t="n"/>
      <c r="C66" s="2" t="n"/>
      <c r="E66" s="127" t="inlineStr">
        <is>
          <t>LIV-060</t>
        </is>
      </c>
      <c r="F66" s="127" t="inlineStr">
        <is>
          <t>978-2-9808-4492-8</t>
        </is>
      </c>
      <c r="G66" s="127" t="inlineStr">
        <is>
          <t>Chaka</t>
        </is>
      </c>
      <c r="H66" s="127" t="inlineStr">
        <is>
          <t>Thomas Mofolo</t>
        </is>
      </c>
      <c r="I66" s="127" t="inlineStr">
        <is>
          <t>Littérature africaine</t>
        </is>
      </c>
      <c r="J66" s="127" t="inlineStr">
        <is>
          <t>Gallimard</t>
        </is>
      </c>
      <c r="K66" s="128" t="n">
        <v>1925</v>
      </c>
      <c r="L66" s="128" t="n">
        <v>2</v>
      </c>
      <c r="M66" s="127" t="inlineStr">
        <is>
          <t>Rayon B2</t>
        </is>
      </c>
      <c r="N66" s="129">
        <f>IF($E66="","",COUNTIFS(EMP_Livre,$E66,EMP_Retour,""))</f>
        <v/>
      </c>
      <c r="O66" s="129">
        <f>IF($E66="","",$L66-$N66)</f>
        <v/>
      </c>
      <c r="P66" s="129">
        <f>IF($E66="","",COUNTIF(EMP_Livre,$E66))</f>
        <v/>
      </c>
      <c r="Q66" s="130">
        <f>IF($E66="","",IF($O66&lt;=0,"Indisponible",IF(AND($O66=1,$L66&gt;1),"Dernier exemplaire","Disponible")))</f>
        <v/>
      </c>
      <c r="S66">
        <f>IF($E66="","",$P66+ROW()/100000)</f>
        <v/>
      </c>
      <c r="T66">
        <f>IF(OR(Q_Rech="",$E66=""),"",IF(ISNUMBER(SEARCH(Q_Rech,$E66&amp;" "&amp;$F66&amp;" "&amp;$G66&amp;" "&amp;$H66&amp;" "&amp;$I66)),COUNT($T$6:$T65)+1,""))</f>
        <v/>
      </c>
      <c r="U66">
        <f>IF($E66="","",IF(COUNTIFS(EMP_Livre,$E66,EMP_Date,"&gt;="&amp;R_Mois,EMP_Date,"&lt;"&amp;EDATE(R_Mois,1))=0,"",COUNTIFS(EMP_Livre,$E66,EMP_Date,"&gt;="&amp;R_Mois,EMP_Date,"&lt;"&amp;EDATE(R_Mois,1))+ROW()/100000))</f>
        <v/>
      </c>
    </row>
    <row r="67" ht="21" customHeight="1">
      <c r="A67" s="1" t="n"/>
      <c r="B67" s="1" t="n"/>
      <c r="C67" s="2" t="n"/>
      <c r="E67" s="127" t="n"/>
      <c r="F67" s="127" t="n"/>
      <c r="G67" s="127" t="n"/>
      <c r="H67" s="127" t="n"/>
      <c r="I67" s="127" t="n"/>
      <c r="J67" s="127" t="n"/>
      <c r="K67" s="128" t="n"/>
      <c r="L67" s="128" t="n"/>
      <c r="M67" s="127" t="n"/>
      <c r="N67" s="129">
        <f>IF($E67="","",COUNTIFS(EMP_Livre,$E67,EMP_Retour,""))</f>
        <v/>
      </c>
      <c r="O67" s="129">
        <f>IF($E67="","",$L67-$N67)</f>
        <v/>
      </c>
      <c r="P67" s="129">
        <f>IF($E67="","",COUNTIF(EMP_Livre,$E67))</f>
        <v/>
      </c>
      <c r="Q67" s="130">
        <f>IF($E67="","",IF($O67&lt;=0,"Indisponible",IF(AND($O67=1,$L67&gt;1),"Dernier exemplaire","Disponible")))</f>
        <v/>
      </c>
      <c r="S67">
        <f>IF($E67="","",$P67+ROW()/100000)</f>
        <v/>
      </c>
      <c r="T67">
        <f>IF(OR(Q_Rech="",$E67=""),"",IF(ISNUMBER(SEARCH(Q_Rech,$E67&amp;" "&amp;$F67&amp;" "&amp;$G67&amp;" "&amp;$H67&amp;" "&amp;$I67)),COUNT($T$6:$T66)+1,""))</f>
        <v/>
      </c>
      <c r="U67">
        <f>IF($E67="","",IF(COUNTIFS(EMP_Livre,$E67,EMP_Date,"&gt;="&amp;R_Mois,EMP_Date,"&lt;"&amp;EDATE(R_Mois,1))=0,"",COUNTIFS(EMP_Livre,$E67,EMP_Date,"&gt;="&amp;R_Mois,EMP_Date,"&lt;"&amp;EDATE(R_Mois,1))+ROW()/100000))</f>
        <v/>
      </c>
    </row>
    <row r="68" ht="21" customHeight="1">
      <c r="A68" s="1" t="n"/>
      <c r="B68" s="1" t="n"/>
      <c r="C68" s="2" t="n"/>
      <c r="E68" s="127" t="n"/>
      <c r="F68" s="127" t="n"/>
      <c r="G68" s="127" t="n"/>
      <c r="H68" s="127" t="n"/>
      <c r="I68" s="127" t="n"/>
      <c r="J68" s="127" t="n"/>
      <c r="K68" s="128" t="n"/>
      <c r="L68" s="128" t="n"/>
      <c r="M68" s="127" t="n"/>
      <c r="N68" s="129">
        <f>IF($E68="","",COUNTIFS(EMP_Livre,$E68,EMP_Retour,""))</f>
        <v/>
      </c>
      <c r="O68" s="129">
        <f>IF($E68="","",$L68-$N68)</f>
        <v/>
      </c>
      <c r="P68" s="129">
        <f>IF($E68="","",COUNTIF(EMP_Livre,$E68))</f>
        <v/>
      </c>
      <c r="Q68" s="130">
        <f>IF($E68="","",IF($O68&lt;=0,"Indisponible",IF(AND($O68=1,$L68&gt;1),"Dernier exemplaire","Disponible")))</f>
        <v/>
      </c>
      <c r="S68">
        <f>IF($E68="","",$P68+ROW()/100000)</f>
        <v/>
      </c>
      <c r="T68">
        <f>IF(OR(Q_Rech="",$E68=""),"",IF(ISNUMBER(SEARCH(Q_Rech,$E68&amp;" "&amp;$F68&amp;" "&amp;$G68&amp;" "&amp;$H68&amp;" "&amp;$I68)),COUNT($T$6:$T67)+1,""))</f>
        <v/>
      </c>
      <c r="U68">
        <f>IF($E68="","",IF(COUNTIFS(EMP_Livre,$E68,EMP_Date,"&gt;="&amp;R_Mois,EMP_Date,"&lt;"&amp;EDATE(R_Mois,1))=0,"",COUNTIFS(EMP_Livre,$E68,EMP_Date,"&gt;="&amp;R_Mois,EMP_Date,"&lt;"&amp;EDATE(R_Mois,1))+ROW()/100000))</f>
        <v/>
      </c>
    </row>
    <row r="69" ht="21" customHeight="1">
      <c r="A69" s="1" t="n"/>
      <c r="B69" s="1" t="n"/>
      <c r="C69" s="2" t="n"/>
      <c r="E69" s="127" t="n"/>
      <c r="F69" s="127" t="n"/>
      <c r="G69" s="127" t="n"/>
      <c r="H69" s="127" t="n"/>
      <c r="I69" s="127" t="n"/>
      <c r="J69" s="127" t="n"/>
      <c r="K69" s="128" t="n"/>
      <c r="L69" s="128" t="n"/>
      <c r="M69" s="127" t="n"/>
      <c r="N69" s="129">
        <f>IF($E69="","",COUNTIFS(EMP_Livre,$E69,EMP_Retour,""))</f>
        <v/>
      </c>
      <c r="O69" s="129">
        <f>IF($E69="","",$L69-$N69)</f>
        <v/>
      </c>
      <c r="P69" s="129">
        <f>IF($E69="","",COUNTIF(EMP_Livre,$E69))</f>
        <v/>
      </c>
      <c r="Q69" s="130">
        <f>IF($E69="","",IF($O69&lt;=0,"Indisponible",IF(AND($O69=1,$L69&gt;1),"Dernier exemplaire","Disponible")))</f>
        <v/>
      </c>
      <c r="S69">
        <f>IF($E69="","",$P69+ROW()/100000)</f>
        <v/>
      </c>
      <c r="T69">
        <f>IF(OR(Q_Rech="",$E69=""),"",IF(ISNUMBER(SEARCH(Q_Rech,$E69&amp;" "&amp;$F69&amp;" "&amp;$G69&amp;" "&amp;$H69&amp;" "&amp;$I69)),COUNT($T$6:$T68)+1,""))</f>
        <v/>
      </c>
      <c r="U69">
        <f>IF($E69="","",IF(COUNTIFS(EMP_Livre,$E69,EMP_Date,"&gt;="&amp;R_Mois,EMP_Date,"&lt;"&amp;EDATE(R_Mois,1))=0,"",COUNTIFS(EMP_Livre,$E69,EMP_Date,"&gt;="&amp;R_Mois,EMP_Date,"&lt;"&amp;EDATE(R_Mois,1))+ROW()/100000))</f>
        <v/>
      </c>
    </row>
    <row r="70" ht="21" customHeight="1">
      <c r="A70" s="1" t="n"/>
      <c r="B70" s="1" t="n"/>
      <c r="C70" s="2" t="n"/>
      <c r="E70" s="127" t="n"/>
      <c r="F70" s="127" t="n"/>
      <c r="G70" s="127" t="n"/>
      <c r="H70" s="127" t="n"/>
      <c r="I70" s="127" t="n"/>
      <c r="J70" s="127" t="n"/>
      <c r="K70" s="128" t="n"/>
      <c r="L70" s="128" t="n"/>
      <c r="M70" s="127" t="n"/>
      <c r="N70" s="129">
        <f>IF($E70="","",COUNTIFS(EMP_Livre,$E70,EMP_Retour,""))</f>
        <v/>
      </c>
      <c r="O70" s="129">
        <f>IF($E70="","",$L70-$N70)</f>
        <v/>
      </c>
      <c r="P70" s="129">
        <f>IF($E70="","",COUNTIF(EMP_Livre,$E70))</f>
        <v/>
      </c>
      <c r="Q70" s="130">
        <f>IF($E70="","",IF($O70&lt;=0,"Indisponible",IF(AND($O70=1,$L70&gt;1),"Dernier exemplaire","Disponible")))</f>
        <v/>
      </c>
      <c r="S70">
        <f>IF($E70="","",$P70+ROW()/100000)</f>
        <v/>
      </c>
      <c r="T70">
        <f>IF(OR(Q_Rech="",$E70=""),"",IF(ISNUMBER(SEARCH(Q_Rech,$E70&amp;" "&amp;$F70&amp;" "&amp;$G70&amp;" "&amp;$H70&amp;" "&amp;$I70)),COUNT($T$6:$T69)+1,""))</f>
        <v/>
      </c>
      <c r="U70">
        <f>IF($E70="","",IF(COUNTIFS(EMP_Livre,$E70,EMP_Date,"&gt;="&amp;R_Mois,EMP_Date,"&lt;"&amp;EDATE(R_Mois,1))=0,"",COUNTIFS(EMP_Livre,$E70,EMP_Date,"&gt;="&amp;R_Mois,EMP_Date,"&lt;"&amp;EDATE(R_Mois,1))+ROW()/100000))</f>
        <v/>
      </c>
    </row>
    <row r="71" ht="21" customHeight="1">
      <c r="A71" s="1" t="n"/>
      <c r="B71" s="1" t="n"/>
      <c r="C71" s="2" t="n"/>
      <c r="E71" s="127" t="n"/>
      <c r="F71" s="127" t="n"/>
      <c r="G71" s="127" t="n"/>
      <c r="H71" s="127" t="n"/>
      <c r="I71" s="127" t="n"/>
      <c r="J71" s="127" t="n"/>
      <c r="K71" s="128" t="n"/>
      <c r="L71" s="128" t="n"/>
      <c r="M71" s="127" t="n"/>
      <c r="N71" s="129">
        <f>IF($E71="","",COUNTIFS(EMP_Livre,$E71,EMP_Retour,""))</f>
        <v/>
      </c>
      <c r="O71" s="129">
        <f>IF($E71="","",$L71-$N71)</f>
        <v/>
      </c>
      <c r="P71" s="129">
        <f>IF($E71="","",COUNTIF(EMP_Livre,$E71))</f>
        <v/>
      </c>
      <c r="Q71" s="130">
        <f>IF($E71="","",IF($O71&lt;=0,"Indisponible",IF(AND($O71=1,$L71&gt;1),"Dernier exemplaire","Disponible")))</f>
        <v/>
      </c>
      <c r="S71">
        <f>IF($E71="","",$P71+ROW()/100000)</f>
        <v/>
      </c>
      <c r="T71">
        <f>IF(OR(Q_Rech="",$E71=""),"",IF(ISNUMBER(SEARCH(Q_Rech,$E71&amp;" "&amp;$F71&amp;" "&amp;$G71&amp;" "&amp;$H71&amp;" "&amp;$I71)),COUNT($T$6:$T70)+1,""))</f>
        <v/>
      </c>
      <c r="U71">
        <f>IF($E71="","",IF(COUNTIFS(EMP_Livre,$E71,EMP_Date,"&gt;="&amp;R_Mois,EMP_Date,"&lt;"&amp;EDATE(R_Mois,1))=0,"",COUNTIFS(EMP_Livre,$E71,EMP_Date,"&gt;="&amp;R_Mois,EMP_Date,"&lt;"&amp;EDATE(R_Mois,1))+ROW()/100000))</f>
        <v/>
      </c>
    </row>
    <row r="72" ht="21" customHeight="1">
      <c r="A72" s="1" t="n"/>
      <c r="B72" s="1" t="n"/>
      <c r="C72" s="2" t="n"/>
      <c r="E72" s="127" t="n"/>
      <c r="F72" s="127" t="n"/>
      <c r="G72" s="127" t="n"/>
      <c r="H72" s="127" t="n"/>
      <c r="I72" s="127" t="n"/>
      <c r="J72" s="127" t="n"/>
      <c r="K72" s="128" t="n"/>
      <c r="L72" s="128" t="n"/>
      <c r="M72" s="127" t="n"/>
      <c r="N72" s="129">
        <f>IF($E72="","",COUNTIFS(EMP_Livre,$E72,EMP_Retour,""))</f>
        <v/>
      </c>
      <c r="O72" s="129">
        <f>IF($E72="","",$L72-$N72)</f>
        <v/>
      </c>
      <c r="P72" s="129">
        <f>IF($E72="","",COUNTIF(EMP_Livre,$E72))</f>
        <v/>
      </c>
      <c r="Q72" s="130">
        <f>IF($E72="","",IF($O72&lt;=0,"Indisponible",IF(AND($O72=1,$L72&gt;1),"Dernier exemplaire","Disponible")))</f>
        <v/>
      </c>
      <c r="S72">
        <f>IF($E72="","",$P72+ROW()/100000)</f>
        <v/>
      </c>
      <c r="T72">
        <f>IF(OR(Q_Rech="",$E72=""),"",IF(ISNUMBER(SEARCH(Q_Rech,$E72&amp;" "&amp;$F72&amp;" "&amp;$G72&amp;" "&amp;$H72&amp;" "&amp;$I72)),COUNT($T$6:$T71)+1,""))</f>
        <v/>
      </c>
      <c r="U72">
        <f>IF($E72="","",IF(COUNTIFS(EMP_Livre,$E72,EMP_Date,"&gt;="&amp;R_Mois,EMP_Date,"&lt;"&amp;EDATE(R_Mois,1))=0,"",COUNTIFS(EMP_Livre,$E72,EMP_Date,"&gt;="&amp;R_Mois,EMP_Date,"&lt;"&amp;EDATE(R_Mois,1))+ROW()/100000))</f>
        <v/>
      </c>
    </row>
    <row r="73" ht="21" customHeight="1">
      <c r="A73" s="1" t="n"/>
      <c r="B73" s="1" t="n"/>
      <c r="C73" s="2" t="n"/>
      <c r="E73" s="127" t="n"/>
      <c r="F73" s="127" t="n"/>
      <c r="G73" s="127" t="n"/>
      <c r="H73" s="127" t="n"/>
      <c r="I73" s="127" t="n"/>
      <c r="J73" s="127" t="n"/>
      <c r="K73" s="128" t="n"/>
      <c r="L73" s="128" t="n"/>
      <c r="M73" s="127" t="n"/>
      <c r="N73" s="129">
        <f>IF($E73="","",COUNTIFS(EMP_Livre,$E73,EMP_Retour,""))</f>
        <v/>
      </c>
      <c r="O73" s="129">
        <f>IF($E73="","",$L73-$N73)</f>
        <v/>
      </c>
      <c r="P73" s="129">
        <f>IF($E73="","",COUNTIF(EMP_Livre,$E73))</f>
        <v/>
      </c>
      <c r="Q73" s="130">
        <f>IF($E73="","",IF($O73&lt;=0,"Indisponible",IF(AND($O73=1,$L73&gt;1),"Dernier exemplaire","Disponible")))</f>
        <v/>
      </c>
      <c r="S73">
        <f>IF($E73="","",$P73+ROW()/100000)</f>
        <v/>
      </c>
      <c r="T73">
        <f>IF(OR(Q_Rech="",$E73=""),"",IF(ISNUMBER(SEARCH(Q_Rech,$E73&amp;" "&amp;$F73&amp;" "&amp;$G73&amp;" "&amp;$H73&amp;" "&amp;$I73)),COUNT($T$6:$T72)+1,""))</f>
        <v/>
      </c>
      <c r="U73">
        <f>IF($E73="","",IF(COUNTIFS(EMP_Livre,$E73,EMP_Date,"&gt;="&amp;R_Mois,EMP_Date,"&lt;"&amp;EDATE(R_Mois,1))=0,"",COUNTIFS(EMP_Livre,$E73,EMP_Date,"&gt;="&amp;R_Mois,EMP_Date,"&lt;"&amp;EDATE(R_Mois,1))+ROW()/100000))</f>
        <v/>
      </c>
    </row>
    <row r="74" ht="21" customHeight="1">
      <c r="A74" s="1" t="n"/>
      <c r="B74" s="1" t="n"/>
      <c r="C74" s="2" t="n"/>
      <c r="E74" s="127" t="n"/>
      <c r="F74" s="127" t="n"/>
      <c r="G74" s="127" t="n"/>
      <c r="H74" s="127" t="n"/>
      <c r="I74" s="127" t="n"/>
      <c r="J74" s="127" t="n"/>
      <c r="K74" s="128" t="n"/>
      <c r="L74" s="128" t="n"/>
      <c r="M74" s="127" t="n"/>
      <c r="N74" s="129">
        <f>IF($E74="","",COUNTIFS(EMP_Livre,$E74,EMP_Retour,""))</f>
        <v/>
      </c>
      <c r="O74" s="129">
        <f>IF($E74="","",$L74-$N74)</f>
        <v/>
      </c>
      <c r="P74" s="129">
        <f>IF($E74="","",COUNTIF(EMP_Livre,$E74))</f>
        <v/>
      </c>
      <c r="Q74" s="130">
        <f>IF($E74="","",IF($O74&lt;=0,"Indisponible",IF(AND($O74=1,$L74&gt;1),"Dernier exemplaire","Disponible")))</f>
        <v/>
      </c>
      <c r="S74">
        <f>IF($E74="","",$P74+ROW()/100000)</f>
        <v/>
      </c>
      <c r="T74">
        <f>IF(OR(Q_Rech="",$E74=""),"",IF(ISNUMBER(SEARCH(Q_Rech,$E74&amp;" "&amp;$F74&amp;" "&amp;$G74&amp;" "&amp;$H74&amp;" "&amp;$I74)),COUNT($T$6:$T73)+1,""))</f>
        <v/>
      </c>
      <c r="U74">
        <f>IF($E74="","",IF(COUNTIFS(EMP_Livre,$E74,EMP_Date,"&gt;="&amp;R_Mois,EMP_Date,"&lt;"&amp;EDATE(R_Mois,1))=0,"",COUNTIFS(EMP_Livre,$E74,EMP_Date,"&gt;="&amp;R_Mois,EMP_Date,"&lt;"&amp;EDATE(R_Mois,1))+ROW()/100000))</f>
        <v/>
      </c>
    </row>
    <row r="75" ht="21" customHeight="1">
      <c r="A75" s="1" t="n"/>
      <c r="B75" s="1" t="n"/>
      <c r="C75" s="2" t="n"/>
      <c r="E75" s="127" t="n"/>
      <c r="F75" s="127" t="n"/>
      <c r="G75" s="127" t="n"/>
      <c r="H75" s="127" t="n"/>
      <c r="I75" s="127" t="n"/>
      <c r="J75" s="127" t="n"/>
      <c r="K75" s="128" t="n"/>
      <c r="L75" s="128" t="n"/>
      <c r="M75" s="127" t="n"/>
      <c r="N75" s="129">
        <f>IF($E75="","",COUNTIFS(EMP_Livre,$E75,EMP_Retour,""))</f>
        <v/>
      </c>
      <c r="O75" s="129">
        <f>IF($E75="","",$L75-$N75)</f>
        <v/>
      </c>
      <c r="P75" s="129">
        <f>IF($E75="","",COUNTIF(EMP_Livre,$E75))</f>
        <v/>
      </c>
      <c r="Q75" s="130">
        <f>IF($E75="","",IF($O75&lt;=0,"Indisponible",IF(AND($O75=1,$L75&gt;1),"Dernier exemplaire","Disponible")))</f>
        <v/>
      </c>
      <c r="S75">
        <f>IF($E75="","",$P75+ROW()/100000)</f>
        <v/>
      </c>
      <c r="T75">
        <f>IF(OR(Q_Rech="",$E75=""),"",IF(ISNUMBER(SEARCH(Q_Rech,$E75&amp;" "&amp;$F75&amp;" "&amp;$G75&amp;" "&amp;$H75&amp;" "&amp;$I75)),COUNT($T$6:$T74)+1,""))</f>
        <v/>
      </c>
      <c r="U75">
        <f>IF($E75="","",IF(COUNTIFS(EMP_Livre,$E75,EMP_Date,"&gt;="&amp;R_Mois,EMP_Date,"&lt;"&amp;EDATE(R_Mois,1))=0,"",COUNTIFS(EMP_Livre,$E75,EMP_Date,"&gt;="&amp;R_Mois,EMP_Date,"&lt;"&amp;EDATE(R_Mois,1))+ROW()/100000))</f>
        <v/>
      </c>
    </row>
    <row r="76" ht="21" customHeight="1">
      <c r="A76" s="1" t="n"/>
      <c r="B76" s="1" t="n"/>
      <c r="C76" s="2" t="n"/>
      <c r="E76" s="127" t="n"/>
      <c r="F76" s="127" t="n"/>
      <c r="G76" s="127" t="n"/>
      <c r="H76" s="127" t="n"/>
      <c r="I76" s="127" t="n"/>
      <c r="J76" s="127" t="n"/>
      <c r="K76" s="128" t="n"/>
      <c r="L76" s="128" t="n"/>
      <c r="M76" s="127" t="n"/>
      <c r="N76" s="129">
        <f>IF($E76="","",COUNTIFS(EMP_Livre,$E76,EMP_Retour,""))</f>
        <v/>
      </c>
      <c r="O76" s="129">
        <f>IF($E76="","",$L76-$N76)</f>
        <v/>
      </c>
      <c r="P76" s="129">
        <f>IF($E76="","",COUNTIF(EMP_Livre,$E76))</f>
        <v/>
      </c>
      <c r="Q76" s="130">
        <f>IF($E76="","",IF($O76&lt;=0,"Indisponible",IF(AND($O76=1,$L76&gt;1),"Dernier exemplaire","Disponible")))</f>
        <v/>
      </c>
      <c r="S76">
        <f>IF($E76="","",$P76+ROW()/100000)</f>
        <v/>
      </c>
      <c r="T76">
        <f>IF(OR(Q_Rech="",$E76=""),"",IF(ISNUMBER(SEARCH(Q_Rech,$E76&amp;" "&amp;$F76&amp;" "&amp;$G76&amp;" "&amp;$H76&amp;" "&amp;$I76)),COUNT($T$6:$T75)+1,""))</f>
        <v/>
      </c>
      <c r="U76">
        <f>IF($E76="","",IF(COUNTIFS(EMP_Livre,$E76,EMP_Date,"&gt;="&amp;R_Mois,EMP_Date,"&lt;"&amp;EDATE(R_Mois,1))=0,"",COUNTIFS(EMP_Livre,$E76,EMP_Date,"&gt;="&amp;R_Mois,EMP_Date,"&lt;"&amp;EDATE(R_Mois,1))+ROW()/100000))</f>
        <v/>
      </c>
    </row>
    <row r="77" ht="21" customHeight="1">
      <c r="A77" s="1" t="n"/>
      <c r="B77" s="1" t="n"/>
      <c r="C77" s="2" t="n"/>
      <c r="E77" s="127" t="n"/>
      <c r="F77" s="127" t="n"/>
      <c r="G77" s="127" t="n"/>
      <c r="H77" s="127" t="n"/>
      <c r="I77" s="127" t="n"/>
      <c r="J77" s="127" t="n"/>
      <c r="K77" s="128" t="n"/>
      <c r="L77" s="128" t="n"/>
      <c r="M77" s="127" t="n"/>
      <c r="N77" s="129">
        <f>IF($E77="","",COUNTIFS(EMP_Livre,$E77,EMP_Retour,""))</f>
        <v/>
      </c>
      <c r="O77" s="129">
        <f>IF($E77="","",$L77-$N77)</f>
        <v/>
      </c>
      <c r="P77" s="129">
        <f>IF($E77="","",COUNTIF(EMP_Livre,$E77))</f>
        <v/>
      </c>
      <c r="Q77" s="130">
        <f>IF($E77="","",IF($O77&lt;=0,"Indisponible",IF(AND($O77=1,$L77&gt;1),"Dernier exemplaire","Disponible")))</f>
        <v/>
      </c>
      <c r="S77">
        <f>IF($E77="","",$P77+ROW()/100000)</f>
        <v/>
      </c>
      <c r="T77">
        <f>IF(OR(Q_Rech="",$E77=""),"",IF(ISNUMBER(SEARCH(Q_Rech,$E77&amp;" "&amp;$F77&amp;" "&amp;$G77&amp;" "&amp;$H77&amp;" "&amp;$I77)),COUNT($T$6:$T76)+1,""))</f>
        <v/>
      </c>
      <c r="U77">
        <f>IF($E77="","",IF(COUNTIFS(EMP_Livre,$E77,EMP_Date,"&gt;="&amp;R_Mois,EMP_Date,"&lt;"&amp;EDATE(R_Mois,1))=0,"",COUNTIFS(EMP_Livre,$E77,EMP_Date,"&gt;="&amp;R_Mois,EMP_Date,"&lt;"&amp;EDATE(R_Mois,1))+ROW()/100000))</f>
        <v/>
      </c>
    </row>
    <row r="78" ht="21" customHeight="1">
      <c r="A78" s="1" t="n"/>
      <c r="B78" s="1" t="n"/>
      <c r="C78" s="2" t="n"/>
      <c r="E78" s="127" t="n"/>
      <c r="F78" s="127" t="n"/>
      <c r="G78" s="127" t="n"/>
      <c r="H78" s="127" t="n"/>
      <c r="I78" s="127" t="n"/>
      <c r="J78" s="127" t="n"/>
      <c r="K78" s="128" t="n"/>
      <c r="L78" s="128" t="n"/>
      <c r="M78" s="127" t="n"/>
      <c r="N78" s="129">
        <f>IF($E78="","",COUNTIFS(EMP_Livre,$E78,EMP_Retour,""))</f>
        <v/>
      </c>
      <c r="O78" s="129">
        <f>IF($E78="","",$L78-$N78)</f>
        <v/>
      </c>
      <c r="P78" s="129">
        <f>IF($E78="","",COUNTIF(EMP_Livre,$E78))</f>
        <v/>
      </c>
      <c r="Q78" s="130">
        <f>IF($E78="","",IF($O78&lt;=0,"Indisponible",IF(AND($O78=1,$L78&gt;1),"Dernier exemplaire","Disponible")))</f>
        <v/>
      </c>
      <c r="S78">
        <f>IF($E78="","",$P78+ROW()/100000)</f>
        <v/>
      </c>
      <c r="T78">
        <f>IF(OR(Q_Rech="",$E78=""),"",IF(ISNUMBER(SEARCH(Q_Rech,$E78&amp;" "&amp;$F78&amp;" "&amp;$G78&amp;" "&amp;$H78&amp;" "&amp;$I78)),COUNT($T$6:$T77)+1,""))</f>
        <v/>
      </c>
      <c r="U78">
        <f>IF($E78="","",IF(COUNTIFS(EMP_Livre,$E78,EMP_Date,"&gt;="&amp;R_Mois,EMP_Date,"&lt;"&amp;EDATE(R_Mois,1))=0,"",COUNTIFS(EMP_Livre,$E78,EMP_Date,"&gt;="&amp;R_Mois,EMP_Date,"&lt;"&amp;EDATE(R_Mois,1))+ROW()/100000))</f>
        <v/>
      </c>
    </row>
    <row r="79" ht="21" customHeight="1">
      <c r="A79" s="1" t="n"/>
      <c r="B79" s="1" t="n"/>
      <c r="C79" s="2" t="n"/>
      <c r="E79" s="127" t="n"/>
      <c r="F79" s="127" t="n"/>
      <c r="G79" s="127" t="n"/>
      <c r="H79" s="127" t="n"/>
      <c r="I79" s="127" t="n"/>
      <c r="J79" s="127" t="n"/>
      <c r="K79" s="128" t="n"/>
      <c r="L79" s="128" t="n"/>
      <c r="M79" s="127" t="n"/>
      <c r="N79" s="129">
        <f>IF($E79="","",COUNTIFS(EMP_Livre,$E79,EMP_Retour,""))</f>
        <v/>
      </c>
      <c r="O79" s="129">
        <f>IF($E79="","",$L79-$N79)</f>
        <v/>
      </c>
      <c r="P79" s="129">
        <f>IF($E79="","",COUNTIF(EMP_Livre,$E79))</f>
        <v/>
      </c>
      <c r="Q79" s="130">
        <f>IF($E79="","",IF($O79&lt;=0,"Indisponible",IF(AND($O79=1,$L79&gt;1),"Dernier exemplaire","Disponible")))</f>
        <v/>
      </c>
      <c r="S79">
        <f>IF($E79="","",$P79+ROW()/100000)</f>
        <v/>
      </c>
      <c r="T79">
        <f>IF(OR(Q_Rech="",$E79=""),"",IF(ISNUMBER(SEARCH(Q_Rech,$E79&amp;" "&amp;$F79&amp;" "&amp;$G79&amp;" "&amp;$H79&amp;" "&amp;$I79)),COUNT($T$6:$T78)+1,""))</f>
        <v/>
      </c>
      <c r="U79">
        <f>IF($E79="","",IF(COUNTIFS(EMP_Livre,$E79,EMP_Date,"&gt;="&amp;R_Mois,EMP_Date,"&lt;"&amp;EDATE(R_Mois,1))=0,"",COUNTIFS(EMP_Livre,$E79,EMP_Date,"&gt;="&amp;R_Mois,EMP_Date,"&lt;"&amp;EDATE(R_Mois,1))+ROW()/100000))</f>
        <v/>
      </c>
    </row>
    <row r="80" ht="21" customHeight="1">
      <c r="A80" s="1" t="n"/>
      <c r="B80" s="1" t="n"/>
      <c r="C80" s="2" t="n"/>
      <c r="E80" s="127" t="n"/>
      <c r="F80" s="127" t="n"/>
      <c r="G80" s="127" t="n"/>
      <c r="H80" s="127" t="n"/>
      <c r="I80" s="127" t="n"/>
      <c r="J80" s="127" t="n"/>
      <c r="K80" s="128" t="n"/>
      <c r="L80" s="128" t="n"/>
      <c r="M80" s="127" t="n"/>
      <c r="N80" s="129">
        <f>IF($E80="","",COUNTIFS(EMP_Livre,$E80,EMP_Retour,""))</f>
        <v/>
      </c>
      <c r="O80" s="129">
        <f>IF($E80="","",$L80-$N80)</f>
        <v/>
      </c>
      <c r="P80" s="129">
        <f>IF($E80="","",COUNTIF(EMP_Livre,$E80))</f>
        <v/>
      </c>
      <c r="Q80" s="130">
        <f>IF($E80="","",IF($O80&lt;=0,"Indisponible",IF(AND($O80=1,$L80&gt;1),"Dernier exemplaire","Disponible")))</f>
        <v/>
      </c>
      <c r="S80">
        <f>IF($E80="","",$P80+ROW()/100000)</f>
        <v/>
      </c>
      <c r="T80">
        <f>IF(OR(Q_Rech="",$E80=""),"",IF(ISNUMBER(SEARCH(Q_Rech,$E80&amp;" "&amp;$F80&amp;" "&amp;$G80&amp;" "&amp;$H80&amp;" "&amp;$I80)),COUNT($T$6:$T79)+1,""))</f>
        <v/>
      </c>
      <c r="U80">
        <f>IF($E80="","",IF(COUNTIFS(EMP_Livre,$E80,EMP_Date,"&gt;="&amp;R_Mois,EMP_Date,"&lt;"&amp;EDATE(R_Mois,1))=0,"",COUNTIFS(EMP_Livre,$E80,EMP_Date,"&gt;="&amp;R_Mois,EMP_Date,"&lt;"&amp;EDATE(R_Mois,1))+ROW()/100000))</f>
        <v/>
      </c>
    </row>
    <row r="81" ht="21" customHeight="1">
      <c r="A81" s="1" t="n"/>
      <c r="B81" s="1" t="n"/>
      <c r="C81" s="2" t="n"/>
      <c r="E81" s="127" t="n"/>
      <c r="F81" s="127" t="n"/>
      <c r="G81" s="127" t="n"/>
      <c r="H81" s="127" t="n"/>
      <c r="I81" s="127" t="n"/>
      <c r="J81" s="127" t="n"/>
      <c r="K81" s="128" t="n"/>
      <c r="L81" s="128" t="n"/>
      <c r="M81" s="127" t="n"/>
      <c r="N81" s="129">
        <f>IF($E81="","",COUNTIFS(EMP_Livre,$E81,EMP_Retour,""))</f>
        <v/>
      </c>
      <c r="O81" s="129">
        <f>IF($E81="","",$L81-$N81)</f>
        <v/>
      </c>
      <c r="P81" s="129">
        <f>IF($E81="","",COUNTIF(EMP_Livre,$E81))</f>
        <v/>
      </c>
      <c r="Q81" s="130">
        <f>IF($E81="","",IF($O81&lt;=0,"Indisponible",IF(AND($O81=1,$L81&gt;1),"Dernier exemplaire","Disponible")))</f>
        <v/>
      </c>
      <c r="S81">
        <f>IF($E81="","",$P81+ROW()/100000)</f>
        <v/>
      </c>
      <c r="T81">
        <f>IF(OR(Q_Rech="",$E81=""),"",IF(ISNUMBER(SEARCH(Q_Rech,$E81&amp;" "&amp;$F81&amp;" "&amp;$G81&amp;" "&amp;$H81&amp;" "&amp;$I81)),COUNT($T$6:$T80)+1,""))</f>
        <v/>
      </c>
      <c r="U81">
        <f>IF($E81="","",IF(COUNTIFS(EMP_Livre,$E81,EMP_Date,"&gt;="&amp;R_Mois,EMP_Date,"&lt;"&amp;EDATE(R_Mois,1))=0,"",COUNTIFS(EMP_Livre,$E81,EMP_Date,"&gt;="&amp;R_Mois,EMP_Date,"&lt;"&amp;EDATE(R_Mois,1))+ROW()/100000))</f>
        <v/>
      </c>
    </row>
    <row r="82" ht="21" customHeight="1">
      <c r="A82" s="1" t="n"/>
      <c r="B82" s="1" t="n"/>
      <c r="C82" s="2" t="n"/>
      <c r="E82" s="127" t="n"/>
      <c r="F82" s="127" t="n"/>
      <c r="G82" s="127" t="n"/>
      <c r="H82" s="127" t="n"/>
      <c r="I82" s="127" t="n"/>
      <c r="J82" s="127" t="n"/>
      <c r="K82" s="128" t="n"/>
      <c r="L82" s="128" t="n"/>
      <c r="M82" s="127" t="n"/>
      <c r="N82" s="129">
        <f>IF($E82="","",COUNTIFS(EMP_Livre,$E82,EMP_Retour,""))</f>
        <v/>
      </c>
      <c r="O82" s="129">
        <f>IF($E82="","",$L82-$N82)</f>
        <v/>
      </c>
      <c r="P82" s="129">
        <f>IF($E82="","",COUNTIF(EMP_Livre,$E82))</f>
        <v/>
      </c>
      <c r="Q82" s="130">
        <f>IF($E82="","",IF($O82&lt;=0,"Indisponible",IF(AND($O82=1,$L82&gt;1),"Dernier exemplaire","Disponible")))</f>
        <v/>
      </c>
      <c r="S82">
        <f>IF($E82="","",$P82+ROW()/100000)</f>
        <v/>
      </c>
      <c r="T82">
        <f>IF(OR(Q_Rech="",$E82=""),"",IF(ISNUMBER(SEARCH(Q_Rech,$E82&amp;" "&amp;$F82&amp;" "&amp;$G82&amp;" "&amp;$H82&amp;" "&amp;$I82)),COUNT($T$6:$T81)+1,""))</f>
        <v/>
      </c>
      <c r="U82">
        <f>IF($E82="","",IF(COUNTIFS(EMP_Livre,$E82,EMP_Date,"&gt;="&amp;R_Mois,EMP_Date,"&lt;"&amp;EDATE(R_Mois,1))=0,"",COUNTIFS(EMP_Livre,$E82,EMP_Date,"&gt;="&amp;R_Mois,EMP_Date,"&lt;"&amp;EDATE(R_Mois,1))+ROW()/100000))</f>
        <v/>
      </c>
    </row>
    <row r="83" ht="21" customHeight="1">
      <c r="A83" s="1" t="n"/>
      <c r="B83" s="1" t="n"/>
      <c r="C83" s="2" t="n"/>
      <c r="E83" s="127" t="n"/>
      <c r="F83" s="127" t="n"/>
      <c r="G83" s="127" t="n"/>
      <c r="H83" s="127" t="n"/>
      <c r="I83" s="127" t="n"/>
      <c r="J83" s="127" t="n"/>
      <c r="K83" s="128" t="n"/>
      <c r="L83" s="128" t="n"/>
      <c r="M83" s="127" t="n"/>
      <c r="N83" s="129">
        <f>IF($E83="","",COUNTIFS(EMP_Livre,$E83,EMP_Retour,""))</f>
        <v/>
      </c>
      <c r="O83" s="129">
        <f>IF($E83="","",$L83-$N83)</f>
        <v/>
      </c>
      <c r="P83" s="129">
        <f>IF($E83="","",COUNTIF(EMP_Livre,$E83))</f>
        <v/>
      </c>
      <c r="Q83" s="130">
        <f>IF($E83="","",IF($O83&lt;=0,"Indisponible",IF(AND($O83=1,$L83&gt;1),"Dernier exemplaire","Disponible")))</f>
        <v/>
      </c>
      <c r="S83">
        <f>IF($E83="","",$P83+ROW()/100000)</f>
        <v/>
      </c>
      <c r="T83">
        <f>IF(OR(Q_Rech="",$E83=""),"",IF(ISNUMBER(SEARCH(Q_Rech,$E83&amp;" "&amp;$F83&amp;" "&amp;$G83&amp;" "&amp;$H83&amp;" "&amp;$I83)),COUNT($T$6:$T82)+1,""))</f>
        <v/>
      </c>
      <c r="U83">
        <f>IF($E83="","",IF(COUNTIFS(EMP_Livre,$E83,EMP_Date,"&gt;="&amp;R_Mois,EMP_Date,"&lt;"&amp;EDATE(R_Mois,1))=0,"",COUNTIFS(EMP_Livre,$E83,EMP_Date,"&gt;="&amp;R_Mois,EMP_Date,"&lt;"&amp;EDATE(R_Mois,1))+ROW()/100000))</f>
        <v/>
      </c>
    </row>
    <row r="84" ht="21" customHeight="1">
      <c r="A84" s="1" t="n"/>
      <c r="B84" s="1" t="n"/>
      <c r="C84" s="2" t="n"/>
      <c r="E84" s="127" t="n"/>
      <c r="F84" s="127" t="n"/>
      <c r="G84" s="127" t="n"/>
      <c r="H84" s="127" t="n"/>
      <c r="I84" s="127" t="n"/>
      <c r="J84" s="127" t="n"/>
      <c r="K84" s="128" t="n"/>
      <c r="L84" s="128" t="n"/>
      <c r="M84" s="127" t="n"/>
      <c r="N84" s="129">
        <f>IF($E84="","",COUNTIFS(EMP_Livre,$E84,EMP_Retour,""))</f>
        <v/>
      </c>
      <c r="O84" s="129">
        <f>IF($E84="","",$L84-$N84)</f>
        <v/>
      </c>
      <c r="P84" s="129">
        <f>IF($E84="","",COUNTIF(EMP_Livre,$E84))</f>
        <v/>
      </c>
      <c r="Q84" s="130">
        <f>IF($E84="","",IF($O84&lt;=0,"Indisponible",IF(AND($O84=1,$L84&gt;1),"Dernier exemplaire","Disponible")))</f>
        <v/>
      </c>
      <c r="S84">
        <f>IF($E84="","",$P84+ROW()/100000)</f>
        <v/>
      </c>
      <c r="T84">
        <f>IF(OR(Q_Rech="",$E84=""),"",IF(ISNUMBER(SEARCH(Q_Rech,$E84&amp;" "&amp;$F84&amp;" "&amp;$G84&amp;" "&amp;$H84&amp;" "&amp;$I84)),COUNT($T$6:$T83)+1,""))</f>
        <v/>
      </c>
      <c r="U84">
        <f>IF($E84="","",IF(COUNTIFS(EMP_Livre,$E84,EMP_Date,"&gt;="&amp;R_Mois,EMP_Date,"&lt;"&amp;EDATE(R_Mois,1))=0,"",COUNTIFS(EMP_Livre,$E84,EMP_Date,"&gt;="&amp;R_Mois,EMP_Date,"&lt;"&amp;EDATE(R_Mois,1))+ROW()/100000))</f>
        <v/>
      </c>
    </row>
    <row r="85" ht="21" customHeight="1">
      <c r="A85" s="1" t="n"/>
      <c r="B85" s="1" t="n"/>
      <c r="C85" s="2" t="n"/>
      <c r="E85" s="127" t="n"/>
      <c r="F85" s="127" t="n"/>
      <c r="G85" s="127" t="n"/>
      <c r="H85" s="127" t="n"/>
      <c r="I85" s="127" t="n"/>
      <c r="J85" s="127" t="n"/>
      <c r="K85" s="128" t="n"/>
      <c r="L85" s="128" t="n"/>
      <c r="M85" s="127" t="n"/>
      <c r="N85" s="129">
        <f>IF($E85="","",COUNTIFS(EMP_Livre,$E85,EMP_Retour,""))</f>
        <v/>
      </c>
      <c r="O85" s="129">
        <f>IF($E85="","",$L85-$N85)</f>
        <v/>
      </c>
      <c r="P85" s="129">
        <f>IF($E85="","",COUNTIF(EMP_Livre,$E85))</f>
        <v/>
      </c>
      <c r="Q85" s="130">
        <f>IF($E85="","",IF($O85&lt;=0,"Indisponible",IF(AND($O85=1,$L85&gt;1),"Dernier exemplaire","Disponible")))</f>
        <v/>
      </c>
      <c r="S85">
        <f>IF($E85="","",$P85+ROW()/100000)</f>
        <v/>
      </c>
      <c r="T85">
        <f>IF(OR(Q_Rech="",$E85=""),"",IF(ISNUMBER(SEARCH(Q_Rech,$E85&amp;" "&amp;$F85&amp;" "&amp;$G85&amp;" "&amp;$H85&amp;" "&amp;$I85)),COUNT($T$6:$T84)+1,""))</f>
        <v/>
      </c>
      <c r="U85">
        <f>IF($E85="","",IF(COUNTIFS(EMP_Livre,$E85,EMP_Date,"&gt;="&amp;R_Mois,EMP_Date,"&lt;"&amp;EDATE(R_Mois,1))=0,"",COUNTIFS(EMP_Livre,$E85,EMP_Date,"&gt;="&amp;R_Mois,EMP_Date,"&lt;"&amp;EDATE(R_Mois,1))+ROW()/100000))</f>
        <v/>
      </c>
    </row>
    <row r="86" ht="21" customHeight="1">
      <c r="A86" s="1" t="n"/>
      <c r="B86" s="1" t="n"/>
      <c r="C86" s="2" t="n"/>
      <c r="E86" s="127" t="n"/>
      <c r="F86" s="127" t="n"/>
      <c r="G86" s="127" t="n"/>
      <c r="H86" s="127" t="n"/>
      <c r="I86" s="127" t="n"/>
      <c r="J86" s="127" t="n"/>
      <c r="K86" s="128" t="n"/>
      <c r="L86" s="128" t="n"/>
      <c r="M86" s="127" t="n"/>
      <c r="N86" s="129">
        <f>IF($E86="","",COUNTIFS(EMP_Livre,$E86,EMP_Retour,""))</f>
        <v/>
      </c>
      <c r="O86" s="129">
        <f>IF($E86="","",$L86-$N86)</f>
        <v/>
      </c>
      <c r="P86" s="129">
        <f>IF($E86="","",COUNTIF(EMP_Livre,$E86))</f>
        <v/>
      </c>
      <c r="Q86" s="130">
        <f>IF($E86="","",IF($O86&lt;=0,"Indisponible",IF(AND($O86=1,$L86&gt;1),"Dernier exemplaire","Disponible")))</f>
        <v/>
      </c>
      <c r="S86">
        <f>IF($E86="","",$P86+ROW()/100000)</f>
        <v/>
      </c>
      <c r="T86">
        <f>IF(OR(Q_Rech="",$E86=""),"",IF(ISNUMBER(SEARCH(Q_Rech,$E86&amp;" "&amp;$F86&amp;" "&amp;$G86&amp;" "&amp;$H86&amp;" "&amp;$I86)),COUNT($T$6:$T85)+1,""))</f>
        <v/>
      </c>
      <c r="U86">
        <f>IF($E86="","",IF(COUNTIFS(EMP_Livre,$E86,EMP_Date,"&gt;="&amp;R_Mois,EMP_Date,"&lt;"&amp;EDATE(R_Mois,1))=0,"",COUNTIFS(EMP_Livre,$E86,EMP_Date,"&gt;="&amp;R_Mois,EMP_Date,"&lt;"&amp;EDATE(R_Mois,1))+ROW()/100000))</f>
        <v/>
      </c>
    </row>
    <row r="87" ht="21" customHeight="1">
      <c r="A87" s="1" t="n"/>
      <c r="B87" s="1" t="n"/>
      <c r="C87" s="2" t="n"/>
      <c r="E87" s="127" t="n"/>
      <c r="F87" s="127" t="n"/>
      <c r="G87" s="127" t="n"/>
      <c r="H87" s="127" t="n"/>
      <c r="I87" s="127" t="n"/>
      <c r="J87" s="127" t="n"/>
      <c r="K87" s="128" t="n"/>
      <c r="L87" s="128" t="n"/>
      <c r="M87" s="127" t="n"/>
      <c r="N87" s="129">
        <f>IF($E87="","",COUNTIFS(EMP_Livre,$E87,EMP_Retour,""))</f>
        <v/>
      </c>
      <c r="O87" s="129">
        <f>IF($E87="","",$L87-$N87)</f>
        <v/>
      </c>
      <c r="P87" s="129">
        <f>IF($E87="","",COUNTIF(EMP_Livre,$E87))</f>
        <v/>
      </c>
      <c r="Q87" s="130">
        <f>IF($E87="","",IF($O87&lt;=0,"Indisponible",IF(AND($O87=1,$L87&gt;1),"Dernier exemplaire","Disponible")))</f>
        <v/>
      </c>
      <c r="S87">
        <f>IF($E87="","",$P87+ROW()/100000)</f>
        <v/>
      </c>
      <c r="T87">
        <f>IF(OR(Q_Rech="",$E87=""),"",IF(ISNUMBER(SEARCH(Q_Rech,$E87&amp;" "&amp;$F87&amp;" "&amp;$G87&amp;" "&amp;$H87&amp;" "&amp;$I87)),COUNT($T$6:$T86)+1,""))</f>
        <v/>
      </c>
      <c r="U87">
        <f>IF($E87="","",IF(COUNTIFS(EMP_Livre,$E87,EMP_Date,"&gt;="&amp;R_Mois,EMP_Date,"&lt;"&amp;EDATE(R_Mois,1))=0,"",COUNTIFS(EMP_Livre,$E87,EMP_Date,"&gt;="&amp;R_Mois,EMP_Date,"&lt;"&amp;EDATE(R_Mois,1))+ROW()/100000))</f>
        <v/>
      </c>
    </row>
    <row r="88" ht="21" customHeight="1">
      <c r="A88" s="1" t="n"/>
      <c r="B88" s="1" t="n"/>
      <c r="C88" s="2" t="n"/>
      <c r="E88" s="127" t="n"/>
      <c r="F88" s="127" t="n"/>
      <c r="G88" s="127" t="n"/>
      <c r="H88" s="127" t="n"/>
      <c r="I88" s="127" t="n"/>
      <c r="J88" s="127" t="n"/>
      <c r="K88" s="128" t="n"/>
      <c r="L88" s="128" t="n"/>
      <c r="M88" s="127" t="n"/>
      <c r="N88" s="129">
        <f>IF($E88="","",COUNTIFS(EMP_Livre,$E88,EMP_Retour,""))</f>
        <v/>
      </c>
      <c r="O88" s="129">
        <f>IF($E88="","",$L88-$N88)</f>
        <v/>
      </c>
      <c r="P88" s="129">
        <f>IF($E88="","",COUNTIF(EMP_Livre,$E88))</f>
        <v/>
      </c>
      <c r="Q88" s="130">
        <f>IF($E88="","",IF($O88&lt;=0,"Indisponible",IF(AND($O88=1,$L88&gt;1),"Dernier exemplaire","Disponible")))</f>
        <v/>
      </c>
      <c r="S88">
        <f>IF($E88="","",$P88+ROW()/100000)</f>
        <v/>
      </c>
      <c r="T88">
        <f>IF(OR(Q_Rech="",$E88=""),"",IF(ISNUMBER(SEARCH(Q_Rech,$E88&amp;" "&amp;$F88&amp;" "&amp;$G88&amp;" "&amp;$H88&amp;" "&amp;$I88)),COUNT($T$6:$T87)+1,""))</f>
        <v/>
      </c>
      <c r="U88">
        <f>IF($E88="","",IF(COUNTIFS(EMP_Livre,$E88,EMP_Date,"&gt;="&amp;R_Mois,EMP_Date,"&lt;"&amp;EDATE(R_Mois,1))=0,"",COUNTIFS(EMP_Livre,$E88,EMP_Date,"&gt;="&amp;R_Mois,EMP_Date,"&lt;"&amp;EDATE(R_Mois,1))+ROW()/100000))</f>
        <v/>
      </c>
    </row>
    <row r="89" ht="21" customHeight="1">
      <c r="A89" s="1" t="n"/>
      <c r="B89" s="1" t="n"/>
      <c r="C89" s="2" t="n"/>
      <c r="E89" s="127" t="n"/>
      <c r="F89" s="127" t="n"/>
      <c r="G89" s="127" t="n"/>
      <c r="H89" s="127" t="n"/>
      <c r="I89" s="127" t="n"/>
      <c r="J89" s="127" t="n"/>
      <c r="K89" s="128" t="n"/>
      <c r="L89" s="128" t="n"/>
      <c r="M89" s="127" t="n"/>
      <c r="N89" s="129">
        <f>IF($E89="","",COUNTIFS(EMP_Livre,$E89,EMP_Retour,""))</f>
        <v/>
      </c>
      <c r="O89" s="129">
        <f>IF($E89="","",$L89-$N89)</f>
        <v/>
      </c>
      <c r="P89" s="129">
        <f>IF($E89="","",COUNTIF(EMP_Livre,$E89))</f>
        <v/>
      </c>
      <c r="Q89" s="130">
        <f>IF($E89="","",IF($O89&lt;=0,"Indisponible",IF(AND($O89=1,$L89&gt;1),"Dernier exemplaire","Disponible")))</f>
        <v/>
      </c>
      <c r="S89">
        <f>IF($E89="","",$P89+ROW()/100000)</f>
        <v/>
      </c>
      <c r="T89">
        <f>IF(OR(Q_Rech="",$E89=""),"",IF(ISNUMBER(SEARCH(Q_Rech,$E89&amp;" "&amp;$F89&amp;" "&amp;$G89&amp;" "&amp;$H89&amp;" "&amp;$I89)),COUNT($T$6:$T88)+1,""))</f>
        <v/>
      </c>
      <c r="U89">
        <f>IF($E89="","",IF(COUNTIFS(EMP_Livre,$E89,EMP_Date,"&gt;="&amp;R_Mois,EMP_Date,"&lt;"&amp;EDATE(R_Mois,1))=0,"",COUNTIFS(EMP_Livre,$E89,EMP_Date,"&gt;="&amp;R_Mois,EMP_Date,"&lt;"&amp;EDATE(R_Mois,1))+ROW()/100000))</f>
        <v/>
      </c>
    </row>
    <row r="90" ht="21" customHeight="1">
      <c r="A90" s="1" t="n"/>
      <c r="B90" s="1" t="n"/>
      <c r="C90" s="2" t="n"/>
      <c r="E90" s="127" t="n"/>
      <c r="F90" s="127" t="n"/>
      <c r="G90" s="127" t="n"/>
      <c r="H90" s="127" t="n"/>
      <c r="I90" s="127" t="n"/>
      <c r="J90" s="127" t="n"/>
      <c r="K90" s="128" t="n"/>
      <c r="L90" s="128" t="n"/>
      <c r="M90" s="127" t="n"/>
      <c r="N90" s="129">
        <f>IF($E90="","",COUNTIFS(EMP_Livre,$E90,EMP_Retour,""))</f>
        <v/>
      </c>
      <c r="O90" s="129">
        <f>IF($E90="","",$L90-$N90)</f>
        <v/>
      </c>
      <c r="P90" s="129">
        <f>IF($E90="","",COUNTIF(EMP_Livre,$E90))</f>
        <v/>
      </c>
      <c r="Q90" s="130">
        <f>IF($E90="","",IF($O90&lt;=0,"Indisponible",IF(AND($O90=1,$L90&gt;1),"Dernier exemplaire","Disponible")))</f>
        <v/>
      </c>
      <c r="S90">
        <f>IF($E90="","",$P90+ROW()/100000)</f>
        <v/>
      </c>
      <c r="T90">
        <f>IF(OR(Q_Rech="",$E90=""),"",IF(ISNUMBER(SEARCH(Q_Rech,$E90&amp;" "&amp;$F90&amp;" "&amp;$G90&amp;" "&amp;$H90&amp;" "&amp;$I90)),COUNT($T$6:$T89)+1,""))</f>
        <v/>
      </c>
      <c r="U90">
        <f>IF($E90="","",IF(COUNTIFS(EMP_Livre,$E90,EMP_Date,"&gt;="&amp;R_Mois,EMP_Date,"&lt;"&amp;EDATE(R_Mois,1))=0,"",COUNTIFS(EMP_Livre,$E90,EMP_Date,"&gt;="&amp;R_Mois,EMP_Date,"&lt;"&amp;EDATE(R_Mois,1))+ROW()/100000))</f>
        <v/>
      </c>
    </row>
    <row r="91" ht="21" customHeight="1">
      <c r="A91" s="1" t="n"/>
      <c r="B91" s="1" t="n"/>
      <c r="C91" s="2" t="n"/>
      <c r="E91" s="127" t="n"/>
      <c r="F91" s="127" t="n"/>
      <c r="G91" s="127" t="n"/>
      <c r="H91" s="127" t="n"/>
      <c r="I91" s="127" t="n"/>
      <c r="J91" s="127" t="n"/>
      <c r="K91" s="128" t="n"/>
      <c r="L91" s="128" t="n"/>
      <c r="M91" s="127" t="n"/>
      <c r="N91" s="129">
        <f>IF($E91="","",COUNTIFS(EMP_Livre,$E91,EMP_Retour,""))</f>
        <v/>
      </c>
      <c r="O91" s="129">
        <f>IF($E91="","",$L91-$N91)</f>
        <v/>
      </c>
      <c r="P91" s="129">
        <f>IF($E91="","",COUNTIF(EMP_Livre,$E91))</f>
        <v/>
      </c>
      <c r="Q91" s="130">
        <f>IF($E91="","",IF($O91&lt;=0,"Indisponible",IF(AND($O91=1,$L91&gt;1),"Dernier exemplaire","Disponible")))</f>
        <v/>
      </c>
      <c r="S91">
        <f>IF($E91="","",$P91+ROW()/100000)</f>
        <v/>
      </c>
      <c r="T91">
        <f>IF(OR(Q_Rech="",$E91=""),"",IF(ISNUMBER(SEARCH(Q_Rech,$E91&amp;" "&amp;$F91&amp;" "&amp;$G91&amp;" "&amp;$H91&amp;" "&amp;$I91)),COUNT($T$6:$T90)+1,""))</f>
        <v/>
      </c>
      <c r="U91">
        <f>IF($E91="","",IF(COUNTIFS(EMP_Livre,$E91,EMP_Date,"&gt;="&amp;R_Mois,EMP_Date,"&lt;"&amp;EDATE(R_Mois,1))=0,"",COUNTIFS(EMP_Livre,$E91,EMP_Date,"&gt;="&amp;R_Mois,EMP_Date,"&lt;"&amp;EDATE(R_Mois,1))+ROW()/100000))</f>
        <v/>
      </c>
    </row>
    <row r="92" ht="21" customHeight="1">
      <c r="A92" s="1" t="n"/>
      <c r="B92" s="1" t="n"/>
      <c r="C92" s="2" t="n"/>
      <c r="E92" s="127" t="n"/>
      <c r="F92" s="127" t="n"/>
      <c r="G92" s="127" t="n"/>
      <c r="H92" s="127" t="n"/>
      <c r="I92" s="127" t="n"/>
      <c r="J92" s="127" t="n"/>
      <c r="K92" s="128" t="n"/>
      <c r="L92" s="128" t="n"/>
      <c r="M92" s="127" t="n"/>
      <c r="N92" s="129">
        <f>IF($E92="","",COUNTIFS(EMP_Livre,$E92,EMP_Retour,""))</f>
        <v/>
      </c>
      <c r="O92" s="129">
        <f>IF($E92="","",$L92-$N92)</f>
        <v/>
      </c>
      <c r="P92" s="129">
        <f>IF($E92="","",COUNTIF(EMP_Livre,$E92))</f>
        <v/>
      </c>
      <c r="Q92" s="130">
        <f>IF($E92="","",IF($O92&lt;=0,"Indisponible",IF(AND($O92=1,$L92&gt;1),"Dernier exemplaire","Disponible")))</f>
        <v/>
      </c>
      <c r="S92">
        <f>IF($E92="","",$P92+ROW()/100000)</f>
        <v/>
      </c>
      <c r="T92">
        <f>IF(OR(Q_Rech="",$E92=""),"",IF(ISNUMBER(SEARCH(Q_Rech,$E92&amp;" "&amp;$F92&amp;" "&amp;$G92&amp;" "&amp;$H92&amp;" "&amp;$I92)),COUNT($T$6:$T91)+1,""))</f>
        <v/>
      </c>
      <c r="U92">
        <f>IF($E92="","",IF(COUNTIFS(EMP_Livre,$E92,EMP_Date,"&gt;="&amp;R_Mois,EMP_Date,"&lt;"&amp;EDATE(R_Mois,1))=0,"",COUNTIFS(EMP_Livre,$E92,EMP_Date,"&gt;="&amp;R_Mois,EMP_Date,"&lt;"&amp;EDATE(R_Mois,1))+ROW()/100000))</f>
        <v/>
      </c>
    </row>
    <row r="93" ht="21" customHeight="1">
      <c r="A93" s="1" t="n"/>
      <c r="B93" s="1" t="n"/>
      <c r="C93" s="2" t="n"/>
      <c r="E93" s="127" t="n"/>
      <c r="F93" s="127" t="n"/>
      <c r="G93" s="127" t="n"/>
      <c r="H93" s="127" t="n"/>
      <c r="I93" s="127" t="n"/>
      <c r="J93" s="127" t="n"/>
      <c r="K93" s="128" t="n"/>
      <c r="L93" s="128" t="n"/>
      <c r="M93" s="127" t="n"/>
      <c r="N93" s="129">
        <f>IF($E93="","",COUNTIFS(EMP_Livre,$E93,EMP_Retour,""))</f>
        <v/>
      </c>
      <c r="O93" s="129">
        <f>IF($E93="","",$L93-$N93)</f>
        <v/>
      </c>
      <c r="P93" s="129">
        <f>IF($E93="","",COUNTIF(EMP_Livre,$E93))</f>
        <v/>
      </c>
      <c r="Q93" s="130">
        <f>IF($E93="","",IF($O93&lt;=0,"Indisponible",IF(AND($O93=1,$L93&gt;1),"Dernier exemplaire","Disponible")))</f>
        <v/>
      </c>
      <c r="S93">
        <f>IF($E93="","",$P93+ROW()/100000)</f>
        <v/>
      </c>
      <c r="T93">
        <f>IF(OR(Q_Rech="",$E93=""),"",IF(ISNUMBER(SEARCH(Q_Rech,$E93&amp;" "&amp;$F93&amp;" "&amp;$G93&amp;" "&amp;$H93&amp;" "&amp;$I93)),COUNT($T$6:$T92)+1,""))</f>
        <v/>
      </c>
      <c r="U93">
        <f>IF($E93="","",IF(COUNTIFS(EMP_Livre,$E93,EMP_Date,"&gt;="&amp;R_Mois,EMP_Date,"&lt;"&amp;EDATE(R_Mois,1))=0,"",COUNTIFS(EMP_Livre,$E93,EMP_Date,"&gt;="&amp;R_Mois,EMP_Date,"&lt;"&amp;EDATE(R_Mois,1))+ROW()/100000))</f>
        <v/>
      </c>
    </row>
    <row r="94" ht="21" customHeight="1">
      <c r="A94" s="1" t="n"/>
      <c r="B94" s="1" t="n"/>
      <c r="C94" s="2" t="n"/>
      <c r="E94" s="127" t="n"/>
      <c r="F94" s="127" t="n"/>
      <c r="G94" s="127" t="n"/>
      <c r="H94" s="127" t="n"/>
      <c r="I94" s="127" t="n"/>
      <c r="J94" s="127" t="n"/>
      <c r="K94" s="128" t="n"/>
      <c r="L94" s="128" t="n"/>
      <c r="M94" s="127" t="n"/>
      <c r="N94" s="129">
        <f>IF($E94="","",COUNTIFS(EMP_Livre,$E94,EMP_Retour,""))</f>
        <v/>
      </c>
      <c r="O94" s="129">
        <f>IF($E94="","",$L94-$N94)</f>
        <v/>
      </c>
      <c r="P94" s="129">
        <f>IF($E94="","",COUNTIF(EMP_Livre,$E94))</f>
        <v/>
      </c>
      <c r="Q94" s="130">
        <f>IF($E94="","",IF($O94&lt;=0,"Indisponible",IF(AND($O94=1,$L94&gt;1),"Dernier exemplaire","Disponible")))</f>
        <v/>
      </c>
      <c r="S94">
        <f>IF($E94="","",$P94+ROW()/100000)</f>
        <v/>
      </c>
      <c r="T94">
        <f>IF(OR(Q_Rech="",$E94=""),"",IF(ISNUMBER(SEARCH(Q_Rech,$E94&amp;" "&amp;$F94&amp;" "&amp;$G94&amp;" "&amp;$H94&amp;" "&amp;$I94)),COUNT($T$6:$T93)+1,""))</f>
        <v/>
      </c>
      <c r="U94">
        <f>IF($E94="","",IF(COUNTIFS(EMP_Livre,$E94,EMP_Date,"&gt;="&amp;R_Mois,EMP_Date,"&lt;"&amp;EDATE(R_Mois,1))=0,"",COUNTIFS(EMP_Livre,$E94,EMP_Date,"&gt;="&amp;R_Mois,EMP_Date,"&lt;"&amp;EDATE(R_Mois,1))+ROW()/100000))</f>
        <v/>
      </c>
    </row>
    <row r="95" ht="21" customHeight="1">
      <c r="A95" s="1" t="n"/>
      <c r="B95" s="1" t="n"/>
      <c r="C95" s="2" t="n"/>
      <c r="E95" s="127" t="n"/>
      <c r="F95" s="127" t="n"/>
      <c r="G95" s="127" t="n"/>
      <c r="H95" s="127" t="n"/>
      <c r="I95" s="127" t="n"/>
      <c r="J95" s="127" t="n"/>
      <c r="K95" s="128" t="n"/>
      <c r="L95" s="128" t="n"/>
      <c r="M95" s="127" t="n"/>
      <c r="N95" s="129">
        <f>IF($E95="","",COUNTIFS(EMP_Livre,$E95,EMP_Retour,""))</f>
        <v/>
      </c>
      <c r="O95" s="129">
        <f>IF($E95="","",$L95-$N95)</f>
        <v/>
      </c>
      <c r="P95" s="129">
        <f>IF($E95="","",COUNTIF(EMP_Livre,$E95))</f>
        <v/>
      </c>
      <c r="Q95" s="130">
        <f>IF($E95="","",IF($O95&lt;=0,"Indisponible",IF(AND($O95=1,$L95&gt;1),"Dernier exemplaire","Disponible")))</f>
        <v/>
      </c>
      <c r="S95">
        <f>IF($E95="","",$P95+ROW()/100000)</f>
        <v/>
      </c>
      <c r="T95">
        <f>IF(OR(Q_Rech="",$E95=""),"",IF(ISNUMBER(SEARCH(Q_Rech,$E95&amp;" "&amp;$F95&amp;" "&amp;$G95&amp;" "&amp;$H95&amp;" "&amp;$I95)),COUNT($T$6:$T94)+1,""))</f>
        <v/>
      </c>
      <c r="U95">
        <f>IF($E95="","",IF(COUNTIFS(EMP_Livre,$E95,EMP_Date,"&gt;="&amp;R_Mois,EMP_Date,"&lt;"&amp;EDATE(R_Mois,1))=0,"",COUNTIFS(EMP_Livre,$E95,EMP_Date,"&gt;="&amp;R_Mois,EMP_Date,"&lt;"&amp;EDATE(R_Mois,1))+ROW()/100000))</f>
        <v/>
      </c>
    </row>
    <row r="96" ht="21" customHeight="1">
      <c r="A96" s="1" t="n"/>
      <c r="B96" s="1" t="n"/>
      <c r="C96" s="2" t="n"/>
      <c r="E96" s="127" t="n"/>
      <c r="F96" s="127" t="n"/>
      <c r="G96" s="127" t="n"/>
      <c r="H96" s="127" t="n"/>
      <c r="I96" s="127" t="n"/>
      <c r="J96" s="127" t="n"/>
      <c r="K96" s="128" t="n"/>
      <c r="L96" s="128" t="n"/>
      <c r="M96" s="127" t="n"/>
      <c r="N96" s="129">
        <f>IF($E96="","",COUNTIFS(EMP_Livre,$E96,EMP_Retour,""))</f>
        <v/>
      </c>
      <c r="O96" s="129">
        <f>IF($E96="","",$L96-$N96)</f>
        <v/>
      </c>
      <c r="P96" s="129">
        <f>IF($E96="","",COUNTIF(EMP_Livre,$E96))</f>
        <v/>
      </c>
      <c r="Q96" s="130">
        <f>IF($E96="","",IF($O96&lt;=0,"Indisponible",IF(AND($O96=1,$L96&gt;1),"Dernier exemplaire","Disponible")))</f>
        <v/>
      </c>
      <c r="S96">
        <f>IF($E96="","",$P96+ROW()/100000)</f>
        <v/>
      </c>
      <c r="T96">
        <f>IF(OR(Q_Rech="",$E96=""),"",IF(ISNUMBER(SEARCH(Q_Rech,$E96&amp;" "&amp;$F96&amp;" "&amp;$G96&amp;" "&amp;$H96&amp;" "&amp;$I96)),COUNT($T$6:$T95)+1,""))</f>
        <v/>
      </c>
      <c r="U96">
        <f>IF($E96="","",IF(COUNTIFS(EMP_Livre,$E96,EMP_Date,"&gt;="&amp;R_Mois,EMP_Date,"&lt;"&amp;EDATE(R_Mois,1))=0,"",COUNTIFS(EMP_Livre,$E96,EMP_Date,"&gt;="&amp;R_Mois,EMP_Date,"&lt;"&amp;EDATE(R_Mois,1))+ROW()/100000))</f>
        <v/>
      </c>
    </row>
    <row r="97" ht="21" customHeight="1">
      <c r="A97" s="1" t="n"/>
      <c r="B97" s="1" t="n"/>
      <c r="C97" s="2" t="n"/>
      <c r="E97" s="127" t="n"/>
      <c r="F97" s="127" t="n"/>
      <c r="G97" s="127" t="n"/>
      <c r="H97" s="127" t="n"/>
      <c r="I97" s="127" t="n"/>
      <c r="J97" s="127" t="n"/>
      <c r="K97" s="128" t="n"/>
      <c r="L97" s="128" t="n"/>
      <c r="M97" s="127" t="n"/>
      <c r="N97" s="129">
        <f>IF($E97="","",COUNTIFS(EMP_Livre,$E97,EMP_Retour,""))</f>
        <v/>
      </c>
      <c r="O97" s="129">
        <f>IF($E97="","",$L97-$N97)</f>
        <v/>
      </c>
      <c r="P97" s="129">
        <f>IF($E97="","",COUNTIF(EMP_Livre,$E97))</f>
        <v/>
      </c>
      <c r="Q97" s="130">
        <f>IF($E97="","",IF($O97&lt;=0,"Indisponible",IF(AND($O97=1,$L97&gt;1),"Dernier exemplaire","Disponible")))</f>
        <v/>
      </c>
      <c r="S97">
        <f>IF($E97="","",$P97+ROW()/100000)</f>
        <v/>
      </c>
      <c r="T97">
        <f>IF(OR(Q_Rech="",$E97=""),"",IF(ISNUMBER(SEARCH(Q_Rech,$E97&amp;" "&amp;$F97&amp;" "&amp;$G97&amp;" "&amp;$H97&amp;" "&amp;$I97)),COUNT($T$6:$T96)+1,""))</f>
        <v/>
      </c>
      <c r="U97">
        <f>IF($E97="","",IF(COUNTIFS(EMP_Livre,$E97,EMP_Date,"&gt;="&amp;R_Mois,EMP_Date,"&lt;"&amp;EDATE(R_Mois,1))=0,"",COUNTIFS(EMP_Livre,$E97,EMP_Date,"&gt;="&amp;R_Mois,EMP_Date,"&lt;"&amp;EDATE(R_Mois,1))+ROW()/100000))</f>
        <v/>
      </c>
    </row>
    <row r="98" ht="21" customHeight="1">
      <c r="A98" s="1" t="n"/>
      <c r="B98" s="1" t="n"/>
      <c r="C98" s="2" t="n"/>
      <c r="E98" s="127" t="n"/>
      <c r="F98" s="127" t="n"/>
      <c r="G98" s="127" t="n"/>
      <c r="H98" s="127" t="n"/>
      <c r="I98" s="127" t="n"/>
      <c r="J98" s="127" t="n"/>
      <c r="K98" s="128" t="n"/>
      <c r="L98" s="128" t="n"/>
      <c r="M98" s="127" t="n"/>
      <c r="N98" s="129">
        <f>IF($E98="","",COUNTIFS(EMP_Livre,$E98,EMP_Retour,""))</f>
        <v/>
      </c>
      <c r="O98" s="129">
        <f>IF($E98="","",$L98-$N98)</f>
        <v/>
      </c>
      <c r="P98" s="129">
        <f>IF($E98="","",COUNTIF(EMP_Livre,$E98))</f>
        <v/>
      </c>
      <c r="Q98" s="130">
        <f>IF($E98="","",IF($O98&lt;=0,"Indisponible",IF(AND($O98=1,$L98&gt;1),"Dernier exemplaire","Disponible")))</f>
        <v/>
      </c>
      <c r="S98">
        <f>IF($E98="","",$P98+ROW()/100000)</f>
        <v/>
      </c>
      <c r="T98">
        <f>IF(OR(Q_Rech="",$E98=""),"",IF(ISNUMBER(SEARCH(Q_Rech,$E98&amp;" "&amp;$F98&amp;" "&amp;$G98&amp;" "&amp;$H98&amp;" "&amp;$I98)),COUNT($T$6:$T97)+1,""))</f>
        <v/>
      </c>
      <c r="U98">
        <f>IF($E98="","",IF(COUNTIFS(EMP_Livre,$E98,EMP_Date,"&gt;="&amp;R_Mois,EMP_Date,"&lt;"&amp;EDATE(R_Mois,1))=0,"",COUNTIFS(EMP_Livre,$E98,EMP_Date,"&gt;="&amp;R_Mois,EMP_Date,"&lt;"&amp;EDATE(R_Mois,1))+ROW()/100000))</f>
        <v/>
      </c>
    </row>
    <row r="99" ht="21" customHeight="1">
      <c r="A99" s="1" t="n"/>
      <c r="B99" s="1" t="n"/>
      <c r="C99" s="2" t="n"/>
      <c r="E99" s="127" t="n"/>
      <c r="F99" s="127" t="n"/>
      <c r="G99" s="127" t="n"/>
      <c r="H99" s="127" t="n"/>
      <c r="I99" s="127" t="n"/>
      <c r="J99" s="127" t="n"/>
      <c r="K99" s="128" t="n"/>
      <c r="L99" s="128" t="n"/>
      <c r="M99" s="127" t="n"/>
      <c r="N99" s="129">
        <f>IF($E99="","",COUNTIFS(EMP_Livre,$E99,EMP_Retour,""))</f>
        <v/>
      </c>
      <c r="O99" s="129">
        <f>IF($E99="","",$L99-$N99)</f>
        <v/>
      </c>
      <c r="P99" s="129">
        <f>IF($E99="","",COUNTIF(EMP_Livre,$E99))</f>
        <v/>
      </c>
      <c r="Q99" s="130">
        <f>IF($E99="","",IF($O99&lt;=0,"Indisponible",IF(AND($O99=1,$L99&gt;1),"Dernier exemplaire","Disponible")))</f>
        <v/>
      </c>
      <c r="S99">
        <f>IF($E99="","",$P99+ROW()/100000)</f>
        <v/>
      </c>
      <c r="T99">
        <f>IF(OR(Q_Rech="",$E99=""),"",IF(ISNUMBER(SEARCH(Q_Rech,$E99&amp;" "&amp;$F99&amp;" "&amp;$G99&amp;" "&amp;$H99&amp;" "&amp;$I99)),COUNT($T$6:$T98)+1,""))</f>
        <v/>
      </c>
      <c r="U99">
        <f>IF($E99="","",IF(COUNTIFS(EMP_Livre,$E99,EMP_Date,"&gt;="&amp;R_Mois,EMP_Date,"&lt;"&amp;EDATE(R_Mois,1))=0,"",COUNTIFS(EMP_Livre,$E99,EMP_Date,"&gt;="&amp;R_Mois,EMP_Date,"&lt;"&amp;EDATE(R_Mois,1))+ROW()/100000))</f>
        <v/>
      </c>
    </row>
    <row r="100" ht="21" customHeight="1">
      <c r="A100" s="1" t="n"/>
      <c r="B100" s="1" t="n"/>
      <c r="C100" s="2" t="n"/>
      <c r="E100" s="127" t="n"/>
      <c r="F100" s="127" t="n"/>
      <c r="G100" s="127" t="n"/>
      <c r="H100" s="127" t="n"/>
      <c r="I100" s="127" t="n"/>
      <c r="J100" s="127" t="n"/>
      <c r="K100" s="128" t="n"/>
      <c r="L100" s="128" t="n"/>
      <c r="M100" s="127" t="n"/>
      <c r="N100" s="129">
        <f>IF($E100="","",COUNTIFS(EMP_Livre,$E100,EMP_Retour,""))</f>
        <v/>
      </c>
      <c r="O100" s="129">
        <f>IF($E100="","",$L100-$N100)</f>
        <v/>
      </c>
      <c r="P100" s="129">
        <f>IF($E100="","",COUNTIF(EMP_Livre,$E100))</f>
        <v/>
      </c>
      <c r="Q100" s="130">
        <f>IF($E100="","",IF($O100&lt;=0,"Indisponible",IF(AND($O100=1,$L100&gt;1),"Dernier exemplaire","Disponible")))</f>
        <v/>
      </c>
      <c r="S100">
        <f>IF($E100="","",$P100+ROW()/100000)</f>
        <v/>
      </c>
      <c r="T100">
        <f>IF(OR(Q_Rech="",$E100=""),"",IF(ISNUMBER(SEARCH(Q_Rech,$E100&amp;" "&amp;$F100&amp;" "&amp;$G100&amp;" "&amp;$H100&amp;" "&amp;$I100)),COUNT($T$6:$T99)+1,""))</f>
        <v/>
      </c>
      <c r="U100">
        <f>IF($E100="","",IF(COUNTIFS(EMP_Livre,$E100,EMP_Date,"&gt;="&amp;R_Mois,EMP_Date,"&lt;"&amp;EDATE(R_Mois,1))=0,"",COUNTIFS(EMP_Livre,$E100,EMP_Date,"&gt;="&amp;R_Mois,EMP_Date,"&lt;"&amp;EDATE(R_Mois,1))+ROW()/100000))</f>
        <v/>
      </c>
    </row>
    <row r="101" ht="21" customHeight="1">
      <c r="A101" s="1" t="n"/>
      <c r="B101" s="1" t="n"/>
      <c r="C101" s="2" t="n"/>
      <c r="E101" s="127" t="n"/>
      <c r="F101" s="127" t="n"/>
      <c r="G101" s="127" t="n"/>
      <c r="H101" s="127" t="n"/>
      <c r="I101" s="127" t="n"/>
      <c r="J101" s="127" t="n"/>
      <c r="K101" s="128" t="n"/>
      <c r="L101" s="128" t="n"/>
      <c r="M101" s="127" t="n"/>
      <c r="N101" s="129">
        <f>IF($E101="","",COUNTIFS(EMP_Livre,$E101,EMP_Retour,""))</f>
        <v/>
      </c>
      <c r="O101" s="129">
        <f>IF($E101="","",$L101-$N101)</f>
        <v/>
      </c>
      <c r="P101" s="129">
        <f>IF($E101="","",COUNTIF(EMP_Livre,$E101))</f>
        <v/>
      </c>
      <c r="Q101" s="130">
        <f>IF($E101="","",IF($O101&lt;=0,"Indisponible",IF(AND($O101=1,$L101&gt;1),"Dernier exemplaire","Disponible")))</f>
        <v/>
      </c>
      <c r="S101">
        <f>IF($E101="","",$P101+ROW()/100000)</f>
        <v/>
      </c>
      <c r="T101">
        <f>IF(OR(Q_Rech="",$E101=""),"",IF(ISNUMBER(SEARCH(Q_Rech,$E101&amp;" "&amp;$F101&amp;" "&amp;$G101&amp;" "&amp;$H101&amp;" "&amp;$I101)),COUNT($T$6:$T100)+1,""))</f>
        <v/>
      </c>
      <c r="U101">
        <f>IF($E101="","",IF(COUNTIFS(EMP_Livre,$E101,EMP_Date,"&gt;="&amp;R_Mois,EMP_Date,"&lt;"&amp;EDATE(R_Mois,1))=0,"",COUNTIFS(EMP_Livre,$E101,EMP_Date,"&gt;="&amp;R_Mois,EMP_Date,"&lt;"&amp;EDATE(R_Mois,1))+ROW()/100000))</f>
        <v/>
      </c>
    </row>
    <row r="102" ht="21" customHeight="1">
      <c r="A102" s="1" t="n"/>
      <c r="B102" s="1" t="n"/>
      <c r="C102" s="2" t="n"/>
      <c r="E102" s="127" t="n"/>
      <c r="F102" s="127" t="n"/>
      <c r="G102" s="127" t="n"/>
      <c r="H102" s="127" t="n"/>
      <c r="I102" s="127" t="n"/>
      <c r="J102" s="127" t="n"/>
      <c r="K102" s="128" t="n"/>
      <c r="L102" s="128" t="n"/>
      <c r="M102" s="127" t="n"/>
      <c r="N102" s="129">
        <f>IF($E102="","",COUNTIFS(EMP_Livre,$E102,EMP_Retour,""))</f>
        <v/>
      </c>
      <c r="O102" s="129">
        <f>IF($E102="","",$L102-$N102)</f>
        <v/>
      </c>
      <c r="P102" s="129">
        <f>IF($E102="","",COUNTIF(EMP_Livre,$E102))</f>
        <v/>
      </c>
      <c r="Q102" s="130">
        <f>IF($E102="","",IF($O102&lt;=0,"Indisponible",IF(AND($O102=1,$L102&gt;1),"Dernier exemplaire","Disponible")))</f>
        <v/>
      </c>
      <c r="S102">
        <f>IF($E102="","",$P102+ROW()/100000)</f>
        <v/>
      </c>
      <c r="T102">
        <f>IF(OR(Q_Rech="",$E102=""),"",IF(ISNUMBER(SEARCH(Q_Rech,$E102&amp;" "&amp;$F102&amp;" "&amp;$G102&amp;" "&amp;$H102&amp;" "&amp;$I102)),COUNT($T$6:$T101)+1,""))</f>
        <v/>
      </c>
      <c r="U102">
        <f>IF($E102="","",IF(COUNTIFS(EMP_Livre,$E102,EMP_Date,"&gt;="&amp;R_Mois,EMP_Date,"&lt;"&amp;EDATE(R_Mois,1))=0,"",COUNTIFS(EMP_Livre,$E102,EMP_Date,"&gt;="&amp;R_Mois,EMP_Date,"&lt;"&amp;EDATE(R_Mois,1))+ROW()/100000))</f>
        <v/>
      </c>
    </row>
    <row r="103" ht="21" customHeight="1">
      <c r="A103" s="1" t="n"/>
      <c r="B103" s="1" t="n"/>
      <c r="C103" s="2" t="n"/>
      <c r="E103" s="127" t="n"/>
      <c r="F103" s="127" t="n"/>
      <c r="G103" s="127" t="n"/>
      <c r="H103" s="127" t="n"/>
      <c r="I103" s="127" t="n"/>
      <c r="J103" s="127" t="n"/>
      <c r="K103" s="128" t="n"/>
      <c r="L103" s="128" t="n"/>
      <c r="M103" s="127" t="n"/>
      <c r="N103" s="129">
        <f>IF($E103="","",COUNTIFS(EMP_Livre,$E103,EMP_Retour,""))</f>
        <v/>
      </c>
      <c r="O103" s="129">
        <f>IF($E103="","",$L103-$N103)</f>
        <v/>
      </c>
      <c r="P103" s="129">
        <f>IF($E103="","",COUNTIF(EMP_Livre,$E103))</f>
        <v/>
      </c>
      <c r="Q103" s="130">
        <f>IF($E103="","",IF($O103&lt;=0,"Indisponible",IF(AND($O103=1,$L103&gt;1),"Dernier exemplaire","Disponible")))</f>
        <v/>
      </c>
      <c r="S103">
        <f>IF($E103="","",$P103+ROW()/100000)</f>
        <v/>
      </c>
      <c r="T103">
        <f>IF(OR(Q_Rech="",$E103=""),"",IF(ISNUMBER(SEARCH(Q_Rech,$E103&amp;" "&amp;$F103&amp;" "&amp;$G103&amp;" "&amp;$H103&amp;" "&amp;$I103)),COUNT($T$6:$T102)+1,""))</f>
        <v/>
      </c>
      <c r="U103">
        <f>IF($E103="","",IF(COUNTIFS(EMP_Livre,$E103,EMP_Date,"&gt;="&amp;R_Mois,EMP_Date,"&lt;"&amp;EDATE(R_Mois,1))=0,"",COUNTIFS(EMP_Livre,$E103,EMP_Date,"&gt;="&amp;R_Mois,EMP_Date,"&lt;"&amp;EDATE(R_Mois,1))+ROW()/100000))</f>
        <v/>
      </c>
    </row>
    <row r="104" ht="21" customHeight="1">
      <c r="A104" s="1" t="n"/>
      <c r="B104" s="1" t="n"/>
      <c r="C104" s="2" t="n"/>
      <c r="E104" s="127" t="n"/>
      <c r="F104" s="127" t="n"/>
      <c r="G104" s="127" t="n"/>
      <c r="H104" s="127" t="n"/>
      <c r="I104" s="127" t="n"/>
      <c r="J104" s="127" t="n"/>
      <c r="K104" s="128" t="n"/>
      <c r="L104" s="128" t="n"/>
      <c r="M104" s="127" t="n"/>
      <c r="N104" s="129">
        <f>IF($E104="","",COUNTIFS(EMP_Livre,$E104,EMP_Retour,""))</f>
        <v/>
      </c>
      <c r="O104" s="129">
        <f>IF($E104="","",$L104-$N104)</f>
        <v/>
      </c>
      <c r="P104" s="129">
        <f>IF($E104="","",COUNTIF(EMP_Livre,$E104))</f>
        <v/>
      </c>
      <c r="Q104" s="130">
        <f>IF($E104="","",IF($O104&lt;=0,"Indisponible",IF(AND($O104=1,$L104&gt;1),"Dernier exemplaire","Disponible")))</f>
        <v/>
      </c>
      <c r="S104">
        <f>IF($E104="","",$P104+ROW()/100000)</f>
        <v/>
      </c>
      <c r="T104">
        <f>IF(OR(Q_Rech="",$E104=""),"",IF(ISNUMBER(SEARCH(Q_Rech,$E104&amp;" "&amp;$F104&amp;" "&amp;$G104&amp;" "&amp;$H104&amp;" "&amp;$I104)),COUNT($T$6:$T103)+1,""))</f>
        <v/>
      </c>
      <c r="U104">
        <f>IF($E104="","",IF(COUNTIFS(EMP_Livre,$E104,EMP_Date,"&gt;="&amp;R_Mois,EMP_Date,"&lt;"&amp;EDATE(R_Mois,1))=0,"",COUNTIFS(EMP_Livre,$E104,EMP_Date,"&gt;="&amp;R_Mois,EMP_Date,"&lt;"&amp;EDATE(R_Mois,1))+ROW()/100000))</f>
        <v/>
      </c>
    </row>
    <row r="105" ht="21" customHeight="1">
      <c r="A105" s="1" t="n"/>
      <c r="B105" s="1" t="n"/>
      <c r="C105" s="2" t="n"/>
      <c r="E105" s="127" t="n"/>
      <c r="F105" s="127" t="n"/>
      <c r="G105" s="127" t="n"/>
      <c r="H105" s="127" t="n"/>
      <c r="I105" s="127" t="n"/>
      <c r="J105" s="127" t="n"/>
      <c r="K105" s="128" t="n"/>
      <c r="L105" s="128" t="n"/>
      <c r="M105" s="127" t="n"/>
      <c r="N105" s="129">
        <f>IF($E105="","",COUNTIFS(EMP_Livre,$E105,EMP_Retour,""))</f>
        <v/>
      </c>
      <c r="O105" s="129">
        <f>IF($E105="","",$L105-$N105)</f>
        <v/>
      </c>
      <c r="P105" s="129">
        <f>IF($E105="","",COUNTIF(EMP_Livre,$E105))</f>
        <v/>
      </c>
      <c r="Q105" s="130">
        <f>IF($E105="","",IF($O105&lt;=0,"Indisponible",IF(AND($O105=1,$L105&gt;1),"Dernier exemplaire","Disponible")))</f>
        <v/>
      </c>
      <c r="S105">
        <f>IF($E105="","",$P105+ROW()/100000)</f>
        <v/>
      </c>
      <c r="T105">
        <f>IF(OR(Q_Rech="",$E105=""),"",IF(ISNUMBER(SEARCH(Q_Rech,$E105&amp;" "&amp;$F105&amp;" "&amp;$G105&amp;" "&amp;$H105&amp;" "&amp;$I105)),COUNT($T$6:$T104)+1,""))</f>
        <v/>
      </c>
      <c r="U105">
        <f>IF($E105="","",IF(COUNTIFS(EMP_Livre,$E105,EMP_Date,"&gt;="&amp;R_Mois,EMP_Date,"&lt;"&amp;EDATE(R_Mois,1))=0,"",COUNTIFS(EMP_Livre,$E105,EMP_Date,"&gt;="&amp;R_Mois,EMP_Date,"&lt;"&amp;EDATE(R_Mois,1))+ROW()/100000))</f>
        <v/>
      </c>
    </row>
    <row r="106" ht="21" customHeight="1">
      <c r="A106" s="1" t="n"/>
      <c r="B106" s="1" t="n"/>
      <c r="C106" s="2" t="n"/>
      <c r="E106" s="127" t="n"/>
      <c r="F106" s="127" t="n"/>
      <c r="G106" s="127" t="n"/>
      <c r="H106" s="127" t="n"/>
      <c r="I106" s="127" t="n"/>
      <c r="J106" s="127" t="n"/>
      <c r="K106" s="128" t="n"/>
      <c r="L106" s="128" t="n"/>
      <c r="M106" s="127" t="n"/>
      <c r="N106" s="129">
        <f>IF($E106="","",COUNTIFS(EMP_Livre,$E106,EMP_Retour,""))</f>
        <v/>
      </c>
      <c r="O106" s="129">
        <f>IF($E106="","",$L106-$N106)</f>
        <v/>
      </c>
      <c r="P106" s="129">
        <f>IF($E106="","",COUNTIF(EMP_Livre,$E106))</f>
        <v/>
      </c>
      <c r="Q106" s="130">
        <f>IF($E106="","",IF($O106&lt;=0,"Indisponible",IF(AND($O106=1,$L106&gt;1),"Dernier exemplaire","Disponible")))</f>
        <v/>
      </c>
      <c r="S106">
        <f>IF($E106="","",$P106+ROW()/100000)</f>
        <v/>
      </c>
      <c r="T106">
        <f>IF(OR(Q_Rech="",$E106=""),"",IF(ISNUMBER(SEARCH(Q_Rech,$E106&amp;" "&amp;$F106&amp;" "&amp;$G106&amp;" "&amp;$H106&amp;" "&amp;$I106)),COUNT($T$6:$T105)+1,""))</f>
        <v/>
      </c>
      <c r="U106">
        <f>IF($E106="","",IF(COUNTIFS(EMP_Livre,$E106,EMP_Date,"&gt;="&amp;R_Mois,EMP_Date,"&lt;"&amp;EDATE(R_Mois,1))=0,"",COUNTIFS(EMP_Livre,$E106,EMP_Date,"&gt;="&amp;R_Mois,EMP_Date,"&lt;"&amp;EDATE(R_Mois,1))+ROW()/100000))</f>
        <v/>
      </c>
    </row>
    <row r="107" ht="21" customHeight="1">
      <c r="A107" s="1" t="n"/>
      <c r="B107" s="1" t="n"/>
      <c r="C107" s="2" t="n"/>
      <c r="E107" s="127" t="n"/>
      <c r="F107" s="127" t="n"/>
      <c r="G107" s="127" t="n"/>
      <c r="H107" s="127" t="n"/>
      <c r="I107" s="127" t="n"/>
      <c r="J107" s="127" t="n"/>
      <c r="K107" s="128" t="n"/>
      <c r="L107" s="128" t="n"/>
      <c r="M107" s="127" t="n"/>
      <c r="N107" s="129">
        <f>IF($E107="","",COUNTIFS(EMP_Livre,$E107,EMP_Retour,""))</f>
        <v/>
      </c>
      <c r="O107" s="129">
        <f>IF($E107="","",$L107-$N107)</f>
        <v/>
      </c>
      <c r="P107" s="129">
        <f>IF($E107="","",COUNTIF(EMP_Livre,$E107))</f>
        <v/>
      </c>
      <c r="Q107" s="130">
        <f>IF($E107="","",IF($O107&lt;=0,"Indisponible",IF(AND($O107=1,$L107&gt;1),"Dernier exemplaire","Disponible")))</f>
        <v/>
      </c>
      <c r="S107">
        <f>IF($E107="","",$P107+ROW()/100000)</f>
        <v/>
      </c>
      <c r="T107">
        <f>IF(OR(Q_Rech="",$E107=""),"",IF(ISNUMBER(SEARCH(Q_Rech,$E107&amp;" "&amp;$F107&amp;" "&amp;$G107&amp;" "&amp;$H107&amp;" "&amp;$I107)),COUNT($T$6:$T106)+1,""))</f>
        <v/>
      </c>
      <c r="U107">
        <f>IF($E107="","",IF(COUNTIFS(EMP_Livre,$E107,EMP_Date,"&gt;="&amp;R_Mois,EMP_Date,"&lt;"&amp;EDATE(R_Mois,1))=0,"",COUNTIFS(EMP_Livre,$E107,EMP_Date,"&gt;="&amp;R_Mois,EMP_Date,"&lt;"&amp;EDATE(R_Mois,1))+ROW()/100000))</f>
        <v/>
      </c>
    </row>
    <row r="108" ht="21" customHeight="1">
      <c r="A108" s="1" t="n"/>
      <c r="B108" s="1" t="n"/>
      <c r="C108" s="2" t="n"/>
      <c r="E108" s="127" t="n"/>
      <c r="F108" s="127" t="n"/>
      <c r="G108" s="127" t="n"/>
      <c r="H108" s="127" t="n"/>
      <c r="I108" s="127" t="n"/>
      <c r="J108" s="127" t="n"/>
      <c r="K108" s="128" t="n"/>
      <c r="L108" s="128" t="n"/>
      <c r="M108" s="127" t="n"/>
      <c r="N108" s="129">
        <f>IF($E108="","",COUNTIFS(EMP_Livre,$E108,EMP_Retour,""))</f>
        <v/>
      </c>
      <c r="O108" s="129">
        <f>IF($E108="","",$L108-$N108)</f>
        <v/>
      </c>
      <c r="P108" s="129">
        <f>IF($E108="","",COUNTIF(EMP_Livre,$E108))</f>
        <v/>
      </c>
      <c r="Q108" s="130">
        <f>IF($E108="","",IF($O108&lt;=0,"Indisponible",IF(AND($O108=1,$L108&gt;1),"Dernier exemplaire","Disponible")))</f>
        <v/>
      </c>
      <c r="S108">
        <f>IF($E108="","",$P108+ROW()/100000)</f>
        <v/>
      </c>
      <c r="T108">
        <f>IF(OR(Q_Rech="",$E108=""),"",IF(ISNUMBER(SEARCH(Q_Rech,$E108&amp;" "&amp;$F108&amp;" "&amp;$G108&amp;" "&amp;$H108&amp;" "&amp;$I108)),COUNT($T$6:$T107)+1,""))</f>
        <v/>
      </c>
      <c r="U108">
        <f>IF($E108="","",IF(COUNTIFS(EMP_Livre,$E108,EMP_Date,"&gt;="&amp;R_Mois,EMP_Date,"&lt;"&amp;EDATE(R_Mois,1))=0,"",COUNTIFS(EMP_Livre,$E108,EMP_Date,"&gt;="&amp;R_Mois,EMP_Date,"&lt;"&amp;EDATE(R_Mois,1))+ROW()/100000))</f>
        <v/>
      </c>
    </row>
    <row r="109" ht="21" customHeight="1">
      <c r="A109" s="1" t="n"/>
      <c r="B109" s="1" t="n"/>
      <c r="C109" s="2" t="n"/>
      <c r="E109" s="127" t="n"/>
      <c r="F109" s="127" t="n"/>
      <c r="G109" s="127" t="n"/>
      <c r="H109" s="127" t="n"/>
      <c r="I109" s="127" t="n"/>
      <c r="J109" s="127" t="n"/>
      <c r="K109" s="128" t="n"/>
      <c r="L109" s="128" t="n"/>
      <c r="M109" s="127" t="n"/>
      <c r="N109" s="129">
        <f>IF($E109="","",COUNTIFS(EMP_Livre,$E109,EMP_Retour,""))</f>
        <v/>
      </c>
      <c r="O109" s="129">
        <f>IF($E109="","",$L109-$N109)</f>
        <v/>
      </c>
      <c r="P109" s="129">
        <f>IF($E109="","",COUNTIF(EMP_Livre,$E109))</f>
        <v/>
      </c>
      <c r="Q109" s="130">
        <f>IF($E109="","",IF($O109&lt;=0,"Indisponible",IF(AND($O109=1,$L109&gt;1),"Dernier exemplaire","Disponible")))</f>
        <v/>
      </c>
      <c r="S109">
        <f>IF($E109="","",$P109+ROW()/100000)</f>
        <v/>
      </c>
      <c r="T109">
        <f>IF(OR(Q_Rech="",$E109=""),"",IF(ISNUMBER(SEARCH(Q_Rech,$E109&amp;" "&amp;$F109&amp;" "&amp;$G109&amp;" "&amp;$H109&amp;" "&amp;$I109)),COUNT($T$6:$T108)+1,""))</f>
        <v/>
      </c>
      <c r="U109">
        <f>IF($E109="","",IF(COUNTIFS(EMP_Livre,$E109,EMP_Date,"&gt;="&amp;R_Mois,EMP_Date,"&lt;"&amp;EDATE(R_Mois,1))=0,"",COUNTIFS(EMP_Livre,$E109,EMP_Date,"&gt;="&amp;R_Mois,EMP_Date,"&lt;"&amp;EDATE(R_Mois,1))+ROW()/100000))</f>
        <v/>
      </c>
    </row>
    <row r="110" ht="21" customHeight="1">
      <c r="A110" s="1" t="n"/>
      <c r="B110" s="1" t="n"/>
      <c r="C110" s="2" t="n"/>
      <c r="E110" s="127" t="n"/>
      <c r="F110" s="127" t="n"/>
      <c r="G110" s="127" t="n"/>
      <c r="H110" s="127" t="n"/>
      <c r="I110" s="127" t="n"/>
      <c r="J110" s="127" t="n"/>
      <c r="K110" s="128" t="n"/>
      <c r="L110" s="128" t="n"/>
      <c r="M110" s="127" t="n"/>
      <c r="N110" s="129">
        <f>IF($E110="","",COUNTIFS(EMP_Livre,$E110,EMP_Retour,""))</f>
        <v/>
      </c>
      <c r="O110" s="129">
        <f>IF($E110="","",$L110-$N110)</f>
        <v/>
      </c>
      <c r="P110" s="129">
        <f>IF($E110="","",COUNTIF(EMP_Livre,$E110))</f>
        <v/>
      </c>
      <c r="Q110" s="130">
        <f>IF($E110="","",IF($O110&lt;=0,"Indisponible",IF(AND($O110=1,$L110&gt;1),"Dernier exemplaire","Disponible")))</f>
        <v/>
      </c>
      <c r="S110">
        <f>IF($E110="","",$P110+ROW()/100000)</f>
        <v/>
      </c>
      <c r="T110">
        <f>IF(OR(Q_Rech="",$E110=""),"",IF(ISNUMBER(SEARCH(Q_Rech,$E110&amp;" "&amp;$F110&amp;" "&amp;$G110&amp;" "&amp;$H110&amp;" "&amp;$I110)),COUNT($T$6:$T109)+1,""))</f>
        <v/>
      </c>
      <c r="U110">
        <f>IF($E110="","",IF(COUNTIFS(EMP_Livre,$E110,EMP_Date,"&gt;="&amp;R_Mois,EMP_Date,"&lt;"&amp;EDATE(R_Mois,1))=0,"",COUNTIFS(EMP_Livre,$E110,EMP_Date,"&gt;="&amp;R_Mois,EMP_Date,"&lt;"&amp;EDATE(R_Mois,1))+ROW()/100000))</f>
        <v/>
      </c>
    </row>
    <row r="111" ht="21" customHeight="1">
      <c r="A111" s="1" t="n"/>
      <c r="B111" s="1" t="n"/>
      <c r="C111" s="2" t="n"/>
      <c r="E111" s="127" t="n"/>
      <c r="F111" s="127" t="n"/>
      <c r="G111" s="127" t="n"/>
      <c r="H111" s="127" t="n"/>
      <c r="I111" s="127" t="n"/>
      <c r="J111" s="127" t="n"/>
      <c r="K111" s="128" t="n"/>
      <c r="L111" s="128" t="n"/>
      <c r="M111" s="127" t="n"/>
      <c r="N111" s="129">
        <f>IF($E111="","",COUNTIFS(EMP_Livre,$E111,EMP_Retour,""))</f>
        <v/>
      </c>
      <c r="O111" s="129">
        <f>IF($E111="","",$L111-$N111)</f>
        <v/>
      </c>
      <c r="P111" s="129">
        <f>IF($E111="","",COUNTIF(EMP_Livre,$E111))</f>
        <v/>
      </c>
      <c r="Q111" s="130">
        <f>IF($E111="","",IF($O111&lt;=0,"Indisponible",IF(AND($O111=1,$L111&gt;1),"Dernier exemplaire","Disponible")))</f>
        <v/>
      </c>
      <c r="S111">
        <f>IF($E111="","",$P111+ROW()/100000)</f>
        <v/>
      </c>
      <c r="T111">
        <f>IF(OR(Q_Rech="",$E111=""),"",IF(ISNUMBER(SEARCH(Q_Rech,$E111&amp;" "&amp;$F111&amp;" "&amp;$G111&amp;" "&amp;$H111&amp;" "&amp;$I111)),COUNT($T$6:$T110)+1,""))</f>
        <v/>
      </c>
      <c r="U111">
        <f>IF($E111="","",IF(COUNTIFS(EMP_Livre,$E111,EMP_Date,"&gt;="&amp;R_Mois,EMP_Date,"&lt;"&amp;EDATE(R_Mois,1))=0,"",COUNTIFS(EMP_Livre,$E111,EMP_Date,"&gt;="&amp;R_Mois,EMP_Date,"&lt;"&amp;EDATE(R_Mois,1))+ROW()/100000))</f>
        <v/>
      </c>
    </row>
    <row r="112" ht="21" customHeight="1">
      <c r="A112" s="1" t="n"/>
      <c r="B112" s="1" t="n"/>
      <c r="C112" s="2" t="n"/>
      <c r="E112" s="127" t="n"/>
      <c r="F112" s="127" t="n"/>
      <c r="G112" s="127" t="n"/>
      <c r="H112" s="127" t="n"/>
      <c r="I112" s="127" t="n"/>
      <c r="J112" s="127" t="n"/>
      <c r="K112" s="128" t="n"/>
      <c r="L112" s="128" t="n"/>
      <c r="M112" s="127" t="n"/>
      <c r="N112" s="129">
        <f>IF($E112="","",COUNTIFS(EMP_Livre,$E112,EMP_Retour,""))</f>
        <v/>
      </c>
      <c r="O112" s="129">
        <f>IF($E112="","",$L112-$N112)</f>
        <v/>
      </c>
      <c r="P112" s="129">
        <f>IF($E112="","",COUNTIF(EMP_Livre,$E112))</f>
        <v/>
      </c>
      <c r="Q112" s="130">
        <f>IF($E112="","",IF($O112&lt;=0,"Indisponible",IF(AND($O112=1,$L112&gt;1),"Dernier exemplaire","Disponible")))</f>
        <v/>
      </c>
      <c r="S112">
        <f>IF($E112="","",$P112+ROW()/100000)</f>
        <v/>
      </c>
      <c r="T112">
        <f>IF(OR(Q_Rech="",$E112=""),"",IF(ISNUMBER(SEARCH(Q_Rech,$E112&amp;" "&amp;$F112&amp;" "&amp;$G112&amp;" "&amp;$H112&amp;" "&amp;$I112)),COUNT($T$6:$T111)+1,""))</f>
        <v/>
      </c>
      <c r="U112">
        <f>IF($E112="","",IF(COUNTIFS(EMP_Livre,$E112,EMP_Date,"&gt;="&amp;R_Mois,EMP_Date,"&lt;"&amp;EDATE(R_Mois,1))=0,"",COUNTIFS(EMP_Livre,$E112,EMP_Date,"&gt;="&amp;R_Mois,EMP_Date,"&lt;"&amp;EDATE(R_Mois,1))+ROW()/100000))</f>
        <v/>
      </c>
    </row>
    <row r="113" ht="21" customHeight="1">
      <c r="A113" s="1" t="n"/>
      <c r="B113" s="1" t="n"/>
      <c r="C113" s="2" t="n"/>
      <c r="E113" s="127" t="n"/>
      <c r="F113" s="127" t="n"/>
      <c r="G113" s="127" t="n"/>
      <c r="H113" s="127" t="n"/>
      <c r="I113" s="127" t="n"/>
      <c r="J113" s="127" t="n"/>
      <c r="K113" s="128" t="n"/>
      <c r="L113" s="128" t="n"/>
      <c r="M113" s="127" t="n"/>
      <c r="N113" s="129">
        <f>IF($E113="","",COUNTIFS(EMP_Livre,$E113,EMP_Retour,""))</f>
        <v/>
      </c>
      <c r="O113" s="129">
        <f>IF($E113="","",$L113-$N113)</f>
        <v/>
      </c>
      <c r="P113" s="129">
        <f>IF($E113="","",COUNTIF(EMP_Livre,$E113))</f>
        <v/>
      </c>
      <c r="Q113" s="130">
        <f>IF($E113="","",IF($O113&lt;=0,"Indisponible",IF(AND($O113=1,$L113&gt;1),"Dernier exemplaire","Disponible")))</f>
        <v/>
      </c>
      <c r="S113">
        <f>IF($E113="","",$P113+ROW()/100000)</f>
        <v/>
      </c>
      <c r="T113">
        <f>IF(OR(Q_Rech="",$E113=""),"",IF(ISNUMBER(SEARCH(Q_Rech,$E113&amp;" "&amp;$F113&amp;" "&amp;$G113&amp;" "&amp;$H113&amp;" "&amp;$I113)),COUNT($T$6:$T112)+1,""))</f>
        <v/>
      </c>
      <c r="U113">
        <f>IF($E113="","",IF(COUNTIFS(EMP_Livre,$E113,EMP_Date,"&gt;="&amp;R_Mois,EMP_Date,"&lt;"&amp;EDATE(R_Mois,1))=0,"",COUNTIFS(EMP_Livre,$E113,EMP_Date,"&gt;="&amp;R_Mois,EMP_Date,"&lt;"&amp;EDATE(R_Mois,1))+ROW()/100000))</f>
        <v/>
      </c>
    </row>
    <row r="114" ht="21" customHeight="1">
      <c r="A114" s="1" t="n"/>
      <c r="B114" s="1" t="n"/>
      <c r="C114" s="2" t="n"/>
      <c r="E114" s="127" t="n"/>
      <c r="F114" s="127" t="n"/>
      <c r="G114" s="127" t="n"/>
      <c r="H114" s="127" t="n"/>
      <c r="I114" s="127" t="n"/>
      <c r="J114" s="127" t="n"/>
      <c r="K114" s="128" t="n"/>
      <c r="L114" s="128" t="n"/>
      <c r="M114" s="127" t="n"/>
      <c r="N114" s="129">
        <f>IF($E114="","",COUNTIFS(EMP_Livre,$E114,EMP_Retour,""))</f>
        <v/>
      </c>
      <c r="O114" s="129">
        <f>IF($E114="","",$L114-$N114)</f>
        <v/>
      </c>
      <c r="P114" s="129">
        <f>IF($E114="","",COUNTIF(EMP_Livre,$E114))</f>
        <v/>
      </c>
      <c r="Q114" s="130">
        <f>IF($E114="","",IF($O114&lt;=0,"Indisponible",IF(AND($O114=1,$L114&gt;1),"Dernier exemplaire","Disponible")))</f>
        <v/>
      </c>
      <c r="S114">
        <f>IF($E114="","",$P114+ROW()/100000)</f>
        <v/>
      </c>
      <c r="T114">
        <f>IF(OR(Q_Rech="",$E114=""),"",IF(ISNUMBER(SEARCH(Q_Rech,$E114&amp;" "&amp;$F114&amp;" "&amp;$G114&amp;" "&amp;$H114&amp;" "&amp;$I114)),COUNT($T$6:$T113)+1,""))</f>
        <v/>
      </c>
      <c r="U114">
        <f>IF($E114="","",IF(COUNTIFS(EMP_Livre,$E114,EMP_Date,"&gt;="&amp;R_Mois,EMP_Date,"&lt;"&amp;EDATE(R_Mois,1))=0,"",COUNTIFS(EMP_Livre,$E114,EMP_Date,"&gt;="&amp;R_Mois,EMP_Date,"&lt;"&amp;EDATE(R_Mois,1))+ROW()/100000))</f>
        <v/>
      </c>
    </row>
    <row r="115" ht="21" customHeight="1">
      <c r="A115" s="1" t="n"/>
      <c r="B115" s="1" t="n"/>
      <c r="C115" s="2" t="n"/>
      <c r="E115" s="127" t="n"/>
      <c r="F115" s="127" t="n"/>
      <c r="G115" s="127" t="n"/>
      <c r="H115" s="127" t="n"/>
      <c r="I115" s="127" t="n"/>
      <c r="J115" s="127" t="n"/>
      <c r="K115" s="128" t="n"/>
      <c r="L115" s="128" t="n"/>
      <c r="M115" s="127" t="n"/>
      <c r="N115" s="129">
        <f>IF($E115="","",COUNTIFS(EMP_Livre,$E115,EMP_Retour,""))</f>
        <v/>
      </c>
      <c r="O115" s="129">
        <f>IF($E115="","",$L115-$N115)</f>
        <v/>
      </c>
      <c r="P115" s="129">
        <f>IF($E115="","",COUNTIF(EMP_Livre,$E115))</f>
        <v/>
      </c>
      <c r="Q115" s="130">
        <f>IF($E115="","",IF($O115&lt;=0,"Indisponible",IF(AND($O115=1,$L115&gt;1),"Dernier exemplaire","Disponible")))</f>
        <v/>
      </c>
      <c r="S115">
        <f>IF($E115="","",$P115+ROW()/100000)</f>
        <v/>
      </c>
      <c r="T115">
        <f>IF(OR(Q_Rech="",$E115=""),"",IF(ISNUMBER(SEARCH(Q_Rech,$E115&amp;" "&amp;$F115&amp;" "&amp;$G115&amp;" "&amp;$H115&amp;" "&amp;$I115)),COUNT($T$6:$T114)+1,""))</f>
        <v/>
      </c>
      <c r="U115">
        <f>IF($E115="","",IF(COUNTIFS(EMP_Livre,$E115,EMP_Date,"&gt;="&amp;R_Mois,EMP_Date,"&lt;"&amp;EDATE(R_Mois,1))=0,"",COUNTIFS(EMP_Livre,$E115,EMP_Date,"&gt;="&amp;R_Mois,EMP_Date,"&lt;"&amp;EDATE(R_Mois,1))+ROW()/100000))</f>
        <v/>
      </c>
    </row>
    <row r="116" ht="21" customHeight="1">
      <c r="A116" s="1" t="n"/>
      <c r="B116" s="1" t="n"/>
      <c r="C116" s="2" t="n"/>
      <c r="E116" s="127" t="n"/>
      <c r="F116" s="127" t="n"/>
      <c r="G116" s="127" t="n"/>
      <c r="H116" s="127" t="n"/>
      <c r="I116" s="127" t="n"/>
      <c r="J116" s="127" t="n"/>
      <c r="K116" s="128" t="n"/>
      <c r="L116" s="128" t="n"/>
      <c r="M116" s="127" t="n"/>
      <c r="N116" s="129">
        <f>IF($E116="","",COUNTIFS(EMP_Livre,$E116,EMP_Retour,""))</f>
        <v/>
      </c>
      <c r="O116" s="129">
        <f>IF($E116="","",$L116-$N116)</f>
        <v/>
      </c>
      <c r="P116" s="129">
        <f>IF($E116="","",COUNTIF(EMP_Livre,$E116))</f>
        <v/>
      </c>
      <c r="Q116" s="130">
        <f>IF($E116="","",IF($O116&lt;=0,"Indisponible",IF(AND($O116=1,$L116&gt;1),"Dernier exemplaire","Disponible")))</f>
        <v/>
      </c>
      <c r="S116">
        <f>IF($E116="","",$P116+ROW()/100000)</f>
        <v/>
      </c>
      <c r="T116">
        <f>IF(OR(Q_Rech="",$E116=""),"",IF(ISNUMBER(SEARCH(Q_Rech,$E116&amp;" "&amp;$F116&amp;" "&amp;$G116&amp;" "&amp;$H116&amp;" "&amp;$I116)),COUNT($T$6:$T115)+1,""))</f>
        <v/>
      </c>
      <c r="U116">
        <f>IF($E116="","",IF(COUNTIFS(EMP_Livre,$E116,EMP_Date,"&gt;="&amp;R_Mois,EMP_Date,"&lt;"&amp;EDATE(R_Mois,1))=0,"",COUNTIFS(EMP_Livre,$E116,EMP_Date,"&gt;="&amp;R_Mois,EMP_Date,"&lt;"&amp;EDATE(R_Mois,1))+ROW()/100000))</f>
        <v/>
      </c>
    </row>
    <row r="117" ht="21" customHeight="1">
      <c r="A117" s="1" t="n"/>
      <c r="B117" s="1" t="n"/>
      <c r="C117" s="2" t="n"/>
      <c r="E117" s="127" t="n"/>
      <c r="F117" s="127" t="n"/>
      <c r="G117" s="127" t="n"/>
      <c r="H117" s="127" t="n"/>
      <c r="I117" s="127" t="n"/>
      <c r="J117" s="127" t="n"/>
      <c r="K117" s="128" t="n"/>
      <c r="L117" s="128" t="n"/>
      <c r="M117" s="127" t="n"/>
      <c r="N117" s="129">
        <f>IF($E117="","",COUNTIFS(EMP_Livre,$E117,EMP_Retour,""))</f>
        <v/>
      </c>
      <c r="O117" s="129">
        <f>IF($E117="","",$L117-$N117)</f>
        <v/>
      </c>
      <c r="P117" s="129">
        <f>IF($E117="","",COUNTIF(EMP_Livre,$E117))</f>
        <v/>
      </c>
      <c r="Q117" s="130">
        <f>IF($E117="","",IF($O117&lt;=0,"Indisponible",IF(AND($O117=1,$L117&gt;1),"Dernier exemplaire","Disponible")))</f>
        <v/>
      </c>
      <c r="S117">
        <f>IF($E117="","",$P117+ROW()/100000)</f>
        <v/>
      </c>
      <c r="T117">
        <f>IF(OR(Q_Rech="",$E117=""),"",IF(ISNUMBER(SEARCH(Q_Rech,$E117&amp;" "&amp;$F117&amp;" "&amp;$G117&amp;" "&amp;$H117&amp;" "&amp;$I117)),COUNT($T$6:$T116)+1,""))</f>
        <v/>
      </c>
      <c r="U117">
        <f>IF($E117="","",IF(COUNTIFS(EMP_Livre,$E117,EMP_Date,"&gt;="&amp;R_Mois,EMP_Date,"&lt;"&amp;EDATE(R_Mois,1))=0,"",COUNTIFS(EMP_Livre,$E117,EMP_Date,"&gt;="&amp;R_Mois,EMP_Date,"&lt;"&amp;EDATE(R_Mois,1))+ROW()/100000))</f>
        <v/>
      </c>
    </row>
    <row r="118" ht="21" customHeight="1">
      <c r="A118" s="1" t="n"/>
      <c r="B118" s="1" t="n"/>
      <c r="C118" s="2" t="n"/>
      <c r="E118" s="127" t="n"/>
      <c r="F118" s="127" t="n"/>
      <c r="G118" s="127" t="n"/>
      <c r="H118" s="127" t="n"/>
      <c r="I118" s="127" t="n"/>
      <c r="J118" s="127" t="n"/>
      <c r="K118" s="128" t="n"/>
      <c r="L118" s="128" t="n"/>
      <c r="M118" s="127" t="n"/>
      <c r="N118" s="129">
        <f>IF($E118="","",COUNTIFS(EMP_Livre,$E118,EMP_Retour,""))</f>
        <v/>
      </c>
      <c r="O118" s="129">
        <f>IF($E118="","",$L118-$N118)</f>
        <v/>
      </c>
      <c r="P118" s="129">
        <f>IF($E118="","",COUNTIF(EMP_Livre,$E118))</f>
        <v/>
      </c>
      <c r="Q118" s="130">
        <f>IF($E118="","",IF($O118&lt;=0,"Indisponible",IF(AND($O118=1,$L118&gt;1),"Dernier exemplaire","Disponible")))</f>
        <v/>
      </c>
      <c r="S118">
        <f>IF($E118="","",$P118+ROW()/100000)</f>
        <v/>
      </c>
      <c r="T118">
        <f>IF(OR(Q_Rech="",$E118=""),"",IF(ISNUMBER(SEARCH(Q_Rech,$E118&amp;" "&amp;$F118&amp;" "&amp;$G118&amp;" "&amp;$H118&amp;" "&amp;$I118)),COUNT($T$6:$T117)+1,""))</f>
        <v/>
      </c>
      <c r="U118">
        <f>IF($E118="","",IF(COUNTIFS(EMP_Livre,$E118,EMP_Date,"&gt;="&amp;R_Mois,EMP_Date,"&lt;"&amp;EDATE(R_Mois,1))=0,"",COUNTIFS(EMP_Livre,$E118,EMP_Date,"&gt;="&amp;R_Mois,EMP_Date,"&lt;"&amp;EDATE(R_Mois,1))+ROW()/100000))</f>
        <v/>
      </c>
    </row>
    <row r="119" ht="21" customHeight="1">
      <c r="A119" s="1" t="n"/>
      <c r="B119" s="1" t="n"/>
      <c r="C119" s="2" t="n"/>
      <c r="E119" s="127" t="n"/>
      <c r="F119" s="127" t="n"/>
      <c r="G119" s="127" t="n"/>
      <c r="H119" s="127" t="n"/>
      <c r="I119" s="127" t="n"/>
      <c r="J119" s="127" t="n"/>
      <c r="K119" s="128" t="n"/>
      <c r="L119" s="128" t="n"/>
      <c r="M119" s="127" t="n"/>
      <c r="N119" s="129">
        <f>IF($E119="","",COUNTIFS(EMP_Livre,$E119,EMP_Retour,""))</f>
        <v/>
      </c>
      <c r="O119" s="129">
        <f>IF($E119="","",$L119-$N119)</f>
        <v/>
      </c>
      <c r="P119" s="129">
        <f>IF($E119="","",COUNTIF(EMP_Livre,$E119))</f>
        <v/>
      </c>
      <c r="Q119" s="130">
        <f>IF($E119="","",IF($O119&lt;=0,"Indisponible",IF(AND($O119=1,$L119&gt;1),"Dernier exemplaire","Disponible")))</f>
        <v/>
      </c>
      <c r="S119">
        <f>IF($E119="","",$P119+ROW()/100000)</f>
        <v/>
      </c>
      <c r="T119">
        <f>IF(OR(Q_Rech="",$E119=""),"",IF(ISNUMBER(SEARCH(Q_Rech,$E119&amp;" "&amp;$F119&amp;" "&amp;$G119&amp;" "&amp;$H119&amp;" "&amp;$I119)),COUNT($T$6:$T118)+1,""))</f>
        <v/>
      </c>
      <c r="U119">
        <f>IF($E119="","",IF(COUNTIFS(EMP_Livre,$E119,EMP_Date,"&gt;="&amp;R_Mois,EMP_Date,"&lt;"&amp;EDATE(R_Mois,1))=0,"",COUNTIFS(EMP_Livre,$E119,EMP_Date,"&gt;="&amp;R_Mois,EMP_Date,"&lt;"&amp;EDATE(R_Mois,1))+ROW()/100000))</f>
        <v/>
      </c>
    </row>
    <row r="120" ht="21" customHeight="1">
      <c r="A120" s="1" t="n"/>
      <c r="B120" s="1" t="n"/>
      <c r="C120" s="2" t="n"/>
      <c r="E120" s="127" t="n"/>
      <c r="F120" s="127" t="n"/>
      <c r="G120" s="127" t="n"/>
      <c r="H120" s="127" t="n"/>
      <c r="I120" s="127" t="n"/>
      <c r="J120" s="127" t="n"/>
      <c r="K120" s="128" t="n"/>
      <c r="L120" s="128" t="n"/>
      <c r="M120" s="127" t="n"/>
      <c r="N120" s="129">
        <f>IF($E120="","",COUNTIFS(EMP_Livre,$E120,EMP_Retour,""))</f>
        <v/>
      </c>
      <c r="O120" s="129">
        <f>IF($E120="","",$L120-$N120)</f>
        <v/>
      </c>
      <c r="P120" s="129">
        <f>IF($E120="","",COUNTIF(EMP_Livre,$E120))</f>
        <v/>
      </c>
      <c r="Q120" s="130">
        <f>IF($E120="","",IF($O120&lt;=0,"Indisponible",IF(AND($O120=1,$L120&gt;1),"Dernier exemplaire","Disponible")))</f>
        <v/>
      </c>
      <c r="S120">
        <f>IF($E120="","",$P120+ROW()/100000)</f>
        <v/>
      </c>
      <c r="T120">
        <f>IF(OR(Q_Rech="",$E120=""),"",IF(ISNUMBER(SEARCH(Q_Rech,$E120&amp;" "&amp;$F120&amp;" "&amp;$G120&amp;" "&amp;$H120&amp;" "&amp;$I120)),COUNT($T$6:$T119)+1,""))</f>
        <v/>
      </c>
      <c r="U120">
        <f>IF($E120="","",IF(COUNTIFS(EMP_Livre,$E120,EMP_Date,"&gt;="&amp;R_Mois,EMP_Date,"&lt;"&amp;EDATE(R_Mois,1))=0,"",COUNTIFS(EMP_Livre,$E120,EMP_Date,"&gt;="&amp;R_Mois,EMP_Date,"&lt;"&amp;EDATE(R_Mois,1))+ROW()/100000))</f>
        <v/>
      </c>
    </row>
    <row r="121" ht="21" customHeight="1">
      <c r="A121" s="1" t="n"/>
      <c r="B121" s="1" t="n"/>
      <c r="C121" s="2" t="n"/>
      <c r="E121" s="127" t="n"/>
      <c r="F121" s="127" t="n"/>
      <c r="G121" s="127" t="n"/>
      <c r="H121" s="127" t="n"/>
      <c r="I121" s="127" t="n"/>
      <c r="J121" s="127" t="n"/>
      <c r="K121" s="128" t="n"/>
      <c r="L121" s="128" t="n"/>
      <c r="M121" s="127" t="n"/>
      <c r="N121" s="129">
        <f>IF($E121="","",COUNTIFS(EMP_Livre,$E121,EMP_Retour,""))</f>
        <v/>
      </c>
      <c r="O121" s="129">
        <f>IF($E121="","",$L121-$N121)</f>
        <v/>
      </c>
      <c r="P121" s="129">
        <f>IF($E121="","",COUNTIF(EMP_Livre,$E121))</f>
        <v/>
      </c>
      <c r="Q121" s="130">
        <f>IF($E121="","",IF($O121&lt;=0,"Indisponible",IF(AND($O121=1,$L121&gt;1),"Dernier exemplaire","Disponible")))</f>
        <v/>
      </c>
      <c r="S121">
        <f>IF($E121="","",$P121+ROW()/100000)</f>
        <v/>
      </c>
      <c r="T121">
        <f>IF(OR(Q_Rech="",$E121=""),"",IF(ISNUMBER(SEARCH(Q_Rech,$E121&amp;" "&amp;$F121&amp;" "&amp;$G121&amp;" "&amp;$H121&amp;" "&amp;$I121)),COUNT($T$6:$T120)+1,""))</f>
        <v/>
      </c>
      <c r="U121">
        <f>IF($E121="","",IF(COUNTIFS(EMP_Livre,$E121,EMP_Date,"&gt;="&amp;R_Mois,EMP_Date,"&lt;"&amp;EDATE(R_Mois,1))=0,"",COUNTIFS(EMP_Livre,$E121,EMP_Date,"&gt;="&amp;R_Mois,EMP_Date,"&lt;"&amp;EDATE(R_Mois,1))+ROW()/100000))</f>
        <v/>
      </c>
    </row>
    <row r="122" ht="21" customHeight="1">
      <c r="A122" s="1" t="n"/>
      <c r="B122" s="1" t="n"/>
      <c r="C122" s="2" t="n"/>
      <c r="E122" s="127" t="n"/>
      <c r="F122" s="127" t="n"/>
      <c r="G122" s="127" t="n"/>
      <c r="H122" s="127" t="n"/>
      <c r="I122" s="127" t="n"/>
      <c r="J122" s="127" t="n"/>
      <c r="K122" s="128" t="n"/>
      <c r="L122" s="128" t="n"/>
      <c r="M122" s="127" t="n"/>
      <c r="N122" s="129">
        <f>IF($E122="","",COUNTIFS(EMP_Livre,$E122,EMP_Retour,""))</f>
        <v/>
      </c>
      <c r="O122" s="129">
        <f>IF($E122="","",$L122-$N122)</f>
        <v/>
      </c>
      <c r="P122" s="129">
        <f>IF($E122="","",COUNTIF(EMP_Livre,$E122))</f>
        <v/>
      </c>
      <c r="Q122" s="130">
        <f>IF($E122="","",IF($O122&lt;=0,"Indisponible",IF(AND($O122=1,$L122&gt;1),"Dernier exemplaire","Disponible")))</f>
        <v/>
      </c>
      <c r="S122">
        <f>IF($E122="","",$P122+ROW()/100000)</f>
        <v/>
      </c>
      <c r="T122">
        <f>IF(OR(Q_Rech="",$E122=""),"",IF(ISNUMBER(SEARCH(Q_Rech,$E122&amp;" "&amp;$F122&amp;" "&amp;$G122&amp;" "&amp;$H122&amp;" "&amp;$I122)),COUNT($T$6:$T121)+1,""))</f>
        <v/>
      </c>
      <c r="U122">
        <f>IF($E122="","",IF(COUNTIFS(EMP_Livre,$E122,EMP_Date,"&gt;="&amp;R_Mois,EMP_Date,"&lt;"&amp;EDATE(R_Mois,1))=0,"",COUNTIFS(EMP_Livre,$E122,EMP_Date,"&gt;="&amp;R_Mois,EMP_Date,"&lt;"&amp;EDATE(R_Mois,1))+ROW()/100000))</f>
        <v/>
      </c>
    </row>
    <row r="123" ht="21" customHeight="1">
      <c r="A123" s="1" t="n"/>
      <c r="B123" s="1" t="n"/>
      <c r="C123" s="2" t="n"/>
      <c r="E123" s="127" t="n"/>
      <c r="F123" s="127" t="n"/>
      <c r="G123" s="127" t="n"/>
      <c r="H123" s="127" t="n"/>
      <c r="I123" s="127" t="n"/>
      <c r="J123" s="127" t="n"/>
      <c r="K123" s="128" t="n"/>
      <c r="L123" s="128" t="n"/>
      <c r="M123" s="127" t="n"/>
      <c r="N123" s="129">
        <f>IF($E123="","",COUNTIFS(EMP_Livre,$E123,EMP_Retour,""))</f>
        <v/>
      </c>
      <c r="O123" s="129">
        <f>IF($E123="","",$L123-$N123)</f>
        <v/>
      </c>
      <c r="P123" s="129">
        <f>IF($E123="","",COUNTIF(EMP_Livre,$E123))</f>
        <v/>
      </c>
      <c r="Q123" s="130">
        <f>IF($E123="","",IF($O123&lt;=0,"Indisponible",IF(AND($O123=1,$L123&gt;1),"Dernier exemplaire","Disponible")))</f>
        <v/>
      </c>
      <c r="S123">
        <f>IF($E123="","",$P123+ROW()/100000)</f>
        <v/>
      </c>
      <c r="T123">
        <f>IF(OR(Q_Rech="",$E123=""),"",IF(ISNUMBER(SEARCH(Q_Rech,$E123&amp;" "&amp;$F123&amp;" "&amp;$G123&amp;" "&amp;$H123&amp;" "&amp;$I123)),COUNT($T$6:$T122)+1,""))</f>
        <v/>
      </c>
      <c r="U123">
        <f>IF($E123="","",IF(COUNTIFS(EMP_Livre,$E123,EMP_Date,"&gt;="&amp;R_Mois,EMP_Date,"&lt;"&amp;EDATE(R_Mois,1))=0,"",COUNTIFS(EMP_Livre,$E123,EMP_Date,"&gt;="&amp;R_Mois,EMP_Date,"&lt;"&amp;EDATE(R_Mois,1))+ROW()/100000))</f>
        <v/>
      </c>
    </row>
    <row r="124" ht="21" customHeight="1">
      <c r="A124" s="1" t="n"/>
      <c r="B124" s="1" t="n"/>
      <c r="C124" s="2" t="n"/>
      <c r="E124" s="127" t="n"/>
      <c r="F124" s="127" t="n"/>
      <c r="G124" s="127" t="n"/>
      <c r="H124" s="127" t="n"/>
      <c r="I124" s="127" t="n"/>
      <c r="J124" s="127" t="n"/>
      <c r="K124" s="128" t="n"/>
      <c r="L124" s="128" t="n"/>
      <c r="M124" s="127" t="n"/>
      <c r="N124" s="129">
        <f>IF($E124="","",COUNTIFS(EMP_Livre,$E124,EMP_Retour,""))</f>
        <v/>
      </c>
      <c r="O124" s="129">
        <f>IF($E124="","",$L124-$N124)</f>
        <v/>
      </c>
      <c r="P124" s="129">
        <f>IF($E124="","",COUNTIF(EMP_Livre,$E124))</f>
        <v/>
      </c>
      <c r="Q124" s="130">
        <f>IF($E124="","",IF($O124&lt;=0,"Indisponible",IF(AND($O124=1,$L124&gt;1),"Dernier exemplaire","Disponible")))</f>
        <v/>
      </c>
      <c r="S124">
        <f>IF($E124="","",$P124+ROW()/100000)</f>
        <v/>
      </c>
      <c r="T124">
        <f>IF(OR(Q_Rech="",$E124=""),"",IF(ISNUMBER(SEARCH(Q_Rech,$E124&amp;" "&amp;$F124&amp;" "&amp;$G124&amp;" "&amp;$H124&amp;" "&amp;$I124)),COUNT($T$6:$T123)+1,""))</f>
        <v/>
      </c>
      <c r="U124">
        <f>IF($E124="","",IF(COUNTIFS(EMP_Livre,$E124,EMP_Date,"&gt;="&amp;R_Mois,EMP_Date,"&lt;"&amp;EDATE(R_Mois,1))=0,"",COUNTIFS(EMP_Livre,$E124,EMP_Date,"&gt;="&amp;R_Mois,EMP_Date,"&lt;"&amp;EDATE(R_Mois,1))+ROW()/100000))</f>
        <v/>
      </c>
    </row>
    <row r="125" ht="21" customHeight="1">
      <c r="A125" s="1" t="n"/>
      <c r="B125" s="1" t="n"/>
      <c r="C125" s="2" t="n"/>
      <c r="E125" s="127" t="n"/>
      <c r="F125" s="127" t="n"/>
      <c r="G125" s="127" t="n"/>
      <c r="H125" s="127" t="n"/>
      <c r="I125" s="127" t="n"/>
      <c r="J125" s="127" t="n"/>
      <c r="K125" s="128" t="n"/>
      <c r="L125" s="128" t="n"/>
      <c r="M125" s="127" t="n"/>
      <c r="N125" s="129">
        <f>IF($E125="","",COUNTIFS(EMP_Livre,$E125,EMP_Retour,""))</f>
        <v/>
      </c>
      <c r="O125" s="129">
        <f>IF($E125="","",$L125-$N125)</f>
        <v/>
      </c>
      <c r="P125" s="129">
        <f>IF($E125="","",COUNTIF(EMP_Livre,$E125))</f>
        <v/>
      </c>
      <c r="Q125" s="130">
        <f>IF($E125="","",IF($O125&lt;=0,"Indisponible",IF(AND($O125=1,$L125&gt;1),"Dernier exemplaire","Disponible")))</f>
        <v/>
      </c>
      <c r="S125">
        <f>IF($E125="","",$P125+ROW()/100000)</f>
        <v/>
      </c>
      <c r="T125">
        <f>IF(OR(Q_Rech="",$E125=""),"",IF(ISNUMBER(SEARCH(Q_Rech,$E125&amp;" "&amp;$F125&amp;" "&amp;$G125&amp;" "&amp;$H125&amp;" "&amp;$I125)),COUNT($T$6:$T124)+1,""))</f>
        <v/>
      </c>
      <c r="U125">
        <f>IF($E125="","",IF(COUNTIFS(EMP_Livre,$E125,EMP_Date,"&gt;="&amp;R_Mois,EMP_Date,"&lt;"&amp;EDATE(R_Mois,1))=0,"",COUNTIFS(EMP_Livre,$E125,EMP_Date,"&gt;="&amp;R_Mois,EMP_Date,"&lt;"&amp;EDATE(R_Mois,1))+ROW()/100000))</f>
        <v/>
      </c>
    </row>
    <row r="126" ht="21" customHeight="1">
      <c r="A126" s="1" t="n"/>
      <c r="B126" s="1" t="n"/>
      <c r="C126" s="2" t="n"/>
      <c r="E126" s="127" t="n"/>
      <c r="F126" s="127" t="n"/>
      <c r="G126" s="127" t="n"/>
      <c r="H126" s="127" t="n"/>
      <c r="I126" s="127" t="n"/>
      <c r="J126" s="127" t="n"/>
      <c r="K126" s="128" t="n"/>
      <c r="L126" s="128" t="n"/>
      <c r="M126" s="127" t="n"/>
      <c r="N126" s="129">
        <f>IF($E126="","",COUNTIFS(EMP_Livre,$E126,EMP_Retour,""))</f>
        <v/>
      </c>
      <c r="O126" s="129">
        <f>IF($E126="","",$L126-$N126)</f>
        <v/>
      </c>
      <c r="P126" s="129">
        <f>IF($E126="","",COUNTIF(EMP_Livre,$E126))</f>
        <v/>
      </c>
      <c r="Q126" s="130">
        <f>IF($E126="","",IF($O126&lt;=0,"Indisponible",IF(AND($O126=1,$L126&gt;1),"Dernier exemplaire","Disponible")))</f>
        <v/>
      </c>
      <c r="S126">
        <f>IF($E126="","",$P126+ROW()/100000)</f>
        <v/>
      </c>
      <c r="T126">
        <f>IF(OR(Q_Rech="",$E126=""),"",IF(ISNUMBER(SEARCH(Q_Rech,$E126&amp;" "&amp;$F126&amp;" "&amp;$G126&amp;" "&amp;$H126&amp;" "&amp;$I126)),COUNT($T$6:$T125)+1,""))</f>
        <v/>
      </c>
      <c r="U126">
        <f>IF($E126="","",IF(COUNTIFS(EMP_Livre,$E126,EMP_Date,"&gt;="&amp;R_Mois,EMP_Date,"&lt;"&amp;EDATE(R_Mois,1))=0,"",COUNTIFS(EMP_Livre,$E126,EMP_Date,"&gt;="&amp;R_Mois,EMP_Date,"&lt;"&amp;EDATE(R_Mois,1))+ROW()/100000))</f>
        <v/>
      </c>
    </row>
    <row r="127" ht="21" customHeight="1">
      <c r="A127" s="1" t="n"/>
      <c r="B127" s="1" t="n"/>
      <c r="C127" s="2" t="n"/>
      <c r="E127" s="127" t="n"/>
      <c r="F127" s="127" t="n"/>
      <c r="G127" s="127" t="n"/>
      <c r="H127" s="127" t="n"/>
      <c r="I127" s="127" t="n"/>
      <c r="J127" s="127" t="n"/>
      <c r="K127" s="128" t="n"/>
      <c r="L127" s="128" t="n"/>
      <c r="M127" s="127" t="n"/>
      <c r="N127" s="129">
        <f>IF($E127="","",COUNTIFS(EMP_Livre,$E127,EMP_Retour,""))</f>
        <v/>
      </c>
      <c r="O127" s="129">
        <f>IF($E127="","",$L127-$N127)</f>
        <v/>
      </c>
      <c r="P127" s="129">
        <f>IF($E127="","",COUNTIF(EMP_Livre,$E127))</f>
        <v/>
      </c>
      <c r="Q127" s="130">
        <f>IF($E127="","",IF($O127&lt;=0,"Indisponible",IF(AND($O127=1,$L127&gt;1),"Dernier exemplaire","Disponible")))</f>
        <v/>
      </c>
      <c r="S127">
        <f>IF($E127="","",$P127+ROW()/100000)</f>
        <v/>
      </c>
      <c r="T127">
        <f>IF(OR(Q_Rech="",$E127=""),"",IF(ISNUMBER(SEARCH(Q_Rech,$E127&amp;" "&amp;$F127&amp;" "&amp;$G127&amp;" "&amp;$H127&amp;" "&amp;$I127)),COUNT($T$6:$T126)+1,""))</f>
        <v/>
      </c>
      <c r="U127">
        <f>IF($E127="","",IF(COUNTIFS(EMP_Livre,$E127,EMP_Date,"&gt;="&amp;R_Mois,EMP_Date,"&lt;"&amp;EDATE(R_Mois,1))=0,"",COUNTIFS(EMP_Livre,$E127,EMP_Date,"&gt;="&amp;R_Mois,EMP_Date,"&lt;"&amp;EDATE(R_Mois,1))+ROW()/100000))</f>
        <v/>
      </c>
    </row>
    <row r="128" ht="21" customHeight="1">
      <c r="A128" s="1" t="n"/>
      <c r="B128" s="1" t="n"/>
      <c r="C128" s="2" t="n"/>
      <c r="E128" s="127" t="n"/>
      <c r="F128" s="127" t="n"/>
      <c r="G128" s="127" t="n"/>
      <c r="H128" s="127" t="n"/>
      <c r="I128" s="127" t="n"/>
      <c r="J128" s="127" t="n"/>
      <c r="K128" s="128" t="n"/>
      <c r="L128" s="128" t="n"/>
      <c r="M128" s="127" t="n"/>
      <c r="N128" s="129">
        <f>IF($E128="","",COUNTIFS(EMP_Livre,$E128,EMP_Retour,""))</f>
        <v/>
      </c>
      <c r="O128" s="129">
        <f>IF($E128="","",$L128-$N128)</f>
        <v/>
      </c>
      <c r="P128" s="129">
        <f>IF($E128="","",COUNTIF(EMP_Livre,$E128))</f>
        <v/>
      </c>
      <c r="Q128" s="130">
        <f>IF($E128="","",IF($O128&lt;=0,"Indisponible",IF(AND($O128=1,$L128&gt;1),"Dernier exemplaire","Disponible")))</f>
        <v/>
      </c>
      <c r="S128">
        <f>IF($E128="","",$P128+ROW()/100000)</f>
        <v/>
      </c>
      <c r="T128">
        <f>IF(OR(Q_Rech="",$E128=""),"",IF(ISNUMBER(SEARCH(Q_Rech,$E128&amp;" "&amp;$F128&amp;" "&amp;$G128&amp;" "&amp;$H128&amp;" "&amp;$I128)),COUNT($T$6:$T127)+1,""))</f>
        <v/>
      </c>
      <c r="U128">
        <f>IF($E128="","",IF(COUNTIFS(EMP_Livre,$E128,EMP_Date,"&gt;="&amp;R_Mois,EMP_Date,"&lt;"&amp;EDATE(R_Mois,1))=0,"",COUNTIFS(EMP_Livre,$E128,EMP_Date,"&gt;="&amp;R_Mois,EMP_Date,"&lt;"&amp;EDATE(R_Mois,1))+ROW()/100000))</f>
        <v/>
      </c>
    </row>
    <row r="129" ht="21" customHeight="1">
      <c r="A129" s="1" t="n"/>
      <c r="B129" s="1" t="n"/>
      <c r="C129" s="2" t="n"/>
      <c r="E129" s="127" t="n"/>
      <c r="F129" s="127" t="n"/>
      <c r="G129" s="127" t="n"/>
      <c r="H129" s="127" t="n"/>
      <c r="I129" s="127" t="n"/>
      <c r="J129" s="127" t="n"/>
      <c r="K129" s="128" t="n"/>
      <c r="L129" s="128" t="n"/>
      <c r="M129" s="127" t="n"/>
      <c r="N129" s="129">
        <f>IF($E129="","",COUNTIFS(EMP_Livre,$E129,EMP_Retour,""))</f>
        <v/>
      </c>
      <c r="O129" s="129">
        <f>IF($E129="","",$L129-$N129)</f>
        <v/>
      </c>
      <c r="P129" s="129">
        <f>IF($E129="","",COUNTIF(EMP_Livre,$E129))</f>
        <v/>
      </c>
      <c r="Q129" s="130">
        <f>IF($E129="","",IF($O129&lt;=0,"Indisponible",IF(AND($O129=1,$L129&gt;1),"Dernier exemplaire","Disponible")))</f>
        <v/>
      </c>
      <c r="S129">
        <f>IF($E129="","",$P129+ROW()/100000)</f>
        <v/>
      </c>
      <c r="T129">
        <f>IF(OR(Q_Rech="",$E129=""),"",IF(ISNUMBER(SEARCH(Q_Rech,$E129&amp;" "&amp;$F129&amp;" "&amp;$G129&amp;" "&amp;$H129&amp;" "&amp;$I129)),COUNT($T$6:$T128)+1,""))</f>
        <v/>
      </c>
      <c r="U129">
        <f>IF($E129="","",IF(COUNTIFS(EMP_Livre,$E129,EMP_Date,"&gt;="&amp;R_Mois,EMP_Date,"&lt;"&amp;EDATE(R_Mois,1))=0,"",COUNTIFS(EMP_Livre,$E129,EMP_Date,"&gt;="&amp;R_Mois,EMP_Date,"&lt;"&amp;EDATE(R_Mois,1))+ROW()/100000))</f>
        <v/>
      </c>
    </row>
    <row r="130" ht="21" customHeight="1">
      <c r="A130" s="1" t="n"/>
      <c r="B130" s="1" t="n"/>
      <c r="C130" s="2" t="n"/>
      <c r="E130" s="127" t="n"/>
      <c r="F130" s="127" t="n"/>
      <c r="G130" s="127" t="n"/>
      <c r="H130" s="127" t="n"/>
      <c r="I130" s="127" t="n"/>
      <c r="J130" s="127" t="n"/>
      <c r="K130" s="128" t="n"/>
      <c r="L130" s="128" t="n"/>
      <c r="M130" s="127" t="n"/>
      <c r="N130" s="129">
        <f>IF($E130="","",COUNTIFS(EMP_Livre,$E130,EMP_Retour,""))</f>
        <v/>
      </c>
      <c r="O130" s="129">
        <f>IF($E130="","",$L130-$N130)</f>
        <v/>
      </c>
      <c r="P130" s="129">
        <f>IF($E130="","",COUNTIF(EMP_Livre,$E130))</f>
        <v/>
      </c>
      <c r="Q130" s="130">
        <f>IF($E130="","",IF($O130&lt;=0,"Indisponible",IF(AND($O130=1,$L130&gt;1),"Dernier exemplaire","Disponible")))</f>
        <v/>
      </c>
      <c r="S130">
        <f>IF($E130="","",$P130+ROW()/100000)</f>
        <v/>
      </c>
      <c r="T130">
        <f>IF(OR(Q_Rech="",$E130=""),"",IF(ISNUMBER(SEARCH(Q_Rech,$E130&amp;" "&amp;$F130&amp;" "&amp;$G130&amp;" "&amp;$H130&amp;" "&amp;$I130)),COUNT($T$6:$T129)+1,""))</f>
        <v/>
      </c>
      <c r="U130">
        <f>IF($E130="","",IF(COUNTIFS(EMP_Livre,$E130,EMP_Date,"&gt;="&amp;R_Mois,EMP_Date,"&lt;"&amp;EDATE(R_Mois,1))=0,"",COUNTIFS(EMP_Livre,$E130,EMP_Date,"&gt;="&amp;R_Mois,EMP_Date,"&lt;"&amp;EDATE(R_Mois,1))+ROW()/100000))</f>
        <v/>
      </c>
    </row>
    <row r="131" ht="21" customHeight="1">
      <c r="A131" s="1" t="n"/>
      <c r="B131" s="1" t="n"/>
      <c r="C131" s="2" t="n"/>
      <c r="E131" s="127" t="n"/>
      <c r="F131" s="127" t="n"/>
      <c r="G131" s="127" t="n"/>
      <c r="H131" s="127" t="n"/>
      <c r="I131" s="127" t="n"/>
      <c r="J131" s="127" t="n"/>
      <c r="K131" s="128" t="n"/>
      <c r="L131" s="128" t="n"/>
      <c r="M131" s="127" t="n"/>
      <c r="N131" s="129">
        <f>IF($E131="","",COUNTIFS(EMP_Livre,$E131,EMP_Retour,""))</f>
        <v/>
      </c>
      <c r="O131" s="129">
        <f>IF($E131="","",$L131-$N131)</f>
        <v/>
      </c>
      <c r="P131" s="129">
        <f>IF($E131="","",COUNTIF(EMP_Livre,$E131))</f>
        <v/>
      </c>
      <c r="Q131" s="130">
        <f>IF($E131="","",IF($O131&lt;=0,"Indisponible",IF(AND($O131=1,$L131&gt;1),"Dernier exemplaire","Disponible")))</f>
        <v/>
      </c>
      <c r="S131">
        <f>IF($E131="","",$P131+ROW()/100000)</f>
        <v/>
      </c>
      <c r="T131">
        <f>IF(OR(Q_Rech="",$E131=""),"",IF(ISNUMBER(SEARCH(Q_Rech,$E131&amp;" "&amp;$F131&amp;" "&amp;$G131&amp;" "&amp;$H131&amp;" "&amp;$I131)),COUNT($T$6:$T130)+1,""))</f>
        <v/>
      </c>
      <c r="U131">
        <f>IF($E131="","",IF(COUNTIFS(EMP_Livre,$E131,EMP_Date,"&gt;="&amp;R_Mois,EMP_Date,"&lt;"&amp;EDATE(R_Mois,1))=0,"",COUNTIFS(EMP_Livre,$E131,EMP_Date,"&gt;="&amp;R_Mois,EMP_Date,"&lt;"&amp;EDATE(R_Mois,1))+ROW()/100000))</f>
        <v/>
      </c>
    </row>
    <row r="132" ht="21" customHeight="1">
      <c r="A132" s="1" t="n"/>
      <c r="B132" s="1" t="n"/>
      <c r="C132" s="2" t="n"/>
      <c r="E132" s="127" t="n"/>
      <c r="F132" s="127" t="n"/>
      <c r="G132" s="127" t="n"/>
      <c r="H132" s="127" t="n"/>
      <c r="I132" s="127" t="n"/>
      <c r="J132" s="127" t="n"/>
      <c r="K132" s="128" t="n"/>
      <c r="L132" s="128" t="n"/>
      <c r="M132" s="127" t="n"/>
      <c r="N132" s="129">
        <f>IF($E132="","",COUNTIFS(EMP_Livre,$E132,EMP_Retour,""))</f>
        <v/>
      </c>
      <c r="O132" s="129">
        <f>IF($E132="","",$L132-$N132)</f>
        <v/>
      </c>
      <c r="P132" s="129">
        <f>IF($E132="","",COUNTIF(EMP_Livre,$E132))</f>
        <v/>
      </c>
      <c r="Q132" s="130">
        <f>IF($E132="","",IF($O132&lt;=0,"Indisponible",IF(AND($O132=1,$L132&gt;1),"Dernier exemplaire","Disponible")))</f>
        <v/>
      </c>
      <c r="S132">
        <f>IF($E132="","",$P132+ROW()/100000)</f>
        <v/>
      </c>
      <c r="T132">
        <f>IF(OR(Q_Rech="",$E132=""),"",IF(ISNUMBER(SEARCH(Q_Rech,$E132&amp;" "&amp;$F132&amp;" "&amp;$G132&amp;" "&amp;$H132&amp;" "&amp;$I132)),COUNT($T$6:$T131)+1,""))</f>
        <v/>
      </c>
      <c r="U132">
        <f>IF($E132="","",IF(COUNTIFS(EMP_Livre,$E132,EMP_Date,"&gt;="&amp;R_Mois,EMP_Date,"&lt;"&amp;EDATE(R_Mois,1))=0,"",COUNTIFS(EMP_Livre,$E132,EMP_Date,"&gt;="&amp;R_Mois,EMP_Date,"&lt;"&amp;EDATE(R_Mois,1))+ROW()/100000))</f>
        <v/>
      </c>
    </row>
    <row r="133" ht="21" customHeight="1">
      <c r="A133" s="1" t="n"/>
      <c r="B133" s="1" t="n"/>
      <c r="C133" s="2" t="n"/>
      <c r="E133" s="127" t="n"/>
      <c r="F133" s="127" t="n"/>
      <c r="G133" s="127" t="n"/>
      <c r="H133" s="127" t="n"/>
      <c r="I133" s="127" t="n"/>
      <c r="J133" s="127" t="n"/>
      <c r="K133" s="128" t="n"/>
      <c r="L133" s="128" t="n"/>
      <c r="M133" s="127" t="n"/>
      <c r="N133" s="129">
        <f>IF($E133="","",COUNTIFS(EMP_Livre,$E133,EMP_Retour,""))</f>
        <v/>
      </c>
      <c r="O133" s="129">
        <f>IF($E133="","",$L133-$N133)</f>
        <v/>
      </c>
      <c r="P133" s="129">
        <f>IF($E133="","",COUNTIF(EMP_Livre,$E133))</f>
        <v/>
      </c>
      <c r="Q133" s="130">
        <f>IF($E133="","",IF($O133&lt;=0,"Indisponible",IF(AND($O133=1,$L133&gt;1),"Dernier exemplaire","Disponible")))</f>
        <v/>
      </c>
      <c r="S133">
        <f>IF($E133="","",$P133+ROW()/100000)</f>
        <v/>
      </c>
      <c r="T133">
        <f>IF(OR(Q_Rech="",$E133=""),"",IF(ISNUMBER(SEARCH(Q_Rech,$E133&amp;" "&amp;$F133&amp;" "&amp;$G133&amp;" "&amp;$H133&amp;" "&amp;$I133)),COUNT($T$6:$T132)+1,""))</f>
        <v/>
      </c>
      <c r="U133">
        <f>IF($E133="","",IF(COUNTIFS(EMP_Livre,$E133,EMP_Date,"&gt;="&amp;R_Mois,EMP_Date,"&lt;"&amp;EDATE(R_Mois,1))=0,"",COUNTIFS(EMP_Livre,$E133,EMP_Date,"&gt;="&amp;R_Mois,EMP_Date,"&lt;"&amp;EDATE(R_Mois,1))+ROW()/100000))</f>
        <v/>
      </c>
    </row>
    <row r="134" ht="21" customHeight="1">
      <c r="A134" s="1" t="n"/>
      <c r="B134" s="1" t="n"/>
      <c r="C134" s="2" t="n"/>
      <c r="E134" s="127" t="n"/>
      <c r="F134" s="127" t="n"/>
      <c r="G134" s="127" t="n"/>
      <c r="H134" s="127" t="n"/>
      <c r="I134" s="127" t="n"/>
      <c r="J134" s="127" t="n"/>
      <c r="K134" s="128" t="n"/>
      <c r="L134" s="128" t="n"/>
      <c r="M134" s="127" t="n"/>
      <c r="N134" s="129">
        <f>IF($E134="","",COUNTIFS(EMP_Livre,$E134,EMP_Retour,""))</f>
        <v/>
      </c>
      <c r="O134" s="129">
        <f>IF($E134="","",$L134-$N134)</f>
        <v/>
      </c>
      <c r="P134" s="129">
        <f>IF($E134="","",COUNTIF(EMP_Livre,$E134))</f>
        <v/>
      </c>
      <c r="Q134" s="130">
        <f>IF($E134="","",IF($O134&lt;=0,"Indisponible",IF(AND($O134=1,$L134&gt;1),"Dernier exemplaire","Disponible")))</f>
        <v/>
      </c>
      <c r="S134">
        <f>IF($E134="","",$P134+ROW()/100000)</f>
        <v/>
      </c>
      <c r="T134">
        <f>IF(OR(Q_Rech="",$E134=""),"",IF(ISNUMBER(SEARCH(Q_Rech,$E134&amp;" "&amp;$F134&amp;" "&amp;$G134&amp;" "&amp;$H134&amp;" "&amp;$I134)),COUNT($T$6:$T133)+1,""))</f>
        <v/>
      </c>
      <c r="U134">
        <f>IF($E134="","",IF(COUNTIFS(EMP_Livre,$E134,EMP_Date,"&gt;="&amp;R_Mois,EMP_Date,"&lt;"&amp;EDATE(R_Mois,1))=0,"",COUNTIFS(EMP_Livre,$E134,EMP_Date,"&gt;="&amp;R_Mois,EMP_Date,"&lt;"&amp;EDATE(R_Mois,1))+ROW()/100000))</f>
        <v/>
      </c>
    </row>
    <row r="135" ht="21" customHeight="1">
      <c r="A135" s="1" t="n"/>
      <c r="B135" s="1" t="n"/>
      <c r="C135" s="2" t="n"/>
      <c r="E135" s="127" t="n"/>
      <c r="F135" s="127" t="n"/>
      <c r="G135" s="127" t="n"/>
      <c r="H135" s="127" t="n"/>
      <c r="I135" s="127" t="n"/>
      <c r="J135" s="127" t="n"/>
      <c r="K135" s="128" t="n"/>
      <c r="L135" s="128" t="n"/>
      <c r="M135" s="127" t="n"/>
      <c r="N135" s="129">
        <f>IF($E135="","",COUNTIFS(EMP_Livre,$E135,EMP_Retour,""))</f>
        <v/>
      </c>
      <c r="O135" s="129">
        <f>IF($E135="","",$L135-$N135)</f>
        <v/>
      </c>
      <c r="P135" s="129">
        <f>IF($E135="","",COUNTIF(EMP_Livre,$E135))</f>
        <v/>
      </c>
      <c r="Q135" s="130">
        <f>IF($E135="","",IF($O135&lt;=0,"Indisponible",IF(AND($O135=1,$L135&gt;1),"Dernier exemplaire","Disponible")))</f>
        <v/>
      </c>
      <c r="S135">
        <f>IF($E135="","",$P135+ROW()/100000)</f>
        <v/>
      </c>
      <c r="T135">
        <f>IF(OR(Q_Rech="",$E135=""),"",IF(ISNUMBER(SEARCH(Q_Rech,$E135&amp;" "&amp;$F135&amp;" "&amp;$G135&amp;" "&amp;$H135&amp;" "&amp;$I135)),COUNT($T$6:$T134)+1,""))</f>
        <v/>
      </c>
      <c r="U135">
        <f>IF($E135="","",IF(COUNTIFS(EMP_Livre,$E135,EMP_Date,"&gt;="&amp;R_Mois,EMP_Date,"&lt;"&amp;EDATE(R_Mois,1))=0,"",COUNTIFS(EMP_Livre,$E135,EMP_Date,"&gt;="&amp;R_Mois,EMP_Date,"&lt;"&amp;EDATE(R_Mois,1))+ROW()/100000))</f>
        <v/>
      </c>
    </row>
    <row r="136" ht="21" customHeight="1">
      <c r="A136" s="1" t="n"/>
      <c r="B136" s="1" t="n"/>
      <c r="C136" s="2" t="n"/>
      <c r="E136" s="127" t="n"/>
      <c r="F136" s="127" t="n"/>
      <c r="G136" s="127" t="n"/>
      <c r="H136" s="127" t="n"/>
      <c r="I136" s="127" t="n"/>
      <c r="J136" s="127" t="n"/>
      <c r="K136" s="128" t="n"/>
      <c r="L136" s="128" t="n"/>
      <c r="M136" s="127" t="n"/>
      <c r="N136" s="129">
        <f>IF($E136="","",COUNTIFS(EMP_Livre,$E136,EMP_Retour,""))</f>
        <v/>
      </c>
      <c r="O136" s="129">
        <f>IF($E136="","",$L136-$N136)</f>
        <v/>
      </c>
      <c r="P136" s="129">
        <f>IF($E136="","",COUNTIF(EMP_Livre,$E136))</f>
        <v/>
      </c>
      <c r="Q136" s="130">
        <f>IF($E136="","",IF($O136&lt;=0,"Indisponible",IF(AND($O136=1,$L136&gt;1),"Dernier exemplaire","Disponible")))</f>
        <v/>
      </c>
      <c r="S136">
        <f>IF($E136="","",$P136+ROW()/100000)</f>
        <v/>
      </c>
      <c r="T136">
        <f>IF(OR(Q_Rech="",$E136=""),"",IF(ISNUMBER(SEARCH(Q_Rech,$E136&amp;" "&amp;$F136&amp;" "&amp;$G136&amp;" "&amp;$H136&amp;" "&amp;$I136)),COUNT($T$6:$T135)+1,""))</f>
        <v/>
      </c>
      <c r="U136">
        <f>IF($E136="","",IF(COUNTIFS(EMP_Livre,$E136,EMP_Date,"&gt;="&amp;R_Mois,EMP_Date,"&lt;"&amp;EDATE(R_Mois,1))=0,"",COUNTIFS(EMP_Livre,$E136,EMP_Date,"&gt;="&amp;R_Mois,EMP_Date,"&lt;"&amp;EDATE(R_Mois,1))+ROW()/100000))</f>
        <v/>
      </c>
    </row>
    <row r="137" ht="21" customHeight="1">
      <c r="A137" s="1" t="n"/>
      <c r="B137" s="1" t="n"/>
      <c r="C137" s="2" t="n"/>
      <c r="E137" s="127" t="n"/>
      <c r="F137" s="127" t="n"/>
      <c r="G137" s="127" t="n"/>
      <c r="H137" s="127" t="n"/>
      <c r="I137" s="127" t="n"/>
      <c r="J137" s="127" t="n"/>
      <c r="K137" s="128" t="n"/>
      <c r="L137" s="128" t="n"/>
      <c r="M137" s="127" t="n"/>
      <c r="N137" s="129">
        <f>IF($E137="","",COUNTIFS(EMP_Livre,$E137,EMP_Retour,""))</f>
        <v/>
      </c>
      <c r="O137" s="129">
        <f>IF($E137="","",$L137-$N137)</f>
        <v/>
      </c>
      <c r="P137" s="129">
        <f>IF($E137="","",COUNTIF(EMP_Livre,$E137))</f>
        <v/>
      </c>
      <c r="Q137" s="130">
        <f>IF($E137="","",IF($O137&lt;=0,"Indisponible",IF(AND($O137=1,$L137&gt;1),"Dernier exemplaire","Disponible")))</f>
        <v/>
      </c>
      <c r="S137">
        <f>IF($E137="","",$P137+ROW()/100000)</f>
        <v/>
      </c>
      <c r="T137">
        <f>IF(OR(Q_Rech="",$E137=""),"",IF(ISNUMBER(SEARCH(Q_Rech,$E137&amp;" "&amp;$F137&amp;" "&amp;$G137&amp;" "&amp;$H137&amp;" "&amp;$I137)),COUNT($T$6:$T136)+1,""))</f>
        <v/>
      </c>
      <c r="U137">
        <f>IF($E137="","",IF(COUNTIFS(EMP_Livre,$E137,EMP_Date,"&gt;="&amp;R_Mois,EMP_Date,"&lt;"&amp;EDATE(R_Mois,1))=0,"",COUNTIFS(EMP_Livre,$E137,EMP_Date,"&gt;="&amp;R_Mois,EMP_Date,"&lt;"&amp;EDATE(R_Mois,1))+ROW()/100000))</f>
        <v/>
      </c>
    </row>
    <row r="138" ht="21" customHeight="1">
      <c r="A138" s="1" t="n"/>
      <c r="B138" s="1" t="n"/>
      <c r="C138" s="2" t="n"/>
      <c r="E138" s="127" t="n"/>
      <c r="F138" s="127" t="n"/>
      <c r="G138" s="127" t="n"/>
      <c r="H138" s="127" t="n"/>
      <c r="I138" s="127" t="n"/>
      <c r="J138" s="127" t="n"/>
      <c r="K138" s="128" t="n"/>
      <c r="L138" s="128" t="n"/>
      <c r="M138" s="127" t="n"/>
      <c r="N138" s="129">
        <f>IF($E138="","",COUNTIFS(EMP_Livre,$E138,EMP_Retour,""))</f>
        <v/>
      </c>
      <c r="O138" s="129">
        <f>IF($E138="","",$L138-$N138)</f>
        <v/>
      </c>
      <c r="P138" s="129">
        <f>IF($E138="","",COUNTIF(EMP_Livre,$E138))</f>
        <v/>
      </c>
      <c r="Q138" s="130">
        <f>IF($E138="","",IF($O138&lt;=0,"Indisponible",IF(AND($O138=1,$L138&gt;1),"Dernier exemplaire","Disponible")))</f>
        <v/>
      </c>
      <c r="S138">
        <f>IF($E138="","",$P138+ROW()/100000)</f>
        <v/>
      </c>
      <c r="T138">
        <f>IF(OR(Q_Rech="",$E138=""),"",IF(ISNUMBER(SEARCH(Q_Rech,$E138&amp;" "&amp;$F138&amp;" "&amp;$G138&amp;" "&amp;$H138&amp;" "&amp;$I138)),COUNT($T$6:$T137)+1,""))</f>
        <v/>
      </c>
      <c r="U138">
        <f>IF($E138="","",IF(COUNTIFS(EMP_Livre,$E138,EMP_Date,"&gt;="&amp;R_Mois,EMP_Date,"&lt;"&amp;EDATE(R_Mois,1))=0,"",COUNTIFS(EMP_Livre,$E138,EMP_Date,"&gt;="&amp;R_Mois,EMP_Date,"&lt;"&amp;EDATE(R_Mois,1))+ROW()/100000))</f>
        <v/>
      </c>
    </row>
    <row r="139" ht="21" customHeight="1">
      <c r="A139" s="1" t="n"/>
      <c r="B139" s="1" t="n"/>
      <c r="C139" s="2" t="n"/>
      <c r="E139" s="127" t="n"/>
      <c r="F139" s="127" t="n"/>
      <c r="G139" s="127" t="n"/>
      <c r="H139" s="127" t="n"/>
      <c r="I139" s="127" t="n"/>
      <c r="J139" s="127" t="n"/>
      <c r="K139" s="128" t="n"/>
      <c r="L139" s="128" t="n"/>
      <c r="M139" s="127" t="n"/>
      <c r="N139" s="129">
        <f>IF($E139="","",COUNTIFS(EMP_Livre,$E139,EMP_Retour,""))</f>
        <v/>
      </c>
      <c r="O139" s="129">
        <f>IF($E139="","",$L139-$N139)</f>
        <v/>
      </c>
      <c r="P139" s="129">
        <f>IF($E139="","",COUNTIF(EMP_Livre,$E139))</f>
        <v/>
      </c>
      <c r="Q139" s="130">
        <f>IF($E139="","",IF($O139&lt;=0,"Indisponible",IF(AND($O139=1,$L139&gt;1),"Dernier exemplaire","Disponible")))</f>
        <v/>
      </c>
      <c r="S139">
        <f>IF($E139="","",$P139+ROW()/100000)</f>
        <v/>
      </c>
      <c r="T139">
        <f>IF(OR(Q_Rech="",$E139=""),"",IF(ISNUMBER(SEARCH(Q_Rech,$E139&amp;" "&amp;$F139&amp;" "&amp;$G139&amp;" "&amp;$H139&amp;" "&amp;$I139)),COUNT($T$6:$T138)+1,""))</f>
        <v/>
      </c>
      <c r="U139">
        <f>IF($E139="","",IF(COUNTIFS(EMP_Livre,$E139,EMP_Date,"&gt;="&amp;R_Mois,EMP_Date,"&lt;"&amp;EDATE(R_Mois,1))=0,"",COUNTIFS(EMP_Livre,$E139,EMP_Date,"&gt;="&amp;R_Mois,EMP_Date,"&lt;"&amp;EDATE(R_Mois,1))+ROW()/100000))</f>
        <v/>
      </c>
    </row>
    <row r="140" ht="21" customHeight="1">
      <c r="A140" s="1" t="n"/>
      <c r="B140" s="1" t="n"/>
      <c r="C140" s="2" t="n"/>
      <c r="E140" s="127" t="n"/>
      <c r="F140" s="127" t="n"/>
      <c r="G140" s="127" t="n"/>
      <c r="H140" s="127" t="n"/>
      <c r="I140" s="127" t="n"/>
      <c r="J140" s="127" t="n"/>
      <c r="K140" s="128" t="n"/>
      <c r="L140" s="128" t="n"/>
      <c r="M140" s="127" t="n"/>
      <c r="N140" s="129">
        <f>IF($E140="","",COUNTIFS(EMP_Livre,$E140,EMP_Retour,""))</f>
        <v/>
      </c>
      <c r="O140" s="129">
        <f>IF($E140="","",$L140-$N140)</f>
        <v/>
      </c>
      <c r="P140" s="129">
        <f>IF($E140="","",COUNTIF(EMP_Livre,$E140))</f>
        <v/>
      </c>
      <c r="Q140" s="130">
        <f>IF($E140="","",IF($O140&lt;=0,"Indisponible",IF(AND($O140=1,$L140&gt;1),"Dernier exemplaire","Disponible")))</f>
        <v/>
      </c>
      <c r="S140">
        <f>IF($E140="","",$P140+ROW()/100000)</f>
        <v/>
      </c>
      <c r="T140">
        <f>IF(OR(Q_Rech="",$E140=""),"",IF(ISNUMBER(SEARCH(Q_Rech,$E140&amp;" "&amp;$F140&amp;" "&amp;$G140&amp;" "&amp;$H140&amp;" "&amp;$I140)),COUNT($T$6:$T139)+1,""))</f>
        <v/>
      </c>
      <c r="U140">
        <f>IF($E140="","",IF(COUNTIFS(EMP_Livre,$E140,EMP_Date,"&gt;="&amp;R_Mois,EMP_Date,"&lt;"&amp;EDATE(R_Mois,1))=0,"",COUNTIFS(EMP_Livre,$E140,EMP_Date,"&gt;="&amp;R_Mois,EMP_Date,"&lt;"&amp;EDATE(R_Mois,1))+ROW()/100000))</f>
        <v/>
      </c>
    </row>
    <row r="141" ht="21" customHeight="1">
      <c r="A141" s="1" t="n"/>
      <c r="B141" s="1" t="n"/>
      <c r="C141" s="2" t="n"/>
      <c r="E141" s="127" t="n"/>
      <c r="F141" s="127" t="n"/>
      <c r="G141" s="127" t="n"/>
      <c r="H141" s="127" t="n"/>
      <c r="I141" s="127" t="n"/>
      <c r="J141" s="127" t="n"/>
      <c r="K141" s="128" t="n"/>
      <c r="L141" s="128" t="n"/>
      <c r="M141" s="127" t="n"/>
      <c r="N141" s="129">
        <f>IF($E141="","",COUNTIFS(EMP_Livre,$E141,EMP_Retour,""))</f>
        <v/>
      </c>
      <c r="O141" s="129">
        <f>IF($E141="","",$L141-$N141)</f>
        <v/>
      </c>
      <c r="P141" s="129">
        <f>IF($E141="","",COUNTIF(EMP_Livre,$E141))</f>
        <v/>
      </c>
      <c r="Q141" s="130">
        <f>IF($E141="","",IF($O141&lt;=0,"Indisponible",IF(AND($O141=1,$L141&gt;1),"Dernier exemplaire","Disponible")))</f>
        <v/>
      </c>
      <c r="S141">
        <f>IF($E141="","",$P141+ROW()/100000)</f>
        <v/>
      </c>
      <c r="T141">
        <f>IF(OR(Q_Rech="",$E141=""),"",IF(ISNUMBER(SEARCH(Q_Rech,$E141&amp;" "&amp;$F141&amp;" "&amp;$G141&amp;" "&amp;$H141&amp;" "&amp;$I141)),COUNT($T$6:$T140)+1,""))</f>
        <v/>
      </c>
      <c r="U141">
        <f>IF($E141="","",IF(COUNTIFS(EMP_Livre,$E141,EMP_Date,"&gt;="&amp;R_Mois,EMP_Date,"&lt;"&amp;EDATE(R_Mois,1))=0,"",COUNTIFS(EMP_Livre,$E141,EMP_Date,"&gt;="&amp;R_Mois,EMP_Date,"&lt;"&amp;EDATE(R_Mois,1))+ROW()/100000))</f>
        <v/>
      </c>
    </row>
    <row r="142" ht="21" customHeight="1">
      <c r="A142" s="1" t="n"/>
      <c r="B142" s="1" t="n"/>
      <c r="C142" s="2" t="n"/>
      <c r="E142" s="127" t="n"/>
      <c r="F142" s="127" t="n"/>
      <c r="G142" s="127" t="n"/>
      <c r="H142" s="127" t="n"/>
      <c r="I142" s="127" t="n"/>
      <c r="J142" s="127" t="n"/>
      <c r="K142" s="128" t="n"/>
      <c r="L142" s="128" t="n"/>
      <c r="M142" s="127" t="n"/>
      <c r="N142" s="129">
        <f>IF($E142="","",COUNTIFS(EMP_Livre,$E142,EMP_Retour,""))</f>
        <v/>
      </c>
      <c r="O142" s="129">
        <f>IF($E142="","",$L142-$N142)</f>
        <v/>
      </c>
      <c r="P142" s="129">
        <f>IF($E142="","",COUNTIF(EMP_Livre,$E142))</f>
        <v/>
      </c>
      <c r="Q142" s="130">
        <f>IF($E142="","",IF($O142&lt;=0,"Indisponible",IF(AND($O142=1,$L142&gt;1),"Dernier exemplaire","Disponible")))</f>
        <v/>
      </c>
      <c r="S142">
        <f>IF($E142="","",$P142+ROW()/100000)</f>
        <v/>
      </c>
      <c r="T142">
        <f>IF(OR(Q_Rech="",$E142=""),"",IF(ISNUMBER(SEARCH(Q_Rech,$E142&amp;" "&amp;$F142&amp;" "&amp;$G142&amp;" "&amp;$H142&amp;" "&amp;$I142)),COUNT($T$6:$T141)+1,""))</f>
        <v/>
      </c>
      <c r="U142">
        <f>IF($E142="","",IF(COUNTIFS(EMP_Livre,$E142,EMP_Date,"&gt;="&amp;R_Mois,EMP_Date,"&lt;"&amp;EDATE(R_Mois,1))=0,"",COUNTIFS(EMP_Livre,$E142,EMP_Date,"&gt;="&amp;R_Mois,EMP_Date,"&lt;"&amp;EDATE(R_Mois,1))+ROW()/100000))</f>
        <v/>
      </c>
    </row>
    <row r="143" ht="21" customHeight="1">
      <c r="A143" s="1" t="n"/>
      <c r="B143" s="1" t="n"/>
      <c r="C143" s="2" t="n"/>
      <c r="E143" s="127" t="n"/>
      <c r="F143" s="127" t="n"/>
      <c r="G143" s="127" t="n"/>
      <c r="H143" s="127" t="n"/>
      <c r="I143" s="127" t="n"/>
      <c r="J143" s="127" t="n"/>
      <c r="K143" s="128" t="n"/>
      <c r="L143" s="128" t="n"/>
      <c r="M143" s="127" t="n"/>
      <c r="N143" s="129">
        <f>IF($E143="","",COUNTIFS(EMP_Livre,$E143,EMP_Retour,""))</f>
        <v/>
      </c>
      <c r="O143" s="129">
        <f>IF($E143="","",$L143-$N143)</f>
        <v/>
      </c>
      <c r="P143" s="129">
        <f>IF($E143="","",COUNTIF(EMP_Livre,$E143))</f>
        <v/>
      </c>
      <c r="Q143" s="130">
        <f>IF($E143="","",IF($O143&lt;=0,"Indisponible",IF(AND($O143=1,$L143&gt;1),"Dernier exemplaire","Disponible")))</f>
        <v/>
      </c>
      <c r="S143">
        <f>IF($E143="","",$P143+ROW()/100000)</f>
        <v/>
      </c>
      <c r="T143">
        <f>IF(OR(Q_Rech="",$E143=""),"",IF(ISNUMBER(SEARCH(Q_Rech,$E143&amp;" "&amp;$F143&amp;" "&amp;$G143&amp;" "&amp;$H143&amp;" "&amp;$I143)),COUNT($T$6:$T142)+1,""))</f>
        <v/>
      </c>
      <c r="U143">
        <f>IF($E143="","",IF(COUNTIFS(EMP_Livre,$E143,EMP_Date,"&gt;="&amp;R_Mois,EMP_Date,"&lt;"&amp;EDATE(R_Mois,1))=0,"",COUNTIFS(EMP_Livre,$E143,EMP_Date,"&gt;="&amp;R_Mois,EMP_Date,"&lt;"&amp;EDATE(R_Mois,1))+ROW()/100000))</f>
        <v/>
      </c>
    </row>
    <row r="144" ht="21" customHeight="1">
      <c r="A144" s="1" t="n"/>
      <c r="B144" s="1" t="n"/>
      <c r="C144" s="2" t="n"/>
      <c r="E144" s="127" t="n"/>
      <c r="F144" s="127" t="n"/>
      <c r="G144" s="127" t="n"/>
      <c r="H144" s="127" t="n"/>
      <c r="I144" s="127" t="n"/>
      <c r="J144" s="127" t="n"/>
      <c r="K144" s="128" t="n"/>
      <c r="L144" s="128" t="n"/>
      <c r="M144" s="127" t="n"/>
      <c r="N144" s="129">
        <f>IF($E144="","",COUNTIFS(EMP_Livre,$E144,EMP_Retour,""))</f>
        <v/>
      </c>
      <c r="O144" s="129">
        <f>IF($E144="","",$L144-$N144)</f>
        <v/>
      </c>
      <c r="P144" s="129">
        <f>IF($E144="","",COUNTIF(EMP_Livre,$E144))</f>
        <v/>
      </c>
      <c r="Q144" s="130">
        <f>IF($E144="","",IF($O144&lt;=0,"Indisponible",IF(AND($O144=1,$L144&gt;1),"Dernier exemplaire","Disponible")))</f>
        <v/>
      </c>
      <c r="S144">
        <f>IF($E144="","",$P144+ROW()/100000)</f>
        <v/>
      </c>
      <c r="T144">
        <f>IF(OR(Q_Rech="",$E144=""),"",IF(ISNUMBER(SEARCH(Q_Rech,$E144&amp;" "&amp;$F144&amp;" "&amp;$G144&amp;" "&amp;$H144&amp;" "&amp;$I144)),COUNT($T$6:$T143)+1,""))</f>
        <v/>
      </c>
      <c r="U144">
        <f>IF($E144="","",IF(COUNTIFS(EMP_Livre,$E144,EMP_Date,"&gt;="&amp;R_Mois,EMP_Date,"&lt;"&amp;EDATE(R_Mois,1))=0,"",COUNTIFS(EMP_Livre,$E144,EMP_Date,"&gt;="&amp;R_Mois,EMP_Date,"&lt;"&amp;EDATE(R_Mois,1))+ROW()/100000))</f>
        <v/>
      </c>
    </row>
    <row r="145" ht="21" customHeight="1">
      <c r="A145" s="1" t="n"/>
      <c r="B145" s="1" t="n"/>
      <c r="C145" s="2" t="n"/>
      <c r="E145" s="127" t="n"/>
      <c r="F145" s="127" t="n"/>
      <c r="G145" s="127" t="n"/>
      <c r="H145" s="127" t="n"/>
      <c r="I145" s="127" t="n"/>
      <c r="J145" s="127" t="n"/>
      <c r="K145" s="128" t="n"/>
      <c r="L145" s="128" t="n"/>
      <c r="M145" s="127" t="n"/>
      <c r="N145" s="129">
        <f>IF($E145="","",COUNTIFS(EMP_Livre,$E145,EMP_Retour,""))</f>
        <v/>
      </c>
      <c r="O145" s="129">
        <f>IF($E145="","",$L145-$N145)</f>
        <v/>
      </c>
      <c r="P145" s="129">
        <f>IF($E145="","",COUNTIF(EMP_Livre,$E145))</f>
        <v/>
      </c>
      <c r="Q145" s="130">
        <f>IF($E145="","",IF($O145&lt;=0,"Indisponible",IF(AND($O145=1,$L145&gt;1),"Dernier exemplaire","Disponible")))</f>
        <v/>
      </c>
      <c r="S145">
        <f>IF($E145="","",$P145+ROW()/100000)</f>
        <v/>
      </c>
      <c r="T145">
        <f>IF(OR(Q_Rech="",$E145=""),"",IF(ISNUMBER(SEARCH(Q_Rech,$E145&amp;" "&amp;$F145&amp;" "&amp;$G145&amp;" "&amp;$H145&amp;" "&amp;$I145)),COUNT($T$6:$T144)+1,""))</f>
        <v/>
      </c>
      <c r="U145">
        <f>IF($E145="","",IF(COUNTIFS(EMP_Livre,$E145,EMP_Date,"&gt;="&amp;R_Mois,EMP_Date,"&lt;"&amp;EDATE(R_Mois,1))=0,"",COUNTIFS(EMP_Livre,$E145,EMP_Date,"&gt;="&amp;R_Mois,EMP_Date,"&lt;"&amp;EDATE(R_Mois,1))+ROW()/100000))</f>
        <v/>
      </c>
    </row>
    <row r="146" ht="21" customHeight="1">
      <c r="A146" s="1" t="n"/>
      <c r="B146" s="1" t="n"/>
      <c r="C146" s="2" t="n"/>
      <c r="E146" s="127" t="n"/>
      <c r="F146" s="127" t="n"/>
      <c r="G146" s="127" t="n"/>
      <c r="H146" s="127" t="n"/>
      <c r="I146" s="127" t="n"/>
      <c r="J146" s="127" t="n"/>
      <c r="K146" s="128" t="n"/>
      <c r="L146" s="128" t="n"/>
      <c r="M146" s="127" t="n"/>
      <c r="N146" s="129">
        <f>IF($E146="","",COUNTIFS(EMP_Livre,$E146,EMP_Retour,""))</f>
        <v/>
      </c>
      <c r="O146" s="129">
        <f>IF($E146="","",$L146-$N146)</f>
        <v/>
      </c>
      <c r="P146" s="129">
        <f>IF($E146="","",COUNTIF(EMP_Livre,$E146))</f>
        <v/>
      </c>
      <c r="Q146" s="130">
        <f>IF($E146="","",IF($O146&lt;=0,"Indisponible",IF(AND($O146=1,$L146&gt;1),"Dernier exemplaire","Disponible")))</f>
        <v/>
      </c>
      <c r="S146">
        <f>IF($E146="","",$P146+ROW()/100000)</f>
        <v/>
      </c>
      <c r="T146">
        <f>IF(OR(Q_Rech="",$E146=""),"",IF(ISNUMBER(SEARCH(Q_Rech,$E146&amp;" "&amp;$F146&amp;" "&amp;$G146&amp;" "&amp;$H146&amp;" "&amp;$I146)),COUNT($T$6:$T145)+1,""))</f>
        <v/>
      </c>
      <c r="U146">
        <f>IF($E146="","",IF(COUNTIFS(EMP_Livre,$E146,EMP_Date,"&gt;="&amp;R_Mois,EMP_Date,"&lt;"&amp;EDATE(R_Mois,1))=0,"",COUNTIFS(EMP_Livre,$E146,EMP_Date,"&gt;="&amp;R_Mois,EMP_Date,"&lt;"&amp;EDATE(R_Mois,1))+ROW()/100000))</f>
        <v/>
      </c>
    </row>
    <row r="147" ht="21" customHeight="1">
      <c r="A147" s="1" t="n"/>
      <c r="B147" s="1" t="n"/>
      <c r="C147" s="2" t="n"/>
      <c r="E147" s="127" t="n"/>
      <c r="F147" s="127" t="n"/>
      <c r="G147" s="127" t="n"/>
      <c r="H147" s="127" t="n"/>
      <c r="I147" s="127" t="n"/>
      <c r="J147" s="127" t="n"/>
      <c r="K147" s="128" t="n"/>
      <c r="L147" s="128" t="n"/>
      <c r="M147" s="127" t="n"/>
      <c r="N147" s="129">
        <f>IF($E147="","",COUNTIFS(EMP_Livre,$E147,EMP_Retour,""))</f>
        <v/>
      </c>
      <c r="O147" s="129">
        <f>IF($E147="","",$L147-$N147)</f>
        <v/>
      </c>
      <c r="P147" s="129">
        <f>IF($E147="","",COUNTIF(EMP_Livre,$E147))</f>
        <v/>
      </c>
      <c r="Q147" s="130">
        <f>IF($E147="","",IF($O147&lt;=0,"Indisponible",IF(AND($O147=1,$L147&gt;1),"Dernier exemplaire","Disponible")))</f>
        <v/>
      </c>
      <c r="S147">
        <f>IF($E147="","",$P147+ROW()/100000)</f>
        <v/>
      </c>
      <c r="T147">
        <f>IF(OR(Q_Rech="",$E147=""),"",IF(ISNUMBER(SEARCH(Q_Rech,$E147&amp;" "&amp;$F147&amp;" "&amp;$G147&amp;" "&amp;$H147&amp;" "&amp;$I147)),COUNT($T$6:$T146)+1,""))</f>
        <v/>
      </c>
      <c r="U147">
        <f>IF($E147="","",IF(COUNTIFS(EMP_Livre,$E147,EMP_Date,"&gt;="&amp;R_Mois,EMP_Date,"&lt;"&amp;EDATE(R_Mois,1))=0,"",COUNTIFS(EMP_Livre,$E147,EMP_Date,"&gt;="&amp;R_Mois,EMP_Date,"&lt;"&amp;EDATE(R_Mois,1))+ROW()/100000))</f>
        <v/>
      </c>
    </row>
    <row r="148" ht="21" customHeight="1">
      <c r="A148" s="1" t="n"/>
      <c r="B148" s="1" t="n"/>
      <c r="C148" s="2" t="n"/>
      <c r="E148" s="127" t="n"/>
      <c r="F148" s="127" t="n"/>
      <c r="G148" s="127" t="n"/>
      <c r="H148" s="127" t="n"/>
      <c r="I148" s="127" t="n"/>
      <c r="J148" s="127" t="n"/>
      <c r="K148" s="128" t="n"/>
      <c r="L148" s="128" t="n"/>
      <c r="M148" s="127" t="n"/>
      <c r="N148" s="129">
        <f>IF($E148="","",COUNTIFS(EMP_Livre,$E148,EMP_Retour,""))</f>
        <v/>
      </c>
      <c r="O148" s="129">
        <f>IF($E148="","",$L148-$N148)</f>
        <v/>
      </c>
      <c r="P148" s="129">
        <f>IF($E148="","",COUNTIF(EMP_Livre,$E148))</f>
        <v/>
      </c>
      <c r="Q148" s="130">
        <f>IF($E148="","",IF($O148&lt;=0,"Indisponible",IF(AND($O148=1,$L148&gt;1),"Dernier exemplaire","Disponible")))</f>
        <v/>
      </c>
      <c r="S148">
        <f>IF($E148="","",$P148+ROW()/100000)</f>
        <v/>
      </c>
      <c r="T148">
        <f>IF(OR(Q_Rech="",$E148=""),"",IF(ISNUMBER(SEARCH(Q_Rech,$E148&amp;" "&amp;$F148&amp;" "&amp;$G148&amp;" "&amp;$H148&amp;" "&amp;$I148)),COUNT($T$6:$T147)+1,""))</f>
        <v/>
      </c>
      <c r="U148">
        <f>IF($E148="","",IF(COUNTIFS(EMP_Livre,$E148,EMP_Date,"&gt;="&amp;R_Mois,EMP_Date,"&lt;"&amp;EDATE(R_Mois,1))=0,"",COUNTIFS(EMP_Livre,$E148,EMP_Date,"&gt;="&amp;R_Mois,EMP_Date,"&lt;"&amp;EDATE(R_Mois,1))+ROW()/100000))</f>
        <v/>
      </c>
    </row>
    <row r="149" ht="21" customHeight="1">
      <c r="A149" s="1" t="n"/>
      <c r="B149" s="1" t="n"/>
      <c r="C149" s="2" t="n"/>
      <c r="E149" s="127" t="n"/>
      <c r="F149" s="127" t="n"/>
      <c r="G149" s="127" t="n"/>
      <c r="H149" s="127" t="n"/>
      <c r="I149" s="127" t="n"/>
      <c r="J149" s="127" t="n"/>
      <c r="K149" s="128" t="n"/>
      <c r="L149" s="128" t="n"/>
      <c r="M149" s="127" t="n"/>
      <c r="N149" s="129">
        <f>IF($E149="","",COUNTIFS(EMP_Livre,$E149,EMP_Retour,""))</f>
        <v/>
      </c>
      <c r="O149" s="129">
        <f>IF($E149="","",$L149-$N149)</f>
        <v/>
      </c>
      <c r="P149" s="129">
        <f>IF($E149="","",COUNTIF(EMP_Livre,$E149))</f>
        <v/>
      </c>
      <c r="Q149" s="130">
        <f>IF($E149="","",IF($O149&lt;=0,"Indisponible",IF(AND($O149=1,$L149&gt;1),"Dernier exemplaire","Disponible")))</f>
        <v/>
      </c>
      <c r="S149">
        <f>IF($E149="","",$P149+ROW()/100000)</f>
        <v/>
      </c>
      <c r="T149">
        <f>IF(OR(Q_Rech="",$E149=""),"",IF(ISNUMBER(SEARCH(Q_Rech,$E149&amp;" "&amp;$F149&amp;" "&amp;$G149&amp;" "&amp;$H149&amp;" "&amp;$I149)),COUNT($T$6:$T148)+1,""))</f>
        <v/>
      </c>
      <c r="U149">
        <f>IF($E149="","",IF(COUNTIFS(EMP_Livre,$E149,EMP_Date,"&gt;="&amp;R_Mois,EMP_Date,"&lt;"&amp;EDATE(R_Mois,1))=0,"",COUNTIFS(EMP_Livre,$E149,EMP_Date,"&gt;="&amp;R_Mois,EMP_Date,"&lt;"&amp;EDATE(R_Mois,1))+ROW()/100000))</f>
        <v/>
      </c>
    </row>
    <row r="150" ht="21" customHeight="1">
      <c r="A150" s="1" t="n"/>
      <c r="B150" s="1" t="n"/>
      <c r="C150" s="2" t="n"/>
      <c r="E150" s="127" t="n"/>
      <c r="F150" s="127" t="n"/>
      <c r="G150" s="127" t="n"/>
      <c r="H150" s="127" t="n"/>
      <c r="I150" s="127" t="n"/>
      <c r="J150" s="127" t="n"/>
      <c r="K150" s="128" t="n"/>
      <c r="L150" s="128" t="n"/>
      <c r="M150" s="127" t="n"/>
      <c r="N150" s="129">
        <f>IF($E150="","",COUNTIFS(EMP_Livre,$E150,EMP_Retour,""))</f>
        <v/>
      </c>
      <c r="O150" s="129">
        <f>IF($E150="","",$L150-$N150)</f>
        <v/>
      </c>
      <c r="P150" s="129">
        <f>IF($E150="","",COUNTIF(EMP_Livre,$E150))</f>
        <v/>
      </c>
      <c r="Q150" s="130">
        <f>IF($E150="","",IF($O150&lt;=0,"Indisponible",IF(AND($O150=1,$L150&gt;1),"Dernier exemplaire","Disponible")))</f>
        <v/>
      </c>
      <c r="S150">
        <f>IF($E150="","",$P150+ROW()/100000)</f>
        <v/>
      </c>
      <c r="T150">
        <f>IF(OR(Q_Rech="",$E150=""),"",IF(ISNUMBER(SEARCH(Q_Rech,$E150&amp;" "&amp;$F150&amp;" "&amp;$G150&amp;" "&amp;$H150&amp;" "&amp;$I150)),COUNT($T$6:$T149)+1,""))</f>
        <v/>
      </c>
      <c r="U150">
        <f>IF($E150="","",IF(COUNTIFS(EMP_Livre,$E150,EMP_Date,"&gt;="&amp;R_Mois,EMP_Date,"&lt;"&amp;EDATE(R_Mois,1))=0,"",COUNTIFS(EMP_Livre,$E150,EMP_Date,"&gt;="&amp;R_Mois,EMP_Date,"&lt;"&amp;EDATE(R_Mois,1))+ROW()/100000))</f>
        <v/>
      </c>
    </row>
    <row r="151" ht="21" customHeight="1">
      <c r="A151" s="1" t="n"/>
      <c r="B151" s="1" t="n"/>
      <c r="C151" s="2" t="n"/>
      <c r="E151" s="127" t="n"/>
      <c r="F151" s="127" t="n"/>
      <c r="G151" s="127" t="n"/>
      <c r="H151" s="127" t="n"/>
      <c r="I151" s="127" t="n"/>
      <c r="J151" s="127" t="n"/>
      <c r="K151" s="128" t="n"/>
      <c r="L151" s="128" t="n"/>
      <c r="M151" s="127" t="n"/>
      <c r="N151" s="129">
        <f>IF($E151="","",COUNTIFS(EMP_Livre,$E151,EMP_Retour,""))</f>
        <v/>
      </c>
      <c r="O151" s="129">
        <f>IF($E151="","",$L151-$N151)</f>
        <v/>
      </c>
      <c r="P151" s="129">
        <f>IF($E151="","",COUNTIF(EMP_Livre,$E151))</f>
        <v/>
      </c>
      <c r="Q151" s="130">
        <f>IF($E151="","",IF($O151&lt;=0,"Indisponible",IF(AND($O151=1,$L151&gt;1),"Dernier exemplaire","Disponible")))</f>
        <v/>
      </c>
      <c r="S151">
        <f>IF($E151="","",$P151+ROW()/100000)</f>
        <v/>
      </c>
      <c r="T151">
        <f>IF(OR(Q_Rech="",$E151=""),"",IF(ISNUMBER(SEARCH(Q_Rech,$E151&amp;" "&amp;$F151&amp;" "&amp;$G151&amp;" "&amp;$H151&amp;" "&amp;$I151)),COUNT($T$6:$T150)+1,""))</f>
        <v/>
      </c>
      <c r="U151">
        <f>IF($E151="","",IF(COUNTIFS(EMP_Livre,$E151,EMP_Date,"&gt;="&amp;R_Mois,EMP_Date,"&lt;"&amp;EDATE(R_Mois,1))=0,"",COUNTIFS(EMP_Livre,$E151,EMP_Date,"&gt;="&amp;R_Mois,EMP_Date,"&lt;"&amp;EDATE(R_Mois,1))+ROW()/100000))</f>
        <v/>
      </c>
    </row>
    <row r="152" ht="21" customHeight="1">
      <c r="A152" s="1" t="n"/>
      <c r="B152" s="1" t="n"/>
      <c r="C152" s="2" t="n"/>
      <c r="E152" s="127" t="n"/>
      <c r="F152" s="127" t="n"/>
      <c r="G152" s="127" t="n"/>
      <c r="H152" s="127" t="n"/>
      <c r="I152" s="127" t="n"/>
      <c r="J152" s="127" t="n"/>
      <c r="K152" s="128" t="n"/>
      <c r="L152" s="128" t="n"/>
      <c r="M152" s="127" t="n"/>
      <c r="N152" s="129">
        <f>IF($E152="","",COUNTIFS(EMP_Livre,$E152,EMP_Retour,""))</f>
        <v/>
      </c>
      <c r="O152" s="129">
        <f>IF($E152="","",$L152-$N152)</f>
        <v/>
      </c>
      <c r="P152" s="129">
        <f>IF($E152="","",COUNTIF(EMP_Livre,$E152))</f>
        <v/>
      </c>
      <c r="Q152" s="130">
        <f>IF($E152="","",IF($O152&lt;=0,"Indisponible",IF(AND($O152=1,$L152&gt;1),"Dernier exemplaire","Disponible")))</f>
        <v/>
      </c>
      <c r="S152">
        <f>IF($E152="","",$P152+ROW()/100000)</f>
        <v/>
      </c>
      <c r="T152">
        <f>IF(OR(Q_Rech="",$E152=""),"",IF(ISNUMBER(SEARCH(Q_Rech,$E152&amp;" "&amp;$F152&amp;" "&amp;$G152&amp;" "&amp;$H152&amp;" "&amp;$I152)),COUNT($T$6:$T151)+1,""))</f>
        <v/>
      </c>
      <c r="U152">
        <f>IF($E152="","",IF(COUNTIFS(EMP_Livre,$E152,EMP_Date,"&gt;="&amp;R_Mois,EMP_Date,"&lt;"&amp;EDATE(R_Mois,1))=0,"",COUNTIFS(EMP_Livre,$E152,EMP_Date,"&gt;="&amp;R_Mois,EMP_Date,"&lt;"&amp;EDATE(R_Mois,1))+ROW()/100000))</f>
        <v/>
      </c>
    </row>
    <row r="153" ht="21" customHeight="1">
      <c r="A153" s="1" t="n"/>
      <c r="B153" s="1" t="n"/>
      <c r="C153" s="2" t="n"/>
      <c r="E153" s="127" t="n"/>
      <c r="F153" s="127" t="n"/>
      <c r="G153" s="127" t="n"/>
      <c r="H153" s="127" t="n"/>
      <c r="I153" s="127" t="n"/>
      <c r="J153" s="127" t="n"/>
      <c r="K153" s="128" t="n"/>
      <c r="L153" s="128" t="n"/>
      <c r="M153" s="127" t="n"/>
      <c r="N153" s="129">
        <f>IF($E153="","",COUNTIFS(EMP_Livre,$E153,EMP_Retour,""))</f>
        <v/>
      </c>
      <c r="O153" s="129">
        <f>IF($E153="","",$L153-$N153)</f>
        <v/>
      </c>
      <c r="P153" s="129">
        <f>IF($E153="","",COUNTIF(EMP_Livre,$E153))</f>
        <v/>
      </c>
      <c r="Q153" s="130">
        <f>IF($E153="","",IF($O153&lt;=0,"Indisponible",IF(AND($O153=1,$L153&gt;1),"Dernier exemplaire","Disponible")))</f>
        <v/>
      </c>
      <c r="S153">
        <f>IF($E153="","",$P153+ROW()/100000)</f>
        <v/>
      </c>
      <c r="T153">
        <f>IF(OR(Q_Rech="",$E153=""),"",IF(ISNUMBER(SEARCH(Q_Rech,$E153&amp;" "&amp;$F153&amp;" "&amp;$G153&amp;" "&amp;$H153&amp;" "&amp;$I153)),COUNT($T$6:$T152)+1,""))</f>
        <v/>
      </c>
      <c r="U153">
        <f>IF($E153="","",IF(COUNTIFS(EMP_Livre,$E153,EMP_Date,"&gt;="&amp;R_Mois,EMP_Date,"&lt;"&amp;EDATE(R_Mois,1))=0,"",COUNTIFS(EMP_Livre,$E153,EMP_Date,"&gt;="&amp;R_Mois,EMP_Date,"&lt;"&amp;EDATE(R_Mois,1))+ROW()/100000))</f>
        <v/>
      </c>
    </row>
    <row r="154" ht="21" customHeight="1">
      <c r="A154" s="1" t="n"/>
      <c r="B154" s="1" t="n"/>
      <c r="C154" s="2" t="n"/>
      <c r="E154" s="127" t="n"/>
      <c r="F154" s="127" t="n"/>
      <c r="G154" s="127" t="n"/>
      <c r="H154" s="127" t="n"/>
      <c r="I154" s="127" t="n"/>
      <c r="J154" s="127" t="n"/>
      <c r="K154" s="128" t="n"/>
      <c r="L154" s="128" t="n"/>
      <c r="M154" s="127" t="n"/>
      <c r="N154" s="129">
        <f>IF($E154="","",COUNTIFS(EMP_Livre,$E154,EMP_Retour,""))</f>
        <v/>
      </c>
      <c r="O154" s="129">
        <f>IF($E154="","",$L154-$N154)</f>
        <v/>
      </c>
      <c r="P154" s="129">
        <f>IF($E154="","",COUNTIF(EMP_Livre,$E154))</f>
        <v/>
      </c>
      <c r="Q154" s="130">
        <f>IF($E154="","",IF($O154&lt;=0,"Indisponible",IF(AND($O154=1,$L154&gt;1),"Dernier exemplaire","Disponible")))</f>
        <v/>
      </c>
      <c r="S154">
        <f>IF($E154="","",$P154+ROW()/100000)</f>
        <v/>
      </c>
      <c r="T154">
        <f>IF(OR(Q_Rech="",$E154=""),"",IF(ISNUMBER(SEARCH(Q_Rech,$E154&amp;" "&amp;$F154&amp;" "&amp;$G154&amp;" "&amp;$H154&amp;" "&amp;$I154)),COUNT($T$6:$T153)+1,""))</f>
        <v/>
      </c>
      <c r="U154">
        <f>IF($E154="","",IF(COUNTIFS(EMP_Livre,$E154,EMP_Date,"&gt;="&amp;R_Mois,EMP_Date,"&lt;"&amp;EDATE(R_Mois,1))=0,"",COUNTIFS(EMP_Livre,$E154,EMP_Date,"&gt;="&amp;R_Mois,EMP_Date,"&lt;"&amp;EDATE(R_Mois,1))+ROW()/100000))</f>
        <v/>
      </c>
    </row>
    <row r="155" ht="21" customHeight="1">
      <c r="A155" s="1" t="n"/>
      <c r="B155" s="1" t="n"/>
      <c r="C155" s="2" t="n"/>
      <c r="E155" s="127" t="n"/>
      <c r="F155" s="127" t="n"/>
      <c r="G155" s="127" t="n"/>
      <c r="H155" s="127" t="n"/>
      <c r="I155" s="127" t="n"/>
      <c r="J155" s="127" t="n"/>
      <c r="K155" s="128" t="n"/>
      <c r="L155" s="128" t="n"/>
      <c r="M155" s="127" t="n"/>
      <c r="N155" s="129">
        <f>IF($E155="","",COUNTIFS(EMP_Livre,$E155,EMP_Retour,""))</f>
        <v/>
      </c>
      <c r="O155" s="129">
        <f>IF($E155="","",$L155-$N155)</f>
        <v/>
      </c>
      <c r="P155" s="129">
        <f>IF($E155="","",COUNTIF(EMP_Livre,$E155))</f>
        <v/>
      </c>
      <c r="Q155" s="130">
        <f>IF($E155="","",IF($O155&lt;=0,"Indisponible",IF(AND($O155=1,$L155&gt;1),"Dernier exemplaire","Disponible")))</f>
        <v/>
      </c>
      <c r="S155">
        <f>IF($E155="","",$P155+ROW()/100000)</f>
        <v/>
      </c>
      <c r="T155">
        <f>IF(OR(Q_Rech="",$E155=""),"",IF(ISNUMBER(SEARCH(Q_Rech,$E155&amp;" "&amp;$F155&amp;" "&amp;$G155&amp;" "&amp;$H155&amp;" "&amp;$I155)),COUNT($T$6:$T154)+1,""))</f>
        <v/>
      </c>
      <c r="U155">
        <f>IF($E155="","",IF(COUNTIFS(EMP_Livre,$E155,EMP_Date,"&gt;="&amp;R_Mois,EMP_Date,"&lt;"&amp;EDATE(R_Mois,1))=0,"",COUNTIFS(EMP_Livre,$E155,EMP_Date,"&gt;="&amp;R_Mois,EMP_Date,"&lt;"&amp;EDATE(R_Mois,1))+ROW()/100000))</f>
        <v/>
      </c>
    </row>
    <row r="156" ht="21" customHeight="1">
      <c r="A156" s="1" t="n"/>
      <c r="B156" s="1" t="n"/>
      <c r="C156" s="2" t="n"/>
      <c r="E156" s="127" t="n"/>
      <c r="F156" s="127" t="n"/>
      <c r="G156" s="127" t="n"/>
      <c r="H156" s="127" t="n"/>
      <c r="I156" s="127" t="n"/>
      <c r="J156" s="127" t="n"/>
      <c r="K156" s="128" t="n"/>
      <c r="L156" s="128" t="n"/>
      <c r="M156" s="127" t="n"/>
      <c r="N156" s="129">
        <f>IF($E156="","",COUNTIFS(EMP_Livre,$E156,EMP_Retour,""))</f>
        <v/>
      </c>
      <c r="O156" s="129">
        <f>IF($E156="","",$L156-$N156)</f>
        <v/>
      </c>
      <c r="P156" s="129">
        <f>IF($E156="","",COUNTIF(EMP_Livre,$E156))</f>
        <v/>
      </c>
      <c r="Q156" s="130">
        <f>IF($E156="","",IF($O156&lt;=0,"Indisponible",IF(AND($O156=1,$L156&gt;1),"Dernier exemplaire","Disponible")))</f>
        <v/>
      </c>
      <c r="S156">
        <f>IF($E156="","",$P156+ROW()/100000)</f>
        <v/>
      </c>
      <c r="T156">
        <f>IF(OR(Q_Rech="",$E156=""),"",IF(ISNUMBER(SEARCH(Q_Rech,$E156&amp;" "&amp;$F156&amp;" "&amp;$G156&amp;" "&amp;$H156&amp;" "&amp;$I156)),COUNT($T$6:$T155)+1,""))</f>
        <v/>
      </c>
      <c r="U156">
        <f>IF($E156="","",IF(COUNTIFS(EMP_Livre,$E156,EMP_Date,"&gt;="&amp;R_Mois,EMP_Date,"&lt;"&amp;EDATE(R_Mois,1))=0,"",COUNTIFS(EMP_Livre,$E156,EMP_Date,"&gt;="&amp;R_Mois,EMP_Date,"&lt;"&amp;EDATE(R_Mois,1))+ROW()/100000))</f>
        <v/>
      </c>
    </row>
    <row r="157" ht="21" customHeight="1">
      <c r="A157" s="1" t="n"/>
      <c r="B157" s="1" t="n"/>
      <c r="C157" s="2" t="n"/>
      <c r="E157" s="127" t="n"/>
      <c r="F157" s="127" t="n"/>
      <c r="G157" s="127" t="n"/>
      <c r="H157" s="127" t="n"/>
      <c r="I157" s="127" t="n"/>
      <c r="J157" s="127" t="n"/>
      <c r="K157" s="128" t="n"/>
      <c r="L157" s="128" t="n"/>
      <c r="M157" s="127" t="n"/>
      <c r="N157" s="129">
        <f>IF($E157="","",COUNTIFS(EMP_Livre,$E157,EMP_Retour,""))</f>
        <v/>
      </c>
      <c r="O157" s="129">
        <f>IF($E157="","",$L157-$N157)</f>
        <v/>
      </c>
      <c r="P157" s="129">
        <f>IF($E157="","",COUNTIF(EMP_Livre,$E157))</f>
        <v/>
      </c>
      <c r="Q157" s="130">
        <f>IF($E157="","",IF($O157&lt;=0,"Indisponible",IF(AND($O157=1,$L157&gt;1),"Dernier exemplaire","Disponible")))</f>
        <v/>
      </c>
      <c r="S157">
        <f>IF($E157="","",$P157+ROW()/100000)</f>
        <v/>
      </c>
      <c r="T157">
        <f>IF(OR(Q_Rech="",$E157=""),"",IF(ISNUMBER(SEARCH(Q_Rech,$E157&amp;" "&amp;$F157&amp;" "&amp;$G157&amp;" "&amp;$H157&amp;" "&amp;$I157)),COUNT($T$6:$T156)+1,""))</f>
        <v/>
      </c>
      <c r="U157">
        <f>IF($E157="","",IF(COUNTIFS(EMP_Livre,$E157,EMP_Date,"&gt;="&amp;R_Mois,EMP_Date,"&lt;"&amp;EDATE(R_Mois,1))=0,"",COUNTIFS(EMP_Livre,$E157,EMP_Date,"&gt;="&amp;R_Mois,EMP_Date,"&lt;"&amp;EDATE(R_Mois,1))+ROW()/100000))</f>
        <v/>
      </c>
    </row>
    <row r="158" ht="21" customHeight="1">
      <c r="A158" s="1" t="n"/>
      <c r="B158" s="1" t="n"/>
      <c r="C158" s="2" t="n"/>
      <c r="E158" s="127" t="n"/>
      <c r="F158" s="127" t="n"/>
      <c r="G158" s="127" t="n"/>
      <c r="H158" s="127" t="n"/>
      <c r="I158" s="127" t="n"/>
      <c r="J158" s="127" t="n"/>
      <c r="K158" s="128" t="n"/>
      <c r="L158" s="128" t="n"/>
      <c r="M158" s="127" t="n"/>
      <c r="N158" s="129">
        <f>IF($E158="","",COUNTIFS(EMP_Livre,$E158,EMP_Retour,""))</f>
        <v/>
      </c>
      <c r="O158" s="129">
        <f>IF($E158="","",$L158-$N158)</f>
        <v/>
      </c>
      <c r="P158" s="129">
        <f>IF($E158="","",COUNTIF(EMP_Livre,$E158))</f>
        <v/>
      </c>
      <c r="Q158" s="130">
        <f>IF($E158="","",IF($O158&lt;=0,"Indisponible",IF(AND($O158=1,$L158&gt;1),"Dernier exemplaire","Disponible")))</f>
        <v/>
      </c>
      <c r="S158">
        <f>IF($E158="","",$P158+ROW()/100000)</f>
        <v/>
      </c>
      <c r="T158">
        <f>IF(OR(Q_Rech="",$E158=""),"",IF(ISNUMBER(SEARCH(Q_Rech,$E158&amp;" "&amp;$F158&amp;" "&amp;$G158&amp;" "&amp;$H158&amp;" "&amp;$I158)),COUNT($T$6:$T157)+1,""))</f>
        <v/>
      </c>
      <c r="U158">
        <f>IF($E158="","",IF(COUNTIFS(EMP_Livre,$E158,EMP_Date,"&gt;="&amp;R_Mois,EMP_Date,"&lt;"&amp;EDATE(R_Mois,1))=0,"",COUNTIFS(EMP_Livre,$E158,EMP_Date,"&gt;="&amp;R_Mois,EMP_Date,"&lt;"&amp;EDATE(R_Mois,1))+ROW()/100000))</f>
        <v/>
      </c>
    </row>
    <row r="159" ht="21" customHeight="1">
      <c r="A159" s="1" t="n"/>
      <c r="B159" s="1" t="n"/>
      <c r="C159" s="2" t="n"/>
      <c r="E159" s="127" t="n"/>
      <c r="F159" s="127" t="n"/>
      <c r="G159" s="127" t="n"/>
      <c r="H159" s="127" t="n"/>
      <c r="I159" s="127" t="n"/>
      <c r="J159" s="127" t="n"/>
      <c r="K159" s="128" t="n"/>
      <c r="L159" s="128" t="n"/>
      <c r="M159" s="127" t="n"/>
      <c r="N159" s="129">
        <f>IF($E159="","",COUNTIFS(EMP_Livre,$E159,EMP_Retour,""))</f>
        <v/>
      </c>
      <c r="O159" s="129">
        <f>IF($E159="","",$L159-$N159)</f>
        <v/>
      </c>
      <c r="P159" s="129">
        <f>IF($E159="","",COUNTIF(EMP_Livre,$E159))</f>
        <v/>
      </c>
      <c r="Q159" s="130">
        <f>IF($E159="","",IF($O159&lt;=0,"Indisponible",IF(AND($O159=1,$L159&gt;1),"Dernier exemplaire","Disponible")))</f>
        <v/>
      </c>
      <c r="S159">
        <f>IF($E159="","",$P159+ROW()/100000)</f>
        <v/>
      </c>
      <c r="T159">
        <f>IF(OR(Q_Rech="",$E159=""),"",IF(ISNUMBER(SEARCH(Q_Rech,$E159&amp;" "&amp;$F159&amp;" "&amp;$G159&amp;" "&amp;$H159&amp;" "&amp;$I159)),COUNT($T$6:$T158)+1,""))</f>
        <v/>
      </c>
      <c r="U159">
        <f>IF($E159="","",IF(COUNTIFS(EMP_Livre,$E159,EMP_Date,"&gt;="&amp;R_Mois,EMP_Date,"&lt;"&amp;EDATE(R_Mois,1))=0,"",COUNTIFS(EMP_Livre,$E159,EMP_Date,"&gt;="&amp;R_Mois,EMP_Date,"&lt;"&amp;EDATE(R_Mois,1))+ROW()/100000))</f>
        <v/>
      </c>
    </row>
    <row r="160" ht="21" customHeight="1">
      <c r="A160" s="1" t="n"/>
      <c r="B160" s="1" t="n"/>
      <c r="C160" s="2" t="n"/>
      <c r="E160" s="127" t="n"/>
      <c r="F160" s="127" t="n"/>
      <c r="G160" s="127" t="n"/>
      <c r="H160" s="127" t="n"/>
      <c r="I160" s="127" t="n"/>
      <c r="J160" s="127" t="n"/>
      <c r="K160" s="128" t="n"/>
      <c r="L160" s="128" t="n"/>
      <c r="M160" s="127" t="n"/>
      <c r="N160" s="129">
        <f>IF($E160="","",COUNTIFS(EMP_Livre,$E160,EMP_Retour,""))</f>
        <v/>
      </c>
      <c r="O160" s="129">
        <f>IF($E160="","",$L160-$N160)</f>
        <v/>
      </c>
      <c r="P160" s="129">
        <f>IF($E160="","",COUNTIF(EMP_Livre,$E160))</f>
        <v/>
      </c>
      <c r="Q160" s="130">
        <f>IF($E160="","",IF($O160&lt;=0,"Indisponible",IF(AND($O160=1,$L160&gt;1),"Dernier exemplaire","Disponible")))</f>
        <v/>
      </c>
      <c r="S160">
        <f>IF($E160="","",$P160+ROW()/100000)</f>
        <v/>
      </c>
      <c r="T160">
        <f>IF(OR(Q_Rech="",$E160=""),"",IF(ISNUMBER(SEARCH(Q_Rech,$E160&amp;" "&amp;$F160&amp;" "&amp;$G160&amp;" "&amp;$H160&amp;" "&amp;$I160)),COUNT($T$6:$T159)+1,""))</f>
        <v/>
      </c>
      <c r="U160">
        <f>IF($E160="","",IF(COUNTIFS(EMP_Livre,$E160,EMP_Date,"&gt;="&amp;R_Mois,EMP_Date,"&lt;"&amp;EDATE(R_Mois,1))=0,"",COUNTIFS(EMP_Livre,$E160,EMP_Date,"&gt;="&amp;R_Mois,EMP_Date,"&lt;"&amp;EDATE(R_Mois,1))+ROW()/100000))</f>
        <v/>
      </c>
    </row>
    <row r="161" ht="21" customHeight="1">
      <c r="A161" s="1" t="n"/>
      <c r="B161" s="1" t="n"/>
      <c r="C161" s="2" t="n"/>
      <c r="E161" s="127" t="n"/>
      <c r="F161" s="127" t="n"/>
      <c r="G161" s="127" t="n"/>
      <c r="H161" s="127" t="n"/>
      <c r="I161" s="127" t="n"/>
      <c r="J161" s="127" t="n"/>
      <c r="K161" s="128" t="n"/>
      <c r="L161" s="128" t="n"/>
      <c r="M161" s="127" t="n"/>
      <c r="N161" s="129">
        <f>IF($E161="","",COUNTIFS(EMP_Livre,$E161,EMP_Retour,""))</f>
        <v/>
      </c>
      <c r="O161" s="129">
        <f>IF($E161="","",$L161-$N161)</f>
        <v/>
      </c>
      <c r="P161" s="129">
        <f>IF($E161="","",COUNTIF(EMP_Livre,$E161))</f>
        <v/>
      </c>
      <c r="Q161" s="130">
        <f>IF($E161="","",IF($O161&lt;=0,"Indisponible",IF(AND($O161=1,$L161&gt;1),"Dernier exemplaire","Disponible")))</f>
        <v/>
      </c>
      <c r="S161">
        <f>IF($E161="","",$P161+ROW()/100000)</f>
        <v/>
      </c>
      <c r="T161">
        <f>IF(OR(Q_Rech="",$E161=""),"",IF(ISNUMBER(SEARCH(Q_Rech,$E161&amp;" "&amp;$F161&amp;" "&amp;$G161&amp;" "&amp;$H161&amp;" "&amp;$I161)),COUNT($T$6:$T160)+1,""))</f>
        <v/>
      </c>
      <c r="U161">
        <f>IF($E161="","",IF(COUNTIFS(EMP_Livre,$E161,EMP_Date,"&gt;="&amp;R_Mois,EMP_Date,"&lt;"&amp;EDATE(R_Mois,1))=0,"",COUNTIFS(EMP_Livre,$E161,EMP_Date,"&gt;="&amp;R_Mois,EMP_Date,"&lt;"&amp;EDATE(R_Mois,1))+ROW()/100000))</f>
        <v/>
      </c>
    </row>
    <row r="162" ht="21" customHeight="1">
      <c r="A162" s="1" t="n"/>
      <c r="B162" s="1" t="n"/>
      <c r="C162" s="2" t="n"/>
      <c r="E162" s="127" t="n"/>
      <c r="F162" s="127" t="n"/>
      <c r="G162" s="127" t="n"/>
      <c r="H162" s="127" t="n"/>
      <c r="I162" s="127" t="n"/>
      <c r="J162" s="127" t="n"/>
      <c r="K162" s="128" t="n"/>
      <c r="L162" s="128" t="n"/>
      <c r="M162" s="127" t="n"/>
      <c r="N162" s="129">
        <f>IF($E162="","",COUNTIFS(EMP_Livre,$E162,EMP_Retour,""))</f>
        <v/>
      </c>
      <c r="O162" s="129">
        <f>IF($E162="","",$L162-$N162)</f>
        <v/>
      </c>
      <c r="P162" s="129">
        <f>IF($E162="","",COUNTIF(EMP_Livre,$E162))</f>
        <v/>
      </c>
      <c r="Q162" s="130">
        <f>IF($E162="","",IF($O162&lt;=0,"Indisponible",IF(AND($O162=1,$L162&gt;1),"Dernier exemplaire","Disponible")))</f>
        <v/>
      </c>
      <c r="S162">
        <f>IF($E162="","",$P162+ROW()/100000)</f>
        <v/>
      </c>
      <c r="T162">
        <f>IF(OR(Q_Rech="",$E162=""),"",IF(ISNUMBER(SEARCH(Q_Rech,$E162&amp;" "&amp;$F162&amp;" "&amp;$G162&amp;" "&amp;$H162&amp;" "&amp;$I162)),COUNT($T$6:$T161)+1,""))</f>
        <v/>
      </c>
      <c r="U162">
        <f>IF($E162="","",IF(COUNTIFS(EMP_Livre,$E162,EMP_Date,"&gt;="&amp;R_Mois,EMP_Date,"&lt;"&amp;EDATE(R_Mois,1))=0,"",COUNTIFS(EMP_Livre,$E162,EMP_Date,"&gt;="&amp;R_Mois,EMP_Date,"&lt;"&amp;EDATE(R_Mois,1))+ROW()/100000))</f>
        <v/>
      </c>
    </row>
    <row r="163" ht="21" customHeight="1">
      <c r="A163" s="1" t="n"/>
      <c r="B163" s="1" t="n"/>
      <c r="C163" s="2" t="n"/>
      <c r="E163" s="127" t="n"/>
      <c r="F163" s="127" t="n"/>
      <c r="G163" s="127" t="n"/>
      <c r="H163" s="127" t="n"/>
      <c r="I163" s="127" t="n"/>
      <c r="J163" s="127" t="n"/>
      <c r="K163" s="128" t="n"/>
      <c r="L163" s="128" t="n"/>
      <c r="M163" s="127" t="n"/>
      <c r="N163" s="129">
        <f>IF($E163="","",COUNTIFS(EMP_Livre,$E163,EMP_Retour,""))</f>
        <v/>
      </c>
      <c r="O163" s="129">
        <f>IF($E163="","",$L163-$N163)</f>
        <v/>
      </c>
      <c r="P163" s="129">
        <f>IF($E163="","",COUNTIF(EMP_Livre,$E163))</f>
        <v/>
      </c>
      <c r="Q163" s="130">
        <f>IF($E163="","",IF($O163&lt;=0,"Indisponible",IF(AND($O163=1,$L163&gt;1),"Dernier exemplaire","Disponible")))</f>
        <v/>
      </c>
      <c r="S163">
        <f>IF($E163="","",$P163+ROW()/100000)</f>
        <v/>
      </c>
      <c r="T163">
        <f>IF(OR(Q_Rech="",$E163=""),"",IF(ISNUMBER(SEARCH(Q_Rech,$E163&amp;" "&amp;$F163&amp;" "&amp;$G163&amp;" "&amp;$H163&amp;" "&amp;$I163)),COUNT($T$6:$T162)+1,""))</f>
        <v/>
      </c>
      <c r="U163">
        <f>IF($E163="","",IF(COUNTIFS(EMP_Livre,$E163,EMP_Date,"&gt;="&amp;R_Mois,EMP_Date,"&lt;"&amp;EDATE(R_Mois,1))=0,"",COUNTIFS(EMP_Livre,$E163,EMP_Date,"&gt;="&amp;R_Mois,EMP_Date,"&lt;"&amp;EDATE(R_Mois,1))+ROW()/100000))</f>
        <v/>
      </c>
    </row>
    <row r="164" ht="21" customHeight="1">
      <c r="A164" s="1" t="n"/>
      <c r="B164" s="1" t="n"/>
      <c r="C164" s="2" t="n"/>
      <c r="E164" s="127" t="n"/>
      <c r="F164" s="127" t="n"/>
      <c r="G164" s="127" t="n"/>
      <c r="H164" s="127" t="n"/>
      <c r="I164" s="127" t="n"/>
      <c r="J164" s="127" t="n"/>
      <c r="K164" s="128" t="n"/>
      <c r="L164" s="128" t="n"/>
      <c r="M164" s="127" t="n"/>
      <c r="N164" s="129">
        <f>IF($E164="","",COUNTIFS(EMP_Livre,$E164,EMP_Retour,""))</f>
        <v/>
      </c>
      <c r="O164" s="129">
        <f>IF($E164="","",$L164-$N164)</f>
        <v/>
      </c>
      <c r="P164" s="129">
        <f>IF($E164="","",COUNTIF(EMP_Livre,$E164))</f>
        <v/>
      </c>
      <c r="Q164" s="130">
        <f>IF($E164="","",IF($O164&lt;=0,"Indisponible",IF(AND($O164=1,$L164&gt;1),"Dernier exemplaire","Disponible")))</f>
        <v/>
      </c>
      <c r="S164">
        <f>IF($E164="","",$P164+ROW()/100000)</f>
        <v/>
      </c>
      <c r="T164">
        <f>IF(OR(Q_Rech="",$E164=""),"",IF(ISNUMBER(SEARCH(Q_Rech,$E164&amp;" "&amp;$F164&amp;" "&amp;$G164&amp;" "&amp;$H164&amp;" "&amp;$I164)),COUNT($T$6:$T163)+1,""))</f>
        <v/>
      </c>
      <c r="U164">
        <f>IF($E164="","",IF(COUNTIFS(EMP_Livre,$E164,EMP_Date,"&gt;="&amp;R_Mois,EMP_Date,"&lt;"&amp;EDATE(R_Mois,1))=0,"",COUNTIFS(EMP_Livre,$E164,EMP_Date,"&gt;="&amp;R_Mois,EMP_Date,"&lt;"&amp;EDATE(R_Mois,1))+ROW()/100000))</f>
        <v/>
      </c>
    </row>
    <row r="165" ht="21" customHeight="1">
      <c r="A165" s="1" t="n"/>
      <c r="B165" s="1" t="n"/>
      <c r="C165" s="2" t="n"/>
      <c r="E165" s="127" t="n"/>
      <c r="F165" s="127" t="n"/>
      <c r="G165" s="127" t="n"/>
      <c r="H165" s="127" t="n"/>
      <c r="I165" s="127" t="n"/>
      <c r="J165" s="127" t="n"/>
      <c r="K165" s="128" t="n"/>
      <c r="L165" s="128" t="n"/>
      <c r="M165" s="127" t="n"/>
      <c r="N165" s="129">
        <f>IF($E165="","",COUNTIFS(EMP_Livre,$E165,EMP_Retour,""))</f>
        <v/>
      </c>
      <c r="O165" s="129">
        <f>IF($E165="","",$L165-$N165)</f>
        <v/>
      </c>
      <c r="P165" s="129">
        <f>IF($E165="","",COUNTIF(EMP_Livre,$E165))</f>
        <v/>
      </c>
      <c r="Q165" s="130">
        <f>IF($E165="","",IF($O165&lt;=0,"Indisponible",IF(AND($O165=1,$L165&gt;1),"Dernier exemplaire","Disponible")))</f>
        <v/>
      </c>
      <c r="S165">
        <f>IF($E165="","",$P165+ROW()/100000)</f>
        <v/>
      </c>
      <c r="T165">
        <f>IF(OR(Q_Rech="",$E165=""),"",IF(ISNUMBER(SEARCH(Q_Rech,$E165&amp;" "&amp;$F165&amp;" "&amp;$G165&amp;" "&amp;$H165&amp;" "&amp;$I165)),COUNT($T$6:$T164)+1,""))</f>
        <v/>
      </c>
      <c r="U165">
        <f>IF($E165="","",IF(COUNTIFS(EMP_Livre,$E165,EMP_Date,"&gt;="&amp;R_Mois,EMP_Date,"&lt;"&amp;EDATE(R_Mois,1))=0,"",COUNTIFS(EMP_Livre,$E165,EMP_Date,"&gt;="&amp;R_Mois,EMP_Date,"&lt;"&amp;EDATE(R_Mois,1))+ROW()/100000))</f>
        <v/>
      </c>
    </row>
    <row r="166" ht="21" customHeight="1">
      <c r="A166" s="1" t="n"/>
      <c r="B166" s="1" t="n"/>
      <c r="C166" s="2" t="n"/>
      <c r="E166" s="127" t="n"/>
      <c r="F166" s="127" t="n"/>
      <c r="G166" s="127" t="n"/>
      <c r="H166" s="127" t="n"/>
      <c r="I166" s="127" t="n"/>
      <c r="J166" s="127" t="n"/>
      <c r="K166" s="128" t="n"/>
      <c r="L166" s="128" t="n"/>
      <c r="M166" s="127" t="n"/>
      <c r="N166" s="129">
        <f>IF($E166="","",COUNTIFS(EMP_Livre,$E166,EMP_Retour,""))</f>
        <v/>
      </c>
      <c r="O166" s="129">
        <f>IF($E166="","",$L166-$N166)</f>
        <v/>
      </c>
      <c r="P166" s="129">
        <f>IF($E166="","",COUNTIF(EMP_Livre,$E166))</f>
        <v/>
      </c>
      <c r="Q166" s="130">
        <f>IF($E166="","",IF($O166&lt;=0,"Indisponible",IF(AND($O166=1,$L166&gt;1),"Dernier exemplaire","Disponible")))</f>
        <v/>
      </c>
      <c r="S166">
        <f>IF($E166="","",$P166+ROW()/100000)</f>
        <v/>
      </c>
      <c r="T166">
        <f>IF(OR(Q_Rech="",$E166=""),"",IF(ISNUMBER(SEARCH(Q_Rech,$E166&amp;" "&amp;$F166&amp;" "&amp;$G166&amp;" "&amp;$H166&amp;" "&amp;$I166)),COUNT($T$6:$T165)+1,""))</f>
        <v/>
      </c>
      <c r="U166">
        <f>IF($E166="","",IF(COUNTIFS(EMP_Livre,$E166,EMP_Date,"&gt;="&amp;R_Mois,EMP_Date,"&lt;"&amp;EDATE(R_Mois,1))=0,"",COUNTIFS(EMP_Livre,$E166,EMP_Date,"&gt;="&amp;R_Mois,EMP_Date,"&lt;"&amp;EDATE(R_Mois,1))+ROW()/100000))</f>
        <v/>
      </c>
    </row>
    <row r="167" ht="21" customHeight="1">
      <c r="A167" s="1" t="n"/>
      <c r="B167" s="1" t="n"/>
      <c r="C167" s="2" t="n"/>
      <c r="E167" s="127" t="n"/>
      <c r="F167" s="127" t="n"/>
      <c r="G167" s="127" t="n"/>
      <c r="H167" s="127" t="n"/>
      <c r="I167" s="127" t="n"/>
      <c r="J167" s="127" t="n"/>
      <c r="K167" s="128" t="n"/>
      <c r="L167" s="128" t="n"/>
      <c r="M167" s="127" t="n"/>
      <c r="N167" s="129">
        <f>IF($E167="","",COUNTIFS(EMP_Livre,$E167,EMP_Retour,""))</f>
        <v/>
      </c>
      <c r="O167" s="129">
        <f>IF($E167="","",$L167-$N167)</f>
        <v/>
      </c>
      <c r="P167" s="129">
        <f>IF($E167="","",COUNTIF(EMP_Livre,$E167))</f>
        <v/>
      </c>
      <c r="Q167" s="130">
        <f>IF($E167="","",IF($O167&lt;=0,"Indisponible",IF(AND($O167=1,$L167&gt;1),"Dernier exemplaire","Disponible")))</f>
        <v/>
      </c>
      <c r="S167">
        <f>IF($E167="","",$P167+ROW()/100000)</f>
        <v/>
      </c>
      <c r="T167">
        <f>IF(OR(Q_Rech="",$E167=""),"",IF(ISNUMBER(SEARCH(Q_Rech,$E167&amp;" "&amp;$F167&amp;" "&amp;$G167&amp;" "&amp;$H167&amp;" "&amp;$I167)),COUNT($T$6:$T166)+1,""))</f>
        <v/>
      </c>
      <c r="U167">
        <f>IF($E167="","",IF(COUNTIFS(EMP_Livre,$E167,EMP_Date,"&gt;="&amp;R_Mois,EMP_Date,"&lt;"&amp;EDATE(R_Mois,1))=0,"",COUNTIFS(EMP_Livre,$E167,EMP_Date,"&gt;="&amp;R_Mois,EMP_Date,"&lt;"&amp;EDATE(R_Mois,1))+ROW()/100000))</f>
        <v/>
      </c>
    </row>
    <row r="168" ht="21" customHeight="1">
      <c r="A168" s="1" t="n"/>
      <c r="B168" s="1" t="n"/>
      <c r="C168" s="2" t="n"/>
      <c r="E168" s="127" t="n"/>
      <c r="F168" s="127" t="n"/>
      <c r="G168" s="127" t="n"/>
      <c r="H168" s="127" t="n"/>
      <c r="I168" s="127" t="n"/>
      <c r="J168" s="127" t="n"/>
      <c r="K168" s="128" t="n"/>
      <c r="L168" s="128" t="n"/>
      <c r="M168" s="127" t="n"/>
      <c r="N168" s="129">
        <f>IF($E168="","",COUNTIFS(EMP_Livre,$E168,EMP_Retour,""))</f>
        <v/>
      </c>
      <c r="O168" s="129">
        <f>IF($E168="","",$L168-$N168)</f>
        <v/>
      </c>
      <c r="P168" s="129">
        <f>IF($E168="","",COUNTIF(EMP_Livre,$E168))</f>
        <v/>
      </c>
      <c r="Q168" s="130">
        <f>IF($E168="","",IF($O168&lt;=0,"Indisponible",IF(AND($O168=1,$L168&gt;1),"Dernier exemplaire","Disponible")))</f>
        <v/>
      </c>
      <c r="S168">
        <f>IF($E168="","",$P168+ROW()/100000)</f>
        <v/>
      </c>
      <c r="T168">
        <f>IF(OR(Q_Rech="",$E168=""),"",IF(ISNUMBER(SEARCH(Q_Rech,$E168&amp;" "&amp;$F168&amp;" "&amp;$G168&amp;" "&amp;$H168&amp;" "&amp;$I168)),COUNT($T$6:$T167)+1,""))</f>
        <v/>
      </c>
      <c r="U168">
        <f>IF($E168="","",IF(COUNTIFS(EMP_Livre,$E168,EMP_Date,"&gt;="&amp;R_Mois,EMP_Date,"&lt;"&amp;EDATE(R_Mois,1))=0,"",COUNTIFS(EMP_Livre,$E168,EMP_Date,"&gt;="&amp;R_Mois,EMP_Date,"&lt;"&amp;EDATE(R_Mois,1))+ROW()/100000))</f>
        <v/>
      </c>
    </row>
    <row r="169" ht="21" customHeight="1">
      <c r="A169" s="1" t="n"/>
      <c r="B169" s="1" t="n"/>
      <c r="C169" s="2" t="n"/>
      <c r="E169" s="127" t="n"/>
      <c r="F169" s="127" t="n"/>
      <c r="G169" s="127" t="n"/>
      <c r="H169" s="127" t="n"/>
      <c r="I169" s="127" t="n"/>
      <c r="J169" s="127" t="n"/>
      <c r="K169" s="128" t="n"/>
      <c r="L169" s="128" t="n"/>
      <c r="M169" s="127" t="n"/>
      <c r="N169" s="129">
        <f>IF($E169="","",COUNTIFS(EMP_Livre,$E169,EMP_Retour,""))</f>
        <v/>
      </c>
      <c r="O169" s="129">
        <f>IF($E169="","",$L169-$N169)</f>
        <v/>
      </c>
      <c r="P169" s="129">
        <f>IF($E169="","",COUNTIF(EMP_Livre,$E169))</f>
        <v/>
      </c>
      <c r="Q169" s="130">
        <f>IF($E169="","",IF($O169&lt;=0,"Indisponible",IF(AND($O169=1,$L169&gt;1),"Dernier exemplaire","Disponible")))</f>
        <v/>
      </c>
      <c r="S169">
        <f>IF($E169="","",$P169+ROW()/100000)</f>
        <v/>
      </c>
      <c r="T169">
        <f>IF(OR(Q_Rech="",$E169=""),"",IF(ISNUMBER(SEARCH(Q_Rech,$E169&amp;" "&amp;$F169&amp;" "&amp;$G169&amp;" "&amp;$H169&amp;" "&amp;$I169)),COUNT($T$6:$T168)+1,""))</f>
        <v/>
      </c>
      <c r="U169">
        <f>IF($E169="","",IF(COUNTIFS(EMP_Livre,$E169,EMP_Date,"&gt;="&amp;R_Mois,EMP_Date,"&lt;"&amp;EDATE(R_Mois,1))=0,"",COUNTIFS(EMP_Livre,$E169,EMP_Date,"&gt;="&amp;R_Mois,EMP_Date,"&lt;"&amp;EDATE(R_Mois,1))+ROW()/100000))</f>
        <v/>
      </c>
    </row>
    <row r="170" ht="21" customHeight="1">
      <c r="A170" s="1" t="n"/>
      <c r="B170" s="1" t="n"/>
      <c r="C170" s="2" t="n"/>
      <c r="E170" s="127" t="n"/>
      <c r="F170" s="127" t="n"/>
      <c r="G170" s="127" t="n"/>
      <c r="H170" s="127" t="n"/>
      <c r="I170" s="127" t="n"/>
      <c r="J170" s="127" t="n"/>
      <c r="K170" s="128" t="n"/>
      <c r="L170" s="128" t="n"/>
      <c r="M170" s="127" t="n"/>
      <c r="N170" s="129">
        <f>IF($E170="","",COUNTIFS(EMP_Livre,$E170,EMP_Retour,""))</f>
        <v/>
      </c>
      <c r="O170" s="129">
        <f>IF($E170="","",$L170-$N170)</f>
        <v/>
      </c>
      <c r="P170" s="129">
        <f>IF($E170="","",COUNTIF(EMP_Livre,$E170))</f>
        <v/>
      </c>
      <c r="Q170" s="130">
        <f>IF($E170="","",IF($O170&lt;=0,"Indisponible",IF(AND($O170=1,$L170&gt;1),"Dernier exemplaire","Disponible")))</f>
        <v/>
      </c>
      <c r="S170">
        <f>IF($E170="","",$P170+ROW()/100000)</f>
        <v/>
      </c>
      <c r="T170">
        <f>IF(OR(Q_Rech="",$E170=""),"",IF(ISNUMBER(SEARCH(Q_Rech,$E170&amp;" "&amp;$F170&amp;" "&amp;$G170&amp;" "&amp;$H170&amp;" "&amp;$I170)),COUNT($T$6:$T169)+1,""))</f>
        <v/>
      </c>
      <c r="U170">
        <f>IF($E170="","",IF(COUNTIFS(EMP_Livre,$E170,EMP_Date,"&gt;="&amp;R_Mois,EMP_Date,"&lt;"&amp;EDATE(R_Mois,1))=0,"",COUNTIFS(EMP_Livre,$E170,EMP_Date,"&gt;="&amp;R_Mois,EMP_Date,"&lt;"&amp;EDATE(R_Mois,1))+ROW()/100000))</f>
        <v/>
      </c>
    </row>
    <row r="171" ht="21" customHeight="1">
      <c r="A171" s="1" t="n"/>
      <c r="B171" s="1" t="n"/>
      <c r="C171" s="2" t="n"/>
      <c r="E171" s="127" t="n"/>
      <c r="F171" s="127" t="n"/>
      <c r="G171" s="127" t="n"/>
      <c r="H171" s="127" t="n"/>
      <c r="I171" s="127" t="n"/>
      <c r="J171" s="127" t="n"/>
      <c r="K171" s="128" t="n"/>
      <c r="L171" s="128" t="n"/>
      <c r="M171" s="127" t="n"/>
      <c r="N171" s="129">
        <f>IF($E171="","",COUNTIFS(EMP_Livre,$E171,EMP_Retour,""))</f>
        <v/>
      </c>
      <c r="O171" s="129">
        <f>IF($E171="","",$L171-$N171)</f>
        <v/>
      </c>
      <c r="P171" s="129">
        <f>IF($E171="","",COUNTIF(EMP_Livre,$E171))</f>
        <v/>
      </c>
      <c r="Q171" s="130">
        <f>IF($E171="","",IF($O171&lt;=0,"Indisponible",IF(AND($O171=1,$L171&gt;1),"Dernier exemplaire","Disponible")))</f>
        <v/>
      </c>
      <c r="S171">
        <f>IF($E171="","",$P171+ROW()/100000)</f>
        <v/>
      </c>
      <c r="T171">
        <f>IF(OR(Q_Rech="",$E171=""),"",IF(ISNUMBER(SEARCH(Q_Rech,$E171&amp;" "&amp;$F171&amp;" "&amp;$G171&amp;" "&amp;$H171&amp;" "&amp;$I171)),COUNT($T$6:$T170)+1,""))</f>
        <v/>
      </c>
      <c r="U171">
        <f>IF($E171="","",IF(COUNTIFS(EMP_Livre,$E171,EMP_Date,"&gt;="&amp;R_Mois,EMP_Date,"&lt;"&amp;EDATE(R_Mois,1))=0,"",COUNTIFS(EMP_Livre,$E171,EMP_Date,"&gt;="&amp;R_Mois,EMP_Date,"&lt;"&amp;EDATE(R_Mois,1))+ROW()/100000))</f>
        <v/>
      </c>
    </row>
    <row r="172" ht="21" customHeight="1">
      <c r="A172" s="1" t="n"/>
      <c r="B172" s="1" t="n"/>
      <c r="C172" s="2" t="n"/>
      <c r="E172" s="127" t="n"/>
      <c r="F172" s="127" t="n"/>
      <c r="G172" s="127" t="n"/>
      <c r="H172" s="127" t="n"/>
      <c r="I172" s="127" t="n"/>
      <c r="J172" s="127" t="n"/>
      <c r="K172" s="128" t="n"/>
      <c r="L172" s="128" t="n"/>
      <c r="M172" s="127" t="n"/>
      <c r="N172" s="129">
        <f>IF($E172="","",COUNTIFS(EMP_Livre,$E172,EMP_Retour,""))</f>
        <v/>
      </c>
      <c r="O172" s="129">
        <f>IF($E172="","",$L172-$N172)</f>
        <v/>
      </c>
      <c r="P172" s="129">
        <f>IF($E172="","",COUNTIF(EMP_Livre,$E172))</f>
        <v/>
      </c>
      <c r="Q172" s="130">
        <f>IF($E172="","",IF($O172&lt;=0,"Indisponible",IF(AND($O172=1,$L172&gt;1),"Dernier exemplaire","Disponible")))</f>
        <v/>
      </c>
      <c r="S172">
        <f>IF($E172="","",$P172+ROW()/100000)</f>
        <v/>
      </c>
      <c r="T172">
        <f>IF(OR(Q_Rech="",$E172=""),"",IF(ISNUMBER(SEARCH(Q_Rech,$E172&amp;" "&amp;$F172&amp;" "&amp;$G172&amp;" "&amp;$H172&amp;" "&amp;$I172)),COUNT($T$6:$T171)+1,""))</f>
        <v/>
      </c>
      <c r="U172">
        <f>IF($E172="","",IF(COUNTIFS(EMP_Livre,$E172,EMP_Date,"&gt;="&amp;R_Mois,EMP_Date,"&lt;"&amp;EDATE(R_Mois,1))=0,"",COUNTIFS(EMP_Livre,$E172,EMP_Date,"&gt;="&amp;R_Mois,EMP_Date,"&lt;"&amp;EDATE(R_Mois,1))+ROW()/100000))</f>
        <v/>
      </c>
    </row>
    <row r="173" ht="21" customHeight="1">
      <c r="A173" s="1" t="n"/>
      <c r="B173" s="1" t="n"/>
      <c r="C173" s="2" t="n"/>
      <c r="E173" s="127" t="n"/>
      <c r="F173" s="127" t="n"/>
      <c r="G173" s="127" t="n"/>
      <c r="H173" s="127" t="n"/>
      <c r="I173" s="127" t="n"/>
      <c r="J173" s="127" t="n"/>
      <c r="K173" s="128" t="n"/>
      <c r="L173" s="128" t="n"/>
      <c r="M173" s="127" t="n"/>
      <c r="N173" s="129">
        <f>IF($E173="","",COUNTIFS(EMP_Livre,$E173,EMP_Retour,""))</f>
        <v/>
      </c>
      <c r="O173" s="129">
        <f>IF($E173="","",$L173-$N173)</f>
        <v/>
      </c>
      <c r="P173" s="129">
        <f>IF($E173="","",COUNTIF(EMP_Livre,$E173))</f>
        <v/>
      </c>
      <c r="Q173" s="130">
        <f>IF($E173="","",IF($O173&lt;=0,"Indisponible",IF(AND($O173=1,$L173&gt;1),"Dernier exemplaire","Disponible")))</f>
        <v/>
      </c>
      <c r="S173">
        <f>IF($E173="","",$P173+ROW()/100000)</f>
        <v/>
      </c>
      <c r="T173">
        <f>IF(OR(Q_Rech="",$E173=""),"",IF(ISNUMBER(SEARCH(Q_Rech,$E173&amp;" "&amp;$F173&amp;" "&amp;$G173&amp;" "&amp;$H173&amp;" "&amp;$I173)),COUNT($T$6:$T172)+1,""))</f>
        <v/>
      </c>
      <c r="U173">
        <f>IF($E173="","",IF(COUNTIFS(EMP_Livre,$E173,EMP_Date,"&gt;="&amp;R_Mois,EMP_Date,"&lt;"&amp;EDATE(R_Mois,1))=0,"",COUNTIFS(EMP_Livre,$E173,EMP_Date,"&gt;="&amp;R_Mois,EMP_Date,"&lt;"&amp;EDATE(R_Mois,1))+ROW()/100000))</f>
        <v/>
      </c>
    </row>
    <row r="174" ht="21" customHeight="1">
      <c r="A174" s="1" t="n"/>
      <c r="B174" s="1" t="n"/>
      <c r="C174" s="2" t="n"/>
      <c r="E174" s="127" t="n"/>
      <c r="F174" s="127" t="n"/>
      <c r="G174" s="127" t="n"/>
      <c r="H174" s="127" t="n"/>
      <c r="I174" s="127" t="n"/>
      <c r="J174" s="127" t="n"/>
      <c r="K174" s="128" t="n"/>
      <c r="L174" s="128" t="n"/>
      <c r="M174" s="127" t="n"/>
      <c r="N174" s="129">
        <f>IF($E174="","",COUNTIFS(EMP_Livre,$E174,EMP_Retour,""))</f>
        <v/>
      </c>
      <c r="O174" s="129">
        <f>IF($E174="","",$L174-$N174)</f>
        <v/>
      </c>
      <c r="P174" s="129">
        <f>IF($E174="","",COUNTIF(EMP_Livre,$E174))</f>
        <v/>
      </c>
      <c r="Q174" s="130">
        <f>IF($E174="","",IF($O174&lt;=0,"Indisponible",IF(AND($O174=1,$L174&gt;1),"Dernier exemplaire","Disponible")))</f>
        <v/>
      </c>
      <c r="S174">
        <f>IF($E174="","",$P174+ROW()/100000)</f>
        <v/>
      </c>
      <c r="T174">
        <f>IF(OR(Q_Rech="",$E174=""),"",IF(ISNUMBER(SEARCH(Q_Rech,$E174&amp;" "&amp;$F174&amp;" "&amp;$G174&amp;" "&amp;$H174&amp;" "&amp;$I174)),COUNT($T$6:$T173)+1,""))</f>
        <v/>
      </c>
      <c r="U174">
        <f>IF($E174="","",IF(COUNTIFS(EMP_Livre,$E174,EMP_Date,"&gt;="&amp;R_Mois,EMP_Date,"&lt;"&amp;EDATE(R_Mois,1))=0,"",COUNTIFS(EMP_Livre,$E174,EMP_Date,"&gt;="&amp;R_Mois,EMP_Date,"&lt;"&amp;EDATE(R_Mois,1))+ROW()/100000))</f>
        <v/>
      </c>
    </row>
    <row r="175" ht="21" customHeight="1">
      <c r="A175" s="1" t="n"/>
      <c r="B175" s="1" t="n"/>
      <c r="C175" s="2" t="n"/>
      <c r="E175" s="127" t="n"/>
      <c r="F175" s="127" t="n"/>
      <c r="G175" s="127" t="n"/>
      <c r="H175" s="127" t="n"/>
      <c r="I175" s="127" t="n"/>
      <c r="J175" s="127" t="n"/>
      <c r="K175" s="128" t="n"/>
      <c r="L175" s="128" t="n"/>
      <c r="M175" s="127" t="n"/>
      <c r="N175" s="129">
        <f>IF($E175="","",COUNTIFS(EMP_Livre,$E175,EMP_Retour,""))</f>
        <v/>
      </c>
      <c r="O175" s="129">
        <f>IF($E175="","",$L175-$N175)</f>
        <v/>
      </c>
      <c r="P175" s="129">
        <f>IF($E175="","",COUNTIF(EMP_Livre,$E175))</f>
        <v/>
      </c>
      <c r="Q175" s="130">
        <f>IF($E175="","",IF($O175&lt;=0,"Indisponible",IF(AND($O175=1,$L175&gt;1),"Dernier exemplaire","Disponible")))</f>
        <v/>
      </c>
      <c r="S175">
        <f>IF($E175="","",$P175+ROW()/100000)</f>
        <v/>
      </c>
      <c r="T175">
        <f>IF(OR(Q_Rech="",$E175=""),"",IF(ISNUMBER(SEARCH(Q_Rech,$E175&amp;" "&amp;$F175&amp;" "&amp;$G175&amp;" "&amp;$H175&amp;" "&amp;$I175)),COUNT($T$6:$T174)+1,""))</f>
        <v/>
      </c>
      <c r="U175">
        <f>IF($E175="","",IF(COUNTIFS(EMP_Livre,$E175,EMP_Date,"&gt;="&amp;R_Mois,EMP_Date,"&lt;"&amp;EDATE(R_Mois,1))=0,"",COUNTIFS(EMP_Livre,$E175,EMP_Date,"&gt;="&amp;R_Mois,EMP_Date,"&lt;"&amp;EDATE(R_Mois,1))+ROW()/100000))</f>
        <v/>
      </c>
    </row>
    <row r="176" ht="21" customHeight="1">
      <c r="A176" s="1" t="n"/>
      <c r="B176" s="1" t="n"/>
      <c r="C176" s="2" t="n"/>
      <c r="E176" s="127" t="n"/>
      <c r="F176" s="127" t="n"/>
      <c r="G176" s="127" t="n"/>
      <c r="H176" s="127" t="n"/>
      <c r="I176" s="127" t="n"/>
      <c r="J176" s="127" t="n"/>
      <c r="K176" s="128" t="n"/>
      <c r="L176" s="128" t="n"/>
      <c r="M176" s="127" t="n"/>
      <c r="N176" s="129">
        <f>IF($E176="","",COUNTIFS(EMP_Livre,$E176,EMP_Retour,""))</f>
        <v/>
      </c>
      <c r="O176" s="129">
        <f>IF($E176="","",$L176-$N176)</f>
        <v/>
      </c>
      <c r="P176" s="129">
        <f>IF($E176="","",COUNTIF(EMP_Livre,$E176))</f>
        <v/>
      </c>
      <c r="Q176" s="130">
        <f>IF($E176="","",IF($O176&lt;=0,"Indisponible",IF(AND($O176=1,$L176&gt;1),"Dernier exemplaire","Disponible")))</f>
        <v/>
      </c>
      <c r="S176">
        <f>IF($E176="","",$P176+ROW()/100000)</f>
        <v/>
      </c>
      <c r="T176">
        <f>IF(OR(Q_Rech="",$E176=""),"",IF(ISNUMBER(SEARCH(Q_Rech,$E176&amp;" "&amp;$F176&amp;" "&amp;$G176&amp;" "&amp;$H176&amp;" "&amp;$I176)),COUNT($T$6:$T175)+1,""))</f>
        <v/>
      </c>
      <c r="U176">
        <f>IF($E176="","",IF(COUNTIFS(EMP_Livre,$E176,EMP_Date,"&gt;="&amp;R_Mois,EMP_Date,"&lt;"&amp;EDATE(R_Mois,1))=0,"",COUNTIFS(EMP_Livre,$E176,EMP_Date,"&gt;="&amp;R_Mois,EMP_Date,"&lt;"&amp;EDATE(R_Mois,1))+ROW()/100000))</f>
        <v/>
      </c>
    </row>
    <row r="177" ht="21" customHeight="1">
      <c r="A177" s="1" t="n"/>
      <c r="B177" s="1" t="n"/>
      <c r="C177" s="2" t="n"/>
      <c r="E177" s="127" t="n"/>
      <c r="F177" s="127" t="n"/>
      <c r="G177" s="127" t="n"/>
      <c r="H177" s="127" t="n"/>
      <c r="I177" s="127" t="n"/>
      <c r="J177" s="127" t="n"/>
      <c r="K177" s="128" t="n"/>
      <c r="L177" s="128" t="n"/>
      <c r="M177" s="127" t="n"/>
      <c r="N177" s="129">
        <f>IF($E177="","",COUNTIFS(EMP_Livre,$E177,EMP_Retour,""))</f>
        <v/>
      </c>
      <c r="O177" s="129">
        <f>IF($E177="","",$L177-$N177)</f>
        <v/>
      </c>
      <c r="P177" s="129">
        <f>IF($E177="","",COUNTIF(EMP_Livre,$E177))</f>
        <v/>
      </c>
      <c r="Q177" s="130">
        <f>IF($E177="","",IF($O177&lt;=0,"Indisponible",IF(AND($O177=1,$L177&gt;1),"Dernier exemplaire","Disponible")))</f>
        <v/>
      </c>
      <c r="S177">
        <f>IF($E177="","",$P177+ROW()/100000)</f>
        <v/>
      </c>
      <c r="T177">
        <f>IF(OR(Q_Rech="",$E177=""),"",IF(ISNUMBER(SEARCH(Q_Rech,$E177&amp;" "&amp;$F177&amp;" "&amp;$G177&amp;" "&amp;$H177&amp;" "&amp;$I177)),COUNT($T$6:$T176)+1,""))</f>
        <v/>
      </c>
      <c r="U177">
        <f>IF($E177="","",IF(COUNTIFS(EMP_Livre,$E177,EMP_Date,"&gt;="&amp;R_Mois,EMP_Date,"&lt;"&amp;EDATE(R_Mois,1))=0,"",COUNTIFS(EMP_Livre,$E177,EMP_Date,"&gt;="&amp;R_Mois,EMP_Date,"&lt;"&amp;EDATE(R_Mois,1))+ROW()/100000))</f>
        <v/>
      </c>
    </row>
    <row r="178" ht="21" customHeight="1">
      <c r="A178" s="1" t="n"/>
      <c r="B178" s="1" t="n"/>
      <c r="C178" s="2" t="n"/>
      <c r="E178" s="127" t="n"/>
      <c r="F178" s="127" t="n"/>
      <c r="G178" s="127" t="n"/>
      <c r="H178" s="127" t="n"/>
      <c r="I178" s="127" t="n"/>
      <c r="J178" s="127" t="n"/>
      <c r="K178" s="128" t="n"/>
      <c r="L178" s="128" t="n"/>
      <c r="M178" s="127" t="n"/>
      <c r="N178" s="129">
        <f>IF($E178="","",COUNTIFS(EMP_Livre,$E178,EMP_Retour,""))</f>
        <v/>
      </c>
      <c r="O178" s="129">
        <f>IF($E178="","",$L178-$N178)</f>
        <v/>
      </c>
      <c r="P178" s="129">
        <f>IF($E178="","",COUNTIF(EMP_Livre,$E178))</f>
        <v/>
      </c>
      <c r="Q178" s="130">
        <f>IF($E178="","",IF($O178&lt;=0,"Indisponible",IF(AND($O178=1,$L178&gt;1),"Dernier exemplaire","Disponible")))</f>
        <v/>
      </c>
      <c r="S178">
        <f>IF($E178="","",$P178+ROW()/100000)</f>
        <v/>
      </c>
      <c r="T178">
        <f>IF(OR(Q_Rech="",$E178=""),"",IF(ISNUMBER(SEARCH(Q_Rech,$E178&amp;" "&amp;$F178&amp;" "&amp;$G178&amp;" "&amp;$H178&amp;" "&amp;$I178)),COUNT($T$6:$T177)+1,""))</f>
        <v/>
      </c>
      <c r="U178">
        <f>IF($E178="","",IF(COUNTIFS(EMP_Livre,$E178,EMP_Date,"&gt;="&amp;R_Mois,EMP_Date,"&lt;"&amp;EDATE(R_Mois,1))=0,"",COUNTIFS(EMP_Livre,$E178,EMP_Date,"&gt;="&amp;R_Mois,EMP_Date,"&lt;"&amp;EDATE(R_Mois,1))+ROW()/100000))</f>
        <v/>
      </c>
    </row>
    <row r="179" ht="21" customHeight="1">
      <c r="A179" s="1" t="n"/>
      <c r="B179" s="1" t="n"/>
      <c r="C179" s="2" t="n"/>
      <c r="E179" s="127" t="n"/>
      <c r="F179" s="127" t="n"/>
      <c r="G179" s="127" t="n"/>
      <c r="H179" s="127" t="n"/>
      <c r="I179" s="127" t="n"/>
      <c r="J179" s="127" t="n"/>
      <c r="K179" s="128" t="n"/>
      <c r="L179" s="128" t="n"/>
      <c r="M179" s="127" t="n"/>
      <c r="N179" s="129">
        <f>IF($E179="","",COUNTIFS(EMP_Livre,$E179,EMP_Retour,""))</f>
        <v/>
      </c>
      <c r="O179" s="129">
        <f>IF($E179="","",$L179-$N179)</f>
        <v/>
      </c>
      <c r="P179" s="129">
        <f>IF($E179="","",COUNTIF(EMP_Livre,$E179))</f>
        <v/>
      </c>
      <c r="Q179" s="130">
        <f>IF($E179="","",IF($O179&lt;=0,"Indisponible",IF(AND($O179=1,$L179&gt;1),"Dernier exemplaire","Disponible")))</f>
        <v/>
      </c>
      <c r="S179">
        <f>IF($E179="","",$P179+ROW()/100000)</f>
        <v/>
      </c>
      <c r="T179">
        <f>IF(OR(Q_Rech="",$E179=""),"",IF(ISNUMBER(SEARCH(Q_Rech,$E179&amp;" "&amp;$F179&amp;" "&amp;$G179&amp;" "&amp;$H179&amp;" "&amp;$I179)),COUNT($T$6:$T178)+1,""))</f>
        <v/>
      </c>
      <c r="U179">
        <f>IF($E179="","",IF(COUNTIFS(EMP_Livre,$E179,EMP_Date,"&gt;="&amp;R_Mois,EMP_Date,"&lt;"&amp;EDATE(R_Mois,1))=0,"",COUNTIFS(EMP_Livre,$E179,EMP_Date,"&gt;="&amp;R_Mois,EMP_Date,"&lt;"&amp;EDATE(R_Mois,1))+ROW()/100000))</f>
        <v/>
      </c>
    </row>
    <row r="180" ht="21" customHeight="1">
      <c r="A180" s="1" t="n"/>
      <c r="B180" s="1" t="n"/>
      <c r="C180" s="2" t="n"/>
      <c r="E180" s="127" t="n"/>
      <c r="F180" s="127" t="n"/>
      <c r="G180" s="127" t="n"/>
      <c r="H180" s="127" t="n"/>
      <c r="I180" s="127" t="n"/>
      <c r="J180" s="127" t="n"/>
      <c r="K180" s="128" t="n"/>
      <c r="L180" s="128" t="n"/>
      <c r="M180" s="127" t="n"/>
      <c r="N180" s="129">
        <f>IF($E180="","",COUNTIFS(EMP_Livre,$E180,EMP_Retour,""))</f>
        <v/>
      </c>
      <c r="O180" s="129">
        <f>IF($E180="","",$L180-$N180)</f>
        <v/>
      </c>
      <c r="P180" s="129">
        <f>IF($E180="","",COUNTIF(EMP_Livre,$E180))</f>
        <v/>
      </c>
      <c r="Q180" s="130">
        <f>IF($E180="","",IF($O180&lt;=0,"Indisponible",IF(AND($O180=1,$L180&gt;1),"Dernier exemplaire","Disponible")))</f>
        <v/>
      </c>
      <c r="S180">
        <f>IF($E180="","",$P180+ROW()/100000)</f>
        <v/>
      </c>
      <c r="T180">
        <f>IF(OR(Q_Rech="",$E180=""),"",IF(ISNUMBER(SEARCH(Q_Rech,$E180&amp;" "&amp;$F180&amp;" "&amp;$G180&amp;" "&amp;$H180&amp;" "&amp;$I180)),COUNT($T$6:$T179)+1,""))</f>
        <v/>
      </c>
      <c r="U180">
        <f>IF($E180="","",IF(COUNTIFS(EMP_Livre,$E180,EMP_Date,"&gt;="&amp;R_Mois,EMP_Date,"&lt;"&amp;EDATE(R_Mois,1))=0,"",COUNTIFS(EMP_Livre,$E180,EMP_Date,"&gt;="&amp;R_Mois,EMP_Date,"&lt;"&amp;EDATE(R_Mois,1))+ROW()/100000))</f>
        <v/>
      </c>
    </row>
    <row r="181" ht="21" customHeight="1">
      <c r="A181" s="1" t="n"/>
      <c r="B181" s="1" t="n"/>
      <c r="C181" s="2" t="n"/>
      <c r="E181" s="127" t="n"/>
      <c r="F181" s="127" t="n"/>
      <c r="G181" s="127" t="n"/>
      <c r="H181" s="127" t="n"/>
      <c r="I181" s="127" t="n"/>
      <c r="J181" s="127" t="n"/>
      <c r="K181" s="128" t="n"/>
      <c r="L181" s="128" t="n"/>
      <c r="M181" s="127" t="n"/>
      <c r="N181" s="129">
        <f>IF($E181="","",COUNTIFS(EMP_Livre,$E181,EMP_Retour,""))</f>
        <v/>
      </c>
      <c r="O181" s="129">
        <f>IF($E181="","",$L181-$N181)</f>
        <v/>
      </c>
      <c r="P181" s="129">
        <f>IF($E181="","",COUNTIF(EMP_Livre,$E181))</f>
        <v/>
      </c>
      <c r="Q181" s="130">
        <f>IF($E181="","",IF($O181&lt;=0,"Indisponible",IF(AND($O181=1,$L181&gt;1),"Dernier exemplaire","Disponible")))</f>
        <v/>
      </c>
      <c r="S181">
        <f>IF($E181="","",$P181+ROW()/100000)</f>
        <v/>
      </c>
      <c r="T181">
        <f>IF(OR(Q_Rech="",$E181=""),"",IF(ISNUMBER(SEARCH(Q_Rech,$E181&amp;" "&amp;$F181&amp;" "&amp;$G181&amp;" "&amp;$H181&amp;" "&amp;$I181)),COUNT($T$6:$T180)+1,""))</f>
        <v/>
      </c>
      <c r="U181">
        <f>IF($E181="","",IF(COUNTIFS(EMP_Livre,$E181,EMP_Date,"&gt;="&amp;R_Mois,EMP_Date,"&lt;"&amp;EDATE(R_Mois,1))=0,"",COUNTIFS(EMP_Livre,$E181,EMP_Date,"&gt;="&amp;R_Mois,EMP_Date,"&lt;"&amp;EDATE(R_Mois,1))+ROW()/100000))</f>
        <v/>
      </c>
    </row>
    <row r="182" ht="21" customHeight="1">
      <c r="A182" s="1" t="n"/>
      <c r="B182" s="1" t="n"/>
      <c r="C182" s="2" t="n"/>
      <c r="E182" s="127" t="n"/>
      <c r="F182" s="127" t="n"/>
      <c r="G182" s="127" t="n"/>
      <c r="H182" s="127" t="n"/>
      <c r="I182" s="127" t="n"/>
      <c r="J182" s="127" t="n"/>
      <c r="K182" s="128" t="n"/>
      <c r="L182" s="128" t="n"/>
      <c r="M182" s="127" t="n"/>
      <c r="N182" s="129">
        <f>IF($E182="","",COUNTIFS(EMP_Livre,$E182,EMP_Retour,""))</f>
        <v/>
      </c>
      <c r="O182" s="129">
        <f>IF($E182="","",$L182-$N182)</f>
        <v/>
      </c>
      <c r="P182" s="129">
        <f>IF($E182="","",COUNTIF(EMP_Livre,$E182))</f>
        <v/>
      </c>
      <c r="Q182" s="130">
        <f>IF($E182="","",IF($O182&lt;=0,"Indisponible",IF(AND($O182=1,$L182&gt;1),"Dernier exemplaire","Disponible")))</f>
        <v/>
      </c>
      <c r="S182">
        <f>IF($E182="","",$P182+ROW()/100000)</f>
        <v/>
      </c>
      <c r="T182">
        <f>IF(OR(Q_Rech="",$E182=""),"",IF(ISNUMBER(SEARCH(Q_Rech,$E182&amp;" "&amp;$F182&amp;" "&amp;$G182&amp;" "&amp;$H182&amp;" "&amp;$I182)),COUNT($T$6:$T181)+1,""))</f>
        <v/>
      </c>
      <c r="U182">
        <f>IF($E182="","",IF(COUNTIFS(EMP_Livre,$E182,EMP_Date,"&gt;="&amp;R_Mois,EMP_Date,"&lt;"&amp;EDATE(R_Mois,1))=0,"",COUNTIFS(EMP_Livre,$E182,EMP_Date,"&gt;="&amp;R_Mois,EMP_Date,"&lt;"&amp;EDATE(R_Mois,1))+ROW()/100000))</f>
        <v/>
      </c>
    </row>
    <row r="183" ht="21" customHeight="1">
      <c r="A183" s="1" t="n"/>
      <c r="B183" s="1" t="n"/>
      <c r="C183" s="2" t="n"/>
      <c r="E183" s="127" t="n"/>
      <c r="F183" s="127" t="n"/>
      <c r="G183" s="127" t="n"/>
      <c r="H183" s="127" t="n"/>
      <c r="I183" s="127" t="n"/>
      <c r="J183" s="127" t="n"/>
      <c r="K183" s="128" t="n"/>
      <c r="L183" s="128" t="n"/>
      <c r="M183" s="127" t="n"/>
      <c r="N183" s="129">
        <f>IF($E183="","",COUNTIFS(EMP_Livre,$E183,EMP_Retour,""))</f>
        <v/>
      </c>
      <c r="O183" s="129">
        <f>IF($E183="","",$L183-$N183)</f>
        <v/>
      </c>
      <c r="P183" s="129">
        <f>IF($E183="","",COUNTIF(EMP_Livre,$E183))</f>
        <v/>
      </c>
      <c r="Q183" s="130">
        <f>IF($E183="","",IF($O183&lt;=0,"Indisponible",IF(AND($O183=1,$L183&gt;1),"Dernier exemplaire","Disponible")))</f>
        <v/>
      </c>
      <c r="S183">
        <f>IF($E183="","",$P183+ROW()/100000)</f>
        <v/>
      </c>
      <c r="T183">
        <f>IF(OR(Q_Rech="",$E183=""),"",IF(ISNUMBER(SEARCH(Q_Rech,$E183&amp;" "&amp;$F183&amp;" "&amp;$G183&amp;" "&amp;$H183&amp;" "&amp;$I183)),COUNT($T$6:$T182)+1,""))</f>
        <v/>
      </c>
      <c r="U183">
        <f>IF($E183="","",IF(COUNTIFS(EMP_Livre,$E183,EMP_Date,"&gt;="&amp;R_Mois,EMP_Date,"&lt;"&amp;EDATE(R_Mois,1))=0,"",COUNTIFS(EMP_Livre,$E183,EMP_Date,"&gt;="&amp;R_Mois,EMP_Date,"&lt;"&amp;EDATE(R_Mois,1))+ROW()/100000))</f>
        <v/>
      </c>
    </row>
    <row r="184" ht="21" customHeight="1">
      <c r="A184" s="1" t="n"/>
      <c r="B184" s="1" t="n"/>
      <c r="C184" s="2" t="n"/>
      <c r="E184" s="127" t="n"/>
      <c r="F184" s="127" t="n"/>
      <c r="G184" s="127" t="n"/>
      <c r="H184" s="127" t="n"/>
      <c r="I184" s="127" t="n"/>
      <c r="J184" s="127" t="n"/>
      <c r="K184" s="128" t="n"/>
      <c r="L184" s="128" t="n"/>
      <c r="M184" s="127" t="n"/>
      <c r="N184" s="129">
        <f>IF($E184="","",COUNTIFS(EMP_Livre,$E184,EMP_Retour,""))</f>
        <v/>
      </c>
      <c r="O184" s="129">
        <f>IF($E184="","",$L184-$N184)</f>
        <v/>
      </c>
      <c r="P184" s="129">
        <f>IF($E184="","",COUNTIF(EMP_Livre,$E184))</f>
        <v/>
      </c>
      <c r="Q184" s="130">
        <f>IF($E184="","",IF($O184&lt;=0,"Indisponible",IF(AND($O184=1,$L184&gt;1),"Dernier exemplaire","Disponible")))</f>
        <v/>
      </c>
      <c r="S184">
        <f>IF($E184="","",$P184+ROW()/100000)</f>
        <v/>
      </c>
      <c r="T184">
        <f>IF(OR(Q_Rech="",$E184=""),"",IF(ISNUMBER(SEARCH(Q_Rech,$E184&amp;" "&amp;$F184&amp;" "&amp;$G184&amp;" "&amp;$H184&amp;" "&amp;$I184)),COUNT($T$6:$T183)+1,""))</f>
        <v/>
      </c>
      <c r="U184">
        <f>IF($E184="","",IF(COUNTIFS(EMP_Livre,$E184,EMP_Date,"&gt;="&amp;R_Mois,EMP_Date,"&lt;"&amp;EDATE(R_Mois,1))=0,"",COUNTIFS(EMP_Livre,$E184,EMP_Date,"&gt;="&amp;R_Mois,EMP_Date,"&lt;"&amp;EDATE(R_Mois,1))+ROW()/100000))</f>
        <v/>
      </c>
    </row>
    <row r="185" ht="21" customHeight="1">
      <c r="A185" s="1" t="n"/>
      <c r="B185" s="1" t="n"/>
      <c r="C185" s="2" t="n"/>
      <c r="E185" s="127" t="n"/>
      <c r="F185" s="127" t="n"/>
      <c r="G185" s="127" t="n"/>
      <c r="H185" s="127" t="n"/>
      <c r="I185" s="127" t="n"/>
      <c r="J185" s="127" t="n"/>
      <c r="K185" s="128" t="n"/>
      <c r="L185" s="128" t="n"/>
      <c r="M185" s="127" t="n"/>
      <c r="N185" s="129">
        <f>IF($E185="","",COUNTIFS(EMP_Livre,$E185,EMP_Retour,""))</f>
        <v/>
      </c>
      <c r="O185" s="129">
        <f>IF($E185="","",$L185-$N185)</f>
        <v/>
      </c>
      <c r="P185" s="129">
        <f>IF($E185="","",COUNTIF(EMP_Livre,$E185))</f>
        <v/>
      </c>
      <c r="Q185" s="130">
        <f>IF($E185="","",IF($O185&lt;=0,"Indisponible",IF(AND($O185=1,$L185&gt;1),"Dernier exemplaire","Disponible")))</f>
        <v/>
      </c>
      <c r="S185">
        <f>IF($E185="","",$P185+ROW()/100000)</f>
        <v/>
      </c>
      <c r="T185">
        <f>IF(OR(Q_Rech="",$E185=""),"",IF(ISNUMBER(SEARCH(Q_Rech,$E185&amp;" "&amp;$F185&amp;" "&amp;$G185&amp;" "&amp;$H185&amp;" "&amp;$I185)),COUNT($T$6:$T184)+1,""))</f>
        <v/>
      </c>
      <c r="U185">
        <f>IF($E185="","",IF(COUNTIFS(EMP_Livre,$E185,EMP_Date,"&gt;="&amp;R_Mois,EMP_Date,"&lt;"&amp;EDATE(R_Mois,1))=0,"",COUNTIFS(EMP_Livre,$E185,EMP_Date,"&gt;="&amp;R_Mois,EMP_Date,"&lt;"&amp;EDATE(R_Mois,1))+ROW()/100000))</f>
        <v/>
      </c>
    </row>
    <row r="186" ht="21" customHeight="1">
      <c r="A186" s="1" t="n"/>
      <c r="B186" s="1" t="n"/>
      <c r="C186" s="2" t="n"/>
      <c r="E186" s="127" t="n"/>
      <c r="F186" s="127" t="n"/>
      <c r="G186" s="127" t="n"/>
      <c r="H186" s="127" t="n"/>
      <c r="I186" s="127" t="n"/>
      <c r="J186" s="127" t="n"/>
      <c r="K186" s="128" t="n"/>
      <c r="L186" s="128" t="n"/>
      <c r="M186" s="127" t="n"/>
      <c r="N186" s="129">
        <f>IF($E186="","",COUNTIFS(EMP_Livre,$E186,EMP_Retour,""))</f>
        <v/>
      </c>
      <c r="O186" s="129">
        <f>IF($E186="","",$L186-$N186)</f>
        <v/>
      </c>
      <c r="P186" s="129">
        <f>IF($E186="","",COUNTIF(EMP_Livre,$E186))</f>
        <v/>
      </c>
      <c r="Q186" s="130">
        <f>IF($E186="","",IF($O186&lt;=0,"Indisponible",IF(AND($O186=1,$L186&gt;1),"Dernier exemplaire","Disponible")))</f>
        <v/>
      </c>
      <c r="S186">
        <f>IF($E186="","",$P186+ROW()/100000)</f>
        <v/>
      </c>
      <c r="T186">
        <f>IF(OR(Q_Rech="",$E186=""),"",IF(ISNUMBER(SEARCH(Q_Rech,$E186&amp;" "&amp;$F186&amp;" "&amp;$G186&amp;" "&amp;$H186&amp;" "&amp;$I186)),COUNT($T$6:$T185)+1,""))</f>
        <v/>
      </c>
      <c r="U186">
        <f>IF($E186="","",IF(COUNTIFS(EMP_Livre,$E186,EMP_Date,"&gt;="&amp;R_Mois,EMP_Date,"&lt;"&amp;EDATE(R_Mois,1))=0,"",COUNTIFS(EMP_Livre,$E186,EMP_Date,"&gt;="&amp;R_Mois,EMP_Date,"&lt;"&amp;EDATE(R_Mois,1))+ROW()/100000))</f>
        <v/>
      </c>
    </row>
    <row r="187" ht="21" customHeight="1">
      <c r="A187" s="1" t="n"/>
      <c r="B187" s="1" t="n"/>
      <c r="C187" s="2" t="n"/>
      <c r="E187" s="127" t="n"/>
      <c r="F187" s="127" t="n"/>
      <c r="G187" s="127" t="n"/>
      <c r="H187" s="127" t="n"/>
      <c r="I187" s="127" t="n"/>
      <c r="J187" s="127" t="n"/>
      <c r="K187" s="128" t="n"/>
      <c r="L187" s="128" t="n"/>
      <c r="M187" s="127" t="n"/>
      <c r="N187" s="129">
        <f>IF($E187="","",COUNTIFS(EMP_Livre,$E187,EMP_Retour,""))</f>
        <v/>
      </c>
      <c r="O187" s="129">
        <f>IF($E187="","",$L187-$N187)</f>
        <v/>
      </c>
      <c r="P187" s="129">
        <f>IF($E187="","",COUNTIF(EMP_Livre,$E187))</f>
        <v/>
      </c>
      <c r="Q187" s="130">
        <f>IF($E187="","",IF($O187&lt;=0,"Indisponible",IF(AND($O187=1,$L187&gt;1),"Dernier exemplaire","Disponible")))</f>
        <v/>
      </c>
      <c r="S187">
        <f>IF($E187="","",$P187+ROW()/100000)</f>
        <v/>
      </c>
      <c r="T187">
        <f>IF(OR(Q_Rech="",$E187=""),"",IF(ISNUMBER(SEARCH(Q_Rech,$E187&amp;" "&amp;$F187&amp;" "&amp;$G187&amp;" "&amp;$H187&amp;" "&amp;$I187)),COUNT($T$6:$T186)+1,""))</f>
        <v/>
      </c>
      <c r="U187">
        <f>IF($E187="","",IF(COUNTIFS(EMP_Livre,$E187,EMP_Date,"&gt;="&amp;R_Mois,EMP_Date,"&lt;"&amp;EDATE(R_Mois,1))=0,"",COUNTIFS(EMP_Livre,$E187,EMP_Date,"&gt;="&amp;R_Mois,EMP_Date,"&lt;"&amp;EDATE(R_Mois,1))+ROW()/100000))</f>
        <v/>
      </c>
    </row>
    <row r="188" ht="21" customHeight="1">
      <c r="A188" s="1" t="n"/>
      <c r="B188" s="1" t="n"/>
      <c r="C188" s="2" t="n"/>
      <c r="E188" s="127" t="n"/>
      <c r="F188" s="127" t="n"/>
      <c r="G188" s="127" t="n"/>
      <c r="H188" s="127" t="n"/>
      <c r="I188" s="127" t="n"/>
      <c r="J188" s="127" t="n"/>
      <c r="K188" s="128" t="n"/>
      <c r="L188" s="128" t="n"/>
      <c r="M188" s="127" t="n"/>
      <c r="N188" s="129">
        <f>IF($E188="","",COUNTIFS(EMP_Livre,$E188,EMP_Retour,""))</f>
        <v/>
      </c>
      <c r="O188" s="129">
        <f>IF($E188="","",$L188-$N188)</f>
        <v/>
      </c>
      <c r="P188" s="129">
        <f>IF($E188="","",COUNTIF(EMP_Livre,$E188))</f>
        <v/>
      </c>
      <c r="Q188" s="130">
        <f>IF($E188="","",IF($O188&lt;=0,"Indisponible",IF(AND($O188=1,$L188&gt;1),"Dernier exemplaire","Disponible")))</f>
        <v/>
      </c>
      <c r="S188">
        <f>IF($E188="","",$P188+ROW()/100000)</f>
        <v/>
      </c>
      <c r="T188">
        <f>IF(OR(Q_Rech="",$E188=""),"",IF(ISNUMBER(SEARCH(Q_Rech,$E188&amp;" "&amp;$F188&amp;" "&amp;$G188&amp;" "&amp;$H188&amp;" "&amp;$I188)),COUNT($T$6:$T187)+1,""))</f>
        <v/>
      </c>
      <c r="U188">
        <f>IF($E188="","",IF(COUNTIFS(EMP_Livre,$E188,EMP_Date,"&gt;="&amp;R_Mois,EMP_Date,"&lt;"&amp;EDATE(R_Mois,1))=0,"",COUNTIFS(EMP_Livre,$E188,EMP_Date,"&gt;="&amp;R_Mois,EMP_Date,"&lt;"&amp;EDATE(R_Mois,1))+ROW()/100000))</f>
        <v/>
      </c>
    </row>
    <row r="189" ht="21" customHeight="1">
      <c r="A189" s="1" t="n"/>
      <c r="B189" s="1" t="n"/>
      <c r="C189" s="2" t="n"/>
      <c r="E189" s="127" t="n"/>
      <c r="F189" s="127" t="n"/>
      <c r="G189" s="127" t="n"/>
      <c r="H189" s="127" t="n"/>
      <c r="I189" s="127" t="n"/>
      <c r="J189" s="127" t="n"/>
      <c r="K189" s="128" t="n"/>
      <c r="L189" s="128" t="n"/>
      <c r="M189" s="127" t="n"/>
      <c r="N189" s="129">
        <f>IF($E189="","",COUNTIFS(EMP_Livre,$E189,EMP_Retour,""))</f>
        <v/>
      </c>
      <c r="O189" s="129">
        <f>IF($E189="","",$L189-$N189)</f>
        <v/>
      </c>
      <c r="P189" s="129">
        <f>IF($E189="","",COUNTIF(EMP_Livre,$E189))</f>
        <v/>
      </c>
      <c r="Q189" s="130">
        <f>IF($E189="","",IF($O189&lt;=0,"Indisponible",IF(AND($O189=1,$L189&gt;1),"Dernier exemplaire","Disponible")))</f>
        <v/>
      </c>
      <c r="S189">
        <f>IF($E189="","",$P189+ROW()/100000)</f>
        <v/>
      </c>
      <c r="T189">
        <f>IF(OR(Q_Rech="",$E189=""),"",IF(ISNUMBER(SEARCH(Q_Rech,$E189&amp;" "&amp;$F189&amp;" "&amp;$G189&amp;" "&amp;$H189&amp;" "&amp;$I189)),COUNT($T$6:$T188)+1,""))</f>
        <v/>
      </c>
      <c r="U189">
        <f>IF($E189="","",IF(COUNTIFS(EMP_Livre,$E189,EMP_Date,"&gt;="&amp;R_Mois,EMP_Date,"&lt;"&amp;EDATE(R_Mois,1))=0,"",COUNTIFS(EMP_Livre,$E189,EMP_Date,"&gt;="&amp;R_Mois,EMP_Date,"&lt;"&amp;EDATE(R_Mois,1))+ROW()/100000))</f>
        <v/>
      </c>
    </row>
    <row r="190" ht="21" customHeight="1">
      <c r="A190" s="1" t="n"/>
      <c r="B190" s="1" t="n"/>
      <c r="C190" s="2" t="n"/>
      <c r="E190" s="127" t="n"/>
      <c r="F190" s="127" t="n"/>
      <c r="G190" s="127" t="n"/>
      <c r="H190" s="127" t="n"/>
      <c r="I190" s="127" t="n"/>
      <c r="J190" s="127" t="n"/>
      <c r="K190" s="128" t="n"/>
      <c r="L190" s="128" t="n"/>
      <c r="M190" s="127" t="n"/>
      <c r="N190" s="129">
        <f>IF($E190="","",COUNTIFS(EMP_Livre,$E190,EMP_Retour,""))</f>
        <v/>
      </c>
      <c r="O190" s="129">
        <f>IF($E190="","",$L190-$N190)</f>
        <v/>
      </c>
      <c r="P190" s="129">
        <f>IF($E190="","",COUNTIF(EMP_Livre,$E190))</f>
        <v/>
      </c>
      <c r="Q190" s="130">
        <f>IF($E190="","",IF($O190&lt;=0,"Indisponible",IF(AND($O190=1,$L190&gt;1),"Dernier exemplaire","Disponible")))</f>
        <v/>
      </c>
      <c r="S190">
        <f>IF($E190="","",$P190+ROW()/100000)</f>
        <v/>
      </c>
      <c r="T190">
        <f>IF(OR(Q_Rech="",$E190=""),"",IF(ISNUMBER(SEARCH(Q_Rech,$E190&amp;" "&amp;$F190&amp;" "&amp;$G190&amp;" "&amp;$H190&amp;" "&amp;$I190)),COUNT($T$6:$T189)+1,""))</f>
        <v/>
      </c>
      <c r="U190">
        <f>IF($E190="","",IF(COUNTIFS(EMP_Livre,$E190,EMP_Date,"&gt;="&amp;R_Mois,EMP_Date,"&lt;"&amp;EDATE(R_Mois,1))=0,"",COUNTIFS(EMP_Livre,$E190,EMP_Date,"&gt;="&amp;R_Mois,EMP_Date,"&lt;"&amp;EDATE(R_Mois,1))+ROW()/100000))</f>
        <v/>
      </c>
    </row>
    <row r="191" ht="21" customHeight="1">
      <c r="A191" s="1" t="n"/>
      <c r="B191" s="1" t="n"/>
      <c r="C191" s="2" t="n"/>
      <c r="E191" s="127" t="n"/>
      <c r="F191" s="127" t="n"/>
      <c r="G191" s="127" t="n"/>
      <c r="H191" s="127" t="n"/>
      <c r="I191" s="127" t="n"/>
      <c r="J191" s="127" t="n"/>
      <c r="K191" s="128" t="n"/>
      <c r="L191" s="128" t="n"/>
      <c r="M191" s="127" t="n"/>
      <c r="N191" s="129">
        <f>IF($E191="","",COUNTIFS(EMP_Livre,$E191,EMP_Retour,""))</f>
        <v/>
      </c>
      <c r="O191" s="129">
        <f>IF($E191="","",$L191-$N191)</f>
        <v/>
      </c>
      <c r="P191" s="129">
        <f>IF($E191="","",COUNTIF(EMP_Livre,$E191))</f>
        <v/>
      </c>
      <c r="Q191" s="130">
        <f>IF($E191="","",IF($O191&lt;=0,"Indisponible",IF(AND($O191=1,$L191&gt;1),"Dernier exemplaire","Disponible")))</f>
        <v/>
      </c>
      <c r="S191">
        <f>IF($E191="","",$P191+ROW()/100000)</f>
        <v/>
      </c>
      <c r="T191">
        <f>IF(OR(Q_Rech="",$E191=""),"",IF(ISNUMBER(SEARCH(Q_Rech,$E191&amp;" "&amp;$F191&amp;" "&amp;$G191&amp;" "&amp;$H191&amp;" "&amp;$I191)),COUNT($T$6:$T190)+1,""))</f>
        <v/>
      </c>
      <c r="U191">
        <f>IF($E191="","",IF(COUNTIFS(EMP_Livre,$E191,EMP_Date,"&gt;="&amp;R_Mois,EMP_Date,"&lt;"&amp;EDATE(R_Mois,1))=0,"",COUNTIFS(EMP_Livre,$E191,EMP_Date,"&gt;="&amp;R_Mois,EMP_Date,"&lt;"&amp;EDATE(R_Mois,1))+ROW()/100000))</f>
        <v/>
      </c>
    </row>
    <row r="192" ht="21" customHeight="1">
      <c r="A192" s="1" t="n"/>
      <c r="B192" s="1" t="n"/>
      <c r="C192" s="2" t="n"/>
      <c r="E192" s="127" t="n"/>
      <c r="F192" s="127" t="n"/>
      <c r="G192" s="127" t="n"/>
      <c r="H192" s="127" t="n"/>
      <c r="I192" s="127" t="n"/>
      <c r="J192" s="127" t="n"/>
      <c r="K192" s="128" t="n"/>
      <c r="L192" s="128" t="n"/>
      <c r="M192" s="127" t="n"/>
      <c r="N192" s="129">
        <f>IF($E192="","",COUNTIFS(EMP_Livre,$E192,EMP_Retour,""))</f>
        <v/>
      </c>
      <c r="O192" s="129">
        <f>IF($E192="","",$L192-$N192)</f>
        <v/>
      </c>
      <c r="P192" s="129">
        <f>IF($E192="","",COUNTIF(EMP_Livre,$E192))</f>
        <v/>
      </c>
      <c r="Q192" s="130">
        <f>IF($E192="","",IF($O192&lt;=0,"Indisponible",IF(AND($O192=1,$L192&gt;1),"Dernier exemplaire","Disponible")))</f>
        <v/>
      </c>
      <c r="S192">
        <f>IF($E192="","",$P192+ROW()/100000)</f>
        <v/>
      </c>
      <c r="T192">
        <f>IF(OR(Q_Rech="",$E192=""),"",IF(ISNUMBER(SEARCH(Q_Rech,$E192&amp;" "&amp;$F192&amp;" "&amp;$G192&amp;" "&amp;$H192&amp;" "&amp;$I192)),COUNT($T$6:$T191)+1,""))</f>
        <v/>
      </c>
      <c r="U192">
        <f>IF($E192="","",IF(COUNTIFS(EMP_Livre,$E192,EMP_Date,"&gt;="&amp;R_Mois,EMP_Date,"&lt;"&amp;EDATE(R_Mois,1))=0,"",COUNTIFS(EMP_Livre,$E192,EMP_Date,"&gt;="&amp;R_Mois,EMP_Date,"&lt;"&amp;EDATE(R_Mois,1))+ROW()/100000))</f>
        <v/>
      </c>
    </row>
    <row r="193" ht="21" customHeight="1">
      <c r="A193" s="1" t="n"/>
      <c r="B193" s="1" t="n"/>
      <c r="C193" s="2" t="n"/>
      <c r="E193" s="127" t="n"/>
      <c r="F193" s="127" t="n"/>
      <c r="G193" s="127" t="n"/>
      <c r="H193" s="127" t="n"/>
      <c r="I193" s="127" t="n"/>
      <c r="J193" s="127" t="n"/>
      <c r="K193" s="128" t="n"/>
      <c r="L193" s="128" t="n"/>
      <c r="M193" s="127" t="n"/>
      <c r="N193" s="129">
        <f>IF($E193="","",COUNTIFS(EMP_Livre,$E193,EMP_Retour,""))</f>
        <v/>
      </c>
      <c r="O193" s="129">
        <f>IF($E193="","",$L193-$N193)</f>
        <v/>
      </c>
      <c r="P193" s="129">
        <f>IF($E193="","",COUNTIF(EMP_Livre,$E193))</f>
        <v/>
      </c>
      <c r="Q193" s="130">
        <f>IF($E193="","",IF($O193&lt;=0,"Indisponible",IF(AND($O193=1,$L193&gt;1),"Dernier exemplaire","Disponible")))</f>
        <v/>
      </c>
      <c r="S193">
        <f>IF($E193="","",$P193+ROW()/100000)</f>
        <v/>
      </c>
      <c r="T193">
        <f>IF(OR(Q_Rech="",$E193=""),"",IF(ISNUMBER(SEARCH(Q_Rech,$E193&amp;" "&amp;$F193&amp;" "&amp;$G193&amp;" "&amp;$H193&amp;" "&amp;$I193)),COUNT($T$6:$T192)+1,""))</f>
        <v/>
      </c>
      <c r="U193">
        <f>IF($E193="","",IF(COUNTIFS(EMP_Livre,$E193,EMP_Date,"&gt;="&amp;R_Mois,EMP_Date,"&lt;"&amp;EDATE(R_Mois,1))=0,"",COUNTIFS(EMP_Livre,$E193,EMP_Date,"&gt;="&amp;R_Mois,EMP_Date,"&lt;"&amp;EDATE(R_Mois,1))+ROW()/100000))</f>
        <v/>
      </c>
    </row>
    <row r="194" ht="21" customHeight="1">
      <c r="A194" s="1" t="n"/>
      <c r="B194" s="1" t="n"/>
      <c r="C194" s="2" t="n"/>
      <c r="E194" s="127" t="n"/>
      <c r="F194" s="127" t="n"/>
      <c r="G194" s="127" t="n"/>
      <c r="H194" s="127" t="n"/>
      <c r="I194" s="127" t="n"/>
      <c r="J194" s="127" t="n"/>
      <c r="K194" s="128" t="n"/>
      <c r="L194" s="128" t="n"/>
      <c r="M194" s="127" t="n"/>
      <c r="N194" s="129">
        <f>IF($E194="","",COUNTIFS(EMP_Livre,$E194,EMP_Retour,""))</f>
        <v/>
      </c>
      <c r="O194" s="129">
        <f>IF($E194="","",$L194-$N194)</f>
        <v/>
      </c>
      <c r="P194" s="129">
        <f>IF($E194="","",COUNTIF(EMP_Livre,$E194))</f>
        <v/>
      </c>
      <c r="Q194" s="130">
        <f>IF($E194="","",IF($O194&lt;=0,"Indisponible",IF(AND($O194=1,$L194&gt;1),"Dernier exemplaire","Disponible")))</f>
        <v/>
      </c>
      <c r="S194">
        <f>IF($E194="","",$P194+ROW()/100000)</f>
        <v/>
      </c>
      <c r="T194">
        <f>IF(OR(Q_Rech="",$E194=""),"",IF(ISNUMBER(SEARCH(Q_Rech,$E194&amp;" "&amp;$F194&amp;" "&amp;$G194&amp;" "&amp;$H194&amp;" "&amp;$I194)),COUNT($T$6:$T193)+1,""))</f>
        <v/>
      </c>
      <c r="U194">
        <f>IF($E194="","",IF(COUNTIFS(EMP_Livre,$E194,EMP_Date,"&gt;="&amp;R_Mois,EMP_Date,"&lt;"&amp;EDATE(R_Mois,1))=0,"",COUNTIFS(EMP_Livre,$E194,EMP_Date,"&gt;="&amp;R_Mois,EMP_Date,"&lt;"&amp;EDATE(R_Mois,1))+ROW()/100000))</f>
        <v/>
      </c>
    </row>
    <row r="195" ht="21" customHeight="1">
      <c r="A195" s="1" t="n"/>
      <c r="B195" s="1" t="n"/>
      <c r="C195" s="2" t="n"/>
      <c r="E195" s="127" t="n"/>
      <c r="F195" s="127" t="n"/>
      <c r="G195" s="127" t="n"/>
      <c r="H195" s="127" t="n"/>
      <c r="I195" s="127" t="n"/>
      <c r="J195" s="127" t="n"/>
      <c r="K195" s="128" t="n"/>
      <c r="L195" s="128" t="n"/>
      <c r="M195" s="127" t="n"/>
      <c r="N195" s="129">
        <f>IF($E195="","",COUNTIFS(EMP_Livre,$E195,EMP_Retour,""))</f>
        <v/>
      </c>
      <c r="O195" s="129">
        <f>IF($E195="","",$L195-$N195)</f>
        <v/>
      </c>
      <c r="P195" s="129">
        <f>IF($E195="","",COUNTIF(EMP_Livre,$E195))</f>
        <v/>
      </c>
      <c r="Q195" s="130">
        <f>IF($E195="","",IF($O195&lt;=0,"Indisponible",IF(AND($O195=1,$L195&gt;1),"Dernier exemplaire","Disponible")))</f>
        <v/>
      </c>
      <c r="S195">
        <f>IF($E195="","",$P195+ROW()/100000)</f>
        <v/>
      </c>
      <c r="T195">
        <f>IF(OR(Q_Rech="",$E195=""),"",IF(ISNUMBER(SEARCH(Q_Rech,$E195&amp;" "&amp;$F195&amp;" "&amp;$G195&amp;" "&amp;$H195&amp;" "&amp;$I195)),COUNT($T$6:$T194)+1,""))</f>
        <v/>
      </c>
      <c r="U195">
        <f>IF($E195="","",IF(COUNTIFS(EMP_Livre,$E195,EMP_Date,"&gt;="&amp;R_Mois,EMP_Date,"&lt;"&amp;EDATE(R_Mois,1))=0,"",COUNTIFS(EMP_Livre,$E195,EMP_Date,"&gt;="&amp;R_Mois,EMP_Date,"&lt;"&amp;EDATE(R_Mois,1))+ROW()/100000))</f>
        <v/>
      </c>
    </row>
    <row r="196" ht="21" customHeight="1">
      <c r="A196" s="1" t="n"/>
      <c r="B196" s="1" t="n"/>
      <c r="C196" s="2" t="n"/>
      <c r="E196" s="127" t="n"/>
      <c r="F196" s="127" t="n"/>
      <c r="G196" s="127" t="n"/>
      <c r="H196" s="127" t="n"/>
      <c r="I196" s="127" t="n"/>
      <c r="J196" s="127" t="n"/>
      <c r="K196" s="128" t="n"/>
      <c r="L196" s="128" t="n"/>
      <c r="M196" s="127" t="n"/>
      <c r="N196" s="129">
        <f>IF($E196="","",COUNTIFS(EMP_Livre,$E196,EMP_Retour,""))</f>
        <v/>
      </c>
      <c r="O196" s="129">
        <f>IF($E196="","",$L196-$N196)</f>
        <v/>
      </c>
      <c r="P196" s="129">
        <f>IF($E196="","",COUNTIF(EMP_Livre,$E196))</f>
        <v/>
      </c>
      <c r="Q196" s="130">
        <f>IF($E196="","",IF($O196&lt;=0,"Indisponible",IF(AND($O196=1,$L196&gt;1),"Dernier exemplaire","Disponible")))</f>
        <v/>
      </c>
      <c r="S196">
        <f>IF($E196="","",$P196+ROW()/100000)</f>
        <v/>
      </c>
      <c r="T196">
        <f>IF(OR(Q_Rech="",$E196=""),"",IF(ISNUMBER(SEARCH(Q_Rech,$E196&amp;" "&amp;$F196&amp;" "&amp;$G196&amp;" "&amp;$H196&amp;" "&amp;$I196)),COUNT($T$6:$T195)+1,""))</f>
        <v/>
      </c>
      <c r="U196">
        <f>IF($E196="","",IF(COUNTIFS(EMP_Livre,$E196,EMP_Date,"&gt;="&amp;R_Mois,EMP_Date,"&lt;"&amp;EDATE(R_Mois,1))=0,"",COUNTIFS(EMP_Livre,$E196,EMP_Date,"&gt;="&amp;R_Mois,EMP_Date,"&lt;"&amp;EDATE(R_Mois,1))+ROW()/100000))</f>
        <v/>
      </c>
    </row>
    <row r="197" ht="21" customHeight="1">
      <c r="A197" s="1" t="n"/>
      <c r="B197" s="1" t="n"/>
      <c r="C197" s="2" t="n"/>
      <c r="E197" s="127" t="n"/>
      <c r="F197" s="127" t="n"/>
      <c r="G197" s="127" t="n"/>
      <c r="H197" s="127" t="n"/>
      <c r="I197" s="127" t="n"/>
      <c r="J197" s="127" t="n"/>
      <c r="K197" s="128" t="n"/>
      <c r="L197" s="128" t="n"/>
      <c r="M197" s="127" t="n"/>
      <c r="N197" s="129">
        <f>IF($E197="","",COUNTIFS(EMP_Livre,$E197,EMP_Retour,""))</f>
        <v/>
      </c>
      <c r="O197" s="129">
        <f>IF($E197="","",$L197-$N197)</f>
        <v/>
      </c>
      <c r="P197" s="129">
        <f>IF($E197="","",COUNTIF(EMP_Livre,$E197))</f>
        <v/>
      </c>
      <c r="Q197" s="130">
        <f>IF($E197="","",IF($O197&lt;=0,"Indisponible",IF(AND($O197=1,$L197&gt;1),"Dernier exemplaire","Disponible")))</f>
        <v/>
      </c>
      <c r="S197">
        <f>IF($E197="","",$P197+ROW()/100000)</f>
        <v/>
      </c>
      <c r="T197">
        <f>IF(OR(Q_Rech="",$E197=""),"",IF(ISNUMBER(SEARCH(Q_Rech,$E197&amp;" "&amp;$F197&amp;" "&amp;$G197&amp;" "&amp;$H197&amp;" "&amp;$I197)),COUNT($T$6:$T196)+1,""))</f>
        <v/>
      </c>
      <c r="U197">
        <f>IF($E197="","",IF(COUNTIFS(EMP_Livre,$E197,EMP_Date,"&gt;="&amp;R_Mois,EMP_Date,"&lt;"&amp;EDATE(R_Mois,1))=0,"",COUNTIFS(EMP_Livre,$E197,EMP_Date,"&gt;="&amp;R_Mois,EMP_Date,"&lt;"&amp;EDATE(R_Mois,1))+ROW()/100000))</f>
        <v/>
      </c>
    </row>
    <row r="198" ht="21" customHeight="1">
      <c r="A198" s="1" t="n"/>
      <c r="B198" s="1" t="n"/>
      <c r="C198" s="2" t="n"/>
      <c r="E198" s="127" t="n"/>
      <c r="F198" s="127" t="n"/>
      <c r="G198" s="127" t="n"/>
      <c r="H198" s="127" t="n"/>
      <c r="I198" s="127" t="n"/>
      <c r="J198" s="127" t="n"/>
      <c r="K198" s="128" t="n"/>
      <c r="L198" s="128" t="n"/>
      <c r="M198" s="127" t="n"/>
      <c r="N198" s="129">
        <f>IF($E198="","",COUNTIFS(EMP_Livre,$E198,EMP_Retour,""))</f>
        <v/>
      </c>
      <c r="O198" s="129">
        <f>IF($E198="","",$L198-$N198)</f>
        <v/>
      </c>
      <c r="P198" s="129">
        <f>IF($E198="","",COUNTIF(EMP_Livre,$E198))</f>
        <v/>
      </c>
      <c r="Q198" s="130">
        <f>IF($E198="","",IF($O198&lt;=0,"Indisponible",IF(AND($O198=1,$L198&gt;1),"Dernier exemplaire","Disponible")))</f>
        <v/>
      </c>
      <c r="S198">
        <f>IF($E198="","",$P198+ROW()/100000)</f>
        <v/>
      </c>
      <c r="T198">
        <f>IF(OR(Q_Rech="",$E198=""),"",IF(ISNUMBER(SEARCH(Q_Rech,$E198&amp;" "&amp;$F198&amp;" "&amp;$G198&amp;" "&amp;$H198&amp;" "&amp;$I198)),COUNT($T$6:$T197)+1,""))</f>
        <v/>
      </c>
      <c r="U198">
        <f>IF($E198="","",IF(COUNTIFS(EMP_Livre,$E198,EMP_Date,"&gt;="&amp;R_Mois,EMP_Date,"&lt;"&amp;EDATE(R_Mois,1))=0,"",COUNTIFS(EMP_Livre,$E198,EMP_Date,"&gt;="&amp;R_Mois,EMP_Date,"&lt;"&amp;EDATE(R_Mois,1))+ROW()/100000))</f>
        <v/>
      </c>
    </row>
    <row r="199" ht="21" customHeight="1">
      <c r="A199" s="1" t="n"/>
      <c r="B199" s="1" t="n"/>
      <c r="C199" s="2" t="n"/>
      <c r="E199" s="127" t="n"/>
      <c r="F199" s="127" t="n"/>
      <c r="G199" s="127" t="n"/>
      <c r="H199" s="127" t="n"/>
      <c r="I199" s="127" t="n"/>
      <c r="J199" s="127" t="n"/>
      <c r="K199" s="128" t="n"/>
      <c r="L199" s="128" t="n"/>
      <c r="M199" s="127" t="n"/>
      <c r="N199" s="129">
        <f>IF($E199="","",COUNTIFS(EMP_Livre,$E199,EMP_Retour,""))</f>
        <v/>
      </c>
      <c r="O199" s="129">
        <f>IF($E199="","",$L199-$N199)</f>
        <v/>
      </c>
      <c r="P199" s="129">
        <f>IF($E199="","",COUNTIF(EMP_Livre,$E199))</f>
        <v/>
      </c>
      <c r="Q199" s="130">
        <f>IF($E199="","",IF($O199&lt;=0,"Indisponible",IF(AND($O199=1,$L199&gt;1),"Dernier exemplaire","Disponible")))</f>
        <v/>
      </c>
      <c r="S199">
        <f>IF($E199="","",$P199+ROW()/100000)</f>
        <v/>
      </c>
      <c r="T199">
        <f>IF(OR(Q_Rech="",$E199=""),"",IF(ISNUMBER(SEARCH(Q_Rech,$E199&amp;" "&amp;$F199&amp;" "&amp;$G199&amp;" "&amp;$H199&amp;" "&amp;$I199)),COUNT($T$6:$T198)+1,""))</f>
        <v/>
      </c>
      <c r="U199">
        <f>IF($E199="","",IF(COUNTIFS(EMP_Livre,$E199,EMP_Date,"&gt;="&amp;R_Mois,EMP_Date,"&lt;"&amp;EDATE(R_Mois,1))=0,"",COUNTIFS(EMP_Livre,$E199,EMP_Date,"&gt;="&amp;R_Mois,EMP_Date,"&lt;"&amp;EDATE(R_Mois,1))+ROW()/100000))</f>
        <v/>
      </c>
    </row>
    <row r="200" ht="21" customHeight="1">
      <c r="A200" s="1" t="n"/>
      <c r="B200" s="1" t="n"/>
      <c r="C200" s="2" t="n"/>
      <c r="E200" s="127" t="n"/>
      <c r="F200" s="127" t="n"/>
      <c r="G200" s="127" t="n"/>
      <c r="H200" s="127" t="n"/>
      <c r="I200" s="127" t="n"/>
      <c r="J200" s="127" t="n"/>
      <c r="K200" s="128" t="n"/>
      <c r="L200" s="128" t="n"/>
      <c r="M200" s="127" t="n"/>
      <c r="N200" s="129">
        <f>IF($E200="","",COUNTIFS(EMP_Livre,$E200,EMP_Retour,""))</f>
        <v/>
      </c>
      <c r="O200" s="129">
        <f>IF($E200="","",$L200-$N200)</f>
        <v/>
      </c>
      <c r="P200" s="129">
        <f>IF($E200="","",COUNTIF(EMP_Livre,$E200))</f>
        <v/>
      </c>
      <c r="Q200" s="130">
        <f>IF($E200="","",IF($O200&lt;=0,"Indisponible",IF(AND($O200=1,$L200&gt;1),"Dernier exemplaire","Disponible")))</f>
        <v/>
      </c>
      <c r="S200">
        <f>IF($E200="","",$P200+ROW()/100000)</f>
        <v/>
      </c>
      <c r="T200">
        <f>IF(OR(Q_Rech="",$E200=""),"",IF(ISNUMBER(SEARCH(Q_Rech,$E200&amp;" "&amp;$F200&amp;" "&amp;$G200&amp;" "&amp;$H200&amp;" "&amp;$I200)),COUNT($T$6:$T199)+1,""))</f>
        <v/>
      </c>
      <c r="U200">
        <f>IF($E200="","",IF(COUNTIFS(EMP_Livre,$E200,EMP_Date,"&gt;="&amp;R_Mois,EMP_Date,"&lt;"&amp;EDATE(R_Mois,1))=0,"",COUNTIFS(EMP_Livre,$E200,EMP_Date,"&gt;="&amp;R_Mois,EMP_Date,"&lt;"&amp;EDATE(R_Mois,1))+ROW()/100000))</f>
        <v/>
      </c>
    </row>
    <row r="201" ht="21" customHeight="1">
      <c r="A201" s="1" t="n"/>
      <c r="B201" s="1" t="n"/>
      <c r="C201" s="2" t="n"/>
      <c r="E201" s="127" t="n"/>
      <c r="F201" s="127" t="n"/>
      <c r="G201" s="127" t="n"/>
      <c r="H201" s="127" t="n"/>
      <c r="I201" s="127" t="n"/>
      <c r="J201" s="127" t="n"/>
      <c r="K201" s="128" t="n"/>
      <c r="L201" s="128" t="n"/>
      <c r="M201" s="127" t="n"/>
      <c r="N201" s="129">
        <f>IF($E201="","",COUNTIFS(EMP_Livre,$E201,EMP_Retour,""))</f>
        <v/>
      </c>
      <c r="O201" s="129">
        <f>IF($E201="","",$L201-$N201)</f>
        <v/>
      </c>
      <c r="P201" s="129">
        <f>IF($E201="","",COUNTIF(EMP_Livre,$E201))</f>
        <v/>
      </c>
      <c r="Q201" s="130">
        <f>IF($E201="","",IF($O201&lt;=0,"Indisponible",IF(AND($O201=1,$L201&gt;1),"Dernier exemplaire","Disponible")))</f>
        <v/>
      </c>
      <c r="S201">
        <f>IF($E201="","",$P201+ROW()/100000)</f>
        <v/>
      </c>
      <c r="T201">
        <f>IF(OR(Q_Rech="",$E201=""),"",IF(ISNUMBER(SEARCH(Q_Rech,$E201&amp;" "&amp;$F201&amp;" "&amp;$G201&amp;" "&amp;$H201&amp;" "&amp;$I201)),COUNT($T$6:$T200)+1,""))</f>
        <v/>
      </c>
      <c r="U201">
        <f>IF($E201="","",IF(COUNTIFS(EMP_Livre,$E201,EMP_Date,"&gt;="&amp;R_Mois,EMP_Date,"&lt;"&amp;EDATE(R_Mois,1))=0,"",COUNTIFS(EMP_Livre,$E201,EMP_Date,"&gt;="&amp;R_Mois,EMP_Date,"&lt;"&amp;EDATE(R_Mois,1))+ROW()/100000))</f>
        <v/>
      </c>
    </row>
    <row r="202" ht="21" customHeight="1">
      <c r="A202" s="1" t="n"/>
      <c r="B202" s="1" t="n"/>
      <c r="C202" s="2" t="n"/>
      <c r="E202" s="127" t="n"/>
      <c r="F202" s="127" t="n"/>
      <c r="G202" s="127" t="n"/>
      <c r="H202" s="127" t="n"/>
      <c r="I202" s="127" t="n"/>
      <c r="J202" s="127" t="n"/>
      <c r="K202" s="128" t="n"/>
      <c r="L202" s="128" t="n"/>
      <c r="M202" s="127" t="n"/>
      <c r="N202" s="129">
        <f>IF($E202="","",COUNTIFS(EMP_Livre,$E202,EMP_Retour,""))</f>
        <v/>
      </c>
      <c r="O202" s="129">
        <f>IF($E202="","",$L202-$N202)</f>
        <v/>
      </c>
      <c r="P202" s="129">
        <f>IF($E202="","",COUNTIF(EMP_Livre,$E202))</f>
        <v/>
      </c>
      <c r="Q202" s="130">
        <f>IF($E202="","",IF($O202&lt;=0,"Indisponible",IF(AND($O202=1,$L202&gt;1),"Dernier exemplaire","Disponible")))</f>
        <v/>
      </c>
      <c r="S202">
        <f>IF($E202="","",$P202+ROW()/100000)</f>
        <v/>
      </c>
      <c r="T202">
        <f>IF(OR(Q_Rech="",$E202=""),"",IF(ISNUMBER(SEARCH(Q_Rech,$E202&amp;" "&amp;$F202&amp;" "&amp;$G202&amp;" "&amp;$H202&amp;" "&amp;$I202)),COUNT($T$6:$T201)+1,""))</f>
        <v/>
      </c>
      <c r="U202">
        <f>IF($E202="","",IF(COUNTIFS(EMP_Livre,$E202,EMP_Date,"&gt;="&amp;R_Mois,EMP_Date,"&lt;"&amp;EDATE(R_Mois,1))=0,"",COUNTIFS(EMP_Livre,$E202,EMP_Date,"&gt;="&amp;R_Mois,EMP_Date,"&lt;"&amp;EDATE(R_Mois,1))+ROW()/100000))</f>
        <v/>
      </c>
    </row>
    <row r="203" ht="21" customHeight="1">
      <c r="A203" s="1" t="n"/>
      <c r="B203" s="1" t="n"/>
      <c r="C203" s="2" t="n"/>
      <c r="E203" s="127" t="n"/>
      <c r="F203" s="127" t="n"/>
      <c r="G203" s="127" t="n"/>
      <c r="H203" s="127" t="n"/>
      <c r="I203" s="127" t="n"/>
      <c r="J203" s="127" t="n"/>
      <c r="K203" s="128" t="n"/>
      <c r="L203" s="128" t="n"/>
      <c r="M203" s="127" t="n"/>
      <c r="N203" s="129">
        <f>IF($E203="","",COUNTIFS(EMP_Livre,$E203,EMP_Retour,""))</f>
        <v/>
      </c>
      <c r="O203" s="129">
        <f>IF($E203="","",$L203-$N203)</f>
        <v/>
      </c>
      <c r="P203" s="129">
        <f>IF($E203="","",COUNTIF(EMP_Livre,$E203))</f>
        <v/>
      </c>
      <c r="Q203" s="130">
        <f>IF($E203="","",IF($O203&lt;=0,"Indisponible",IF(AND($O203=1,$L203&gt;1),"Dernier exemplaire","Disponible")))</f>
        <v/>
      </c>
      <c r="S203">
        <f>IF($E203="","",$P203+ROW()/100000)</f>
        <v/>
      </c>
      <c r="T203">
        <f>IF(OR(Q_Rech="",$E203=""),"",IF(ISNUMBER(SEARCH(Q_Rech,$E203&amp;" "&amp;$F203&amp;" "&amp;$G203&amp;" "&amp;$H203&amp;" "&amp;$I203)),COUNT($T$6:$T202)+1,""))</f>
        <v/>
      </c>
      <c r="U203">
        <f>IF($E203="","",IF(COUNTIFS(EMP_Livre,$E203,EMP_Date,"&gt;="&amp;R_Mois,EMP_Date,"&lt;"&amp;EDATE(R_Mois,1))=0,"",COUNTIFS(EMP_Livre,$E203,EMP_Date,"&gt;="&amp;R_Mois,EMP_Date,"&lt;"&amp;EDATE(R_Mois,1))+ROW()/100000))</f>
        <v/>
      </c>
    </row>
    <row r="204" ht="21" customHeight="1">
      <c r="A204" s="1" t="n"/>
      <c r="B204" s="1" t="n"/>
      <c r="C204" s="2" t="n"/>
      <c r="E204" s="127" t="n"/>
      <c r="F204" s="127" t="n"/>
      <c r="G204" s="127" t="n"/>
      <c r="H204" s="127" t="n"/>
      <c r="I204" s="127" t="n"/>
      <c r="J204" s="127" t="n"/>
      <c r="K204" s="128" t="n"/>
      <c r="L204" s="128" t="n"/>
      <c r="M204" s="127" t="n"/>
      <c r="N204" s="129">
        <f>IF($E204="","",COUNTIFS(EMP_Livre,$E204,EMP_Retour,""))</f>
        <v/>
      </c>
      <c r="O204" s="129">
        <f>IF($E204="","",$L204-$N204)</f>
        <v/>
      </c>
      <c r="P204" s="129">
        <f>IF($E204="","",COUNTIF(EMP_Livre,$E204))</f>
        <v/>
      </c>
      <c r="Q204" s="130">
        <f>IF($E204="","",IF($O204&lt;=0,"Indisponible",IF(AND($O204=1,$L204&gt;1),"Dernier exemplaire","Disponible")))</f>
        <v/>
      </c>
      <c r="S204">
        <f>IF($E204="","",$P204+ROW()/100000)</f>
        <v/>
      </c>
      <c r="T204">
        <f>IF(OR(Q_Rech="",$E204=""),"",IF(ISNUMBER(SEARCH(Q_Rech,$E204&amp;" "&amp;$F204&amp;" "&amp;$G204&amp;" "&amp;$H204&amp;" "&amp;$I204)),COUNT($T$6:$T203)+1,""))</f>
        <v/>
      </c>
      <c r="U204">
        <f>IF($E204="","",IF(COUNTIFS(EMP_Livre,$E204,EMP_Date,"&gt;="&amp;R_Mois,EMP_Date,"&lt;"&amp;EDATE(R_Mois,1))=0,"",COUNTIFS(EMP_Livre,$E204,EMP_Date,"&gt;="&amp;R_Mois,EMP_Date,"&lt;"&amp;EDATE(R_Mois,1))+ROW()/100000))</f>
        <v/>
      </c>
    </row>
    <row r="205" ht="21" customHeight="1">
      <c r="A205" s="1" t="n"/>
      <c r="B205" s="1" t="n"/>
      <c r="C205" s="2" t="n"/>
      <c r="E205" s="127" t="n"/>
      <c r="F205" s="127" t="n"/>
      <c r="G205" s="127" t="n"/>
      <c r="H205" s="127" t="n"/>
      <c r="I205" s="127" t="n"/>
      <c r="J205" s="127" t="n"/>
      <c r="K205" s="128" t="n"/>
      <c r="L205" s="128" t="n"/>
      <c r="M205" s="127" t="n"/>
      <c r="N205" s="129">
        <f>IF($E205="","",COUNTIFS(EMP_Livre,$E205,EMP_Retour,""))</f>
        <v/>
      </c>
      <c r="O205" s="129">
        <f>IF($E205="","",$L205-$N205)</f>
        <v/>
      </c>
      <c r="P205" s="129">
        <f>IF($E205="","",COUNTIF(EMP_Livre,$E205))</f>
        <v/>
      </c>
      <c r="Q205" s="130">
        <f>IF($E205="","",IF($O205&lt;=0,"Indisponible",IF(AND($O205=1,$L205&gt;1),"Dernier exemplaire","Disponible")))</f>
        <v/>
      </c>
      <c r="S205">
        <f>IF($E205="","",$P205+ROW()/100000)</f>
        <v/>
      </c>
      <c r="T205">
        <f>IF(OR(Q_Rech="",$E205=""),"",IF(ISNUMBER(SEARCH(Q_Rech,$E205&amp;" "&amp;$F205&amp;" "&amp;$G205&amp;" "&amp;$H205&amp;" "&amp;$I205)),COUNT($T$6:$T204)+1,""))</f>
        <v/>
      </c>
      <c r="U205">
        <f>IF($E205="","",IF(COUNTIFS(EMP_Livre,$E205,EMP_Date,"&gt;="&amp;R_Mois,EMP_Date,"&lt;"&amp;EDATE(R_Mois,1))=0,"",COUNTIFS(EMP_Livre,$E205,EMP_Date,"&gt;="&amp;R_Mois,EMP_Date,"&lt;"&amp;EDATE(R_Mois,1))+ROW()/100000))</f>
        <v/>
      </c>
    </row>
    <row r="206" ht="21" customHeight="1">
      <c r="A206" s="1" t="n"/>
      <c r="B206" s="1" t="n"/>
      <c r="C206" s="2" t="n"/>
      <c r="E206" s="127" t="n"/>
      <c r="F206" s="127" t="n"/>
      <c r="G206" s="127" t="n"/>
      <c r="H206" s="127" t="n"/>
      <c r="I206" s="127" t="n"/>
      <c r="J206" s="127" t="n"/>
      <c r="K206" s="128" t="n"/>
      <c r="L206" s="128" t="n"/>
      <c r="M206" s="127" t="n"/>
      <c r="N206" s="129">
        <f>IF($E206="","",COUNTIFS(EMP_Livre,$E206,EMP_Retour,""))</f>
        <v/>
      </c>
      <c r="O206" s="129">
        <f>IF($E206="","",$L206-$N206)</f>
        <v/>
      </c>
      <c r="P206" s="129">
        <f>IF($E206="","",COUNTIF(EMP_Livre,$E206))</f>
        <v/>
      </c>
      <c r="Q206" s="130">
        <f>IF($E206="","",IF($O206&lt;=0,"Indisponible",IF(AND($O206=1,$L206&gt;1),"Dernier exemplaire","Disponible")))</f>
        <v/>
      </c>
      <c r="S206">
        <f>IF($E206="","",$P206+ROW()/100000)</f>
        <v/>
      </c>
      <c r="T206">
        <f>IF(OR(Q_Rech="",$E206=""),"",IF(ISNUMBER(SEARCH(Q_Rech,$E206&amp;" "&amp;$F206&amp;" "&amp;$G206&amp;" "&amp;$H206&amp;" "&amp;$I206)),COUNT($T$6:$T205)+1,""))</f>
        <v/>
      </c>
      <c r="U206">
        <f>IF($E206="","",IF(COUNTIFS(EMP_Livre,$E206,EMP_Date,"&gt;="&amp;R_Mois,EMP_Date,"&lt;"&amp;EDATE(R_Mois,1))=0,"",COUNTIFS(EMP_Livre,$E206,EMP_Date,"&gt;="&amp;R_Mois,EMP_Date,"&lt;"&amp;EDATE(R_Mois,1))+ROW()/100000))</f>
        <v/>
      </c>
    </row>
    <row r="207" ht="21" customHeight="1">
      <c r="A207" s="1" t="n"/>
      <c r="B207" s="1" t="n"/>
      <c r="C207" s="2" t="n"/>
      <c r="E207" s="127" t="n"/>
      <c r="F207" s="127" t="n"/>
      <c r="G207" s="127" t="n"/>
      <c r="H207" s="127" t="n"/>
      <c r="I207" s="127" t="n"/>
      <c r="J207" s="127" t="n"/>
      <c r="K207" s="128" t="n"/>
      <c r="L207" s="128" t="n"/>
      <c r="M207" s="127" t="n"/>
      <c r="N207" s="129">
        <f>IF($E207="","",COUNTIFS(EMP_Livre,$E207,EMP_Retour,""))</f>
        <v/>
      </c>
      <c r="O207" s="129">
        <f>IF($E207="","",$L207-$N207)</f>
        <v/>
      </c>
      <c r="P207" s="129">
        <f>IF($E207="","",COUNTIF(EMP_Livre,$E207))</f>
        <v/>
      </c>
      <c r="Q207" s="130">
        <f>IF($E207="","",IF($O207&lt;=0,"Indisponible",IF(AND($O207=1,$L207&gt;1),"Dernier exemplaire","Disponible")))</f>
        <v/>
      </c>
      <c r="S207">
        <f>IF($E207="","",$P207+ROW()/100000)</f>
        <v/>
      </c>
      <c r="T207">
        <f>IF(OR(Q_Rech="",$E207=""),"",IF(ISNUMBER(SEARCH(Q_Rech,$E207&amp;" "&amp;$F207&amp;" "&amp;$G207&amp;" "&amp;$H207&amp;" "&amp;$I207)),COUNT($T$6:$T206)+1,""))</f>
        <v/>
      </c>
      <c r="U207">
        <f>IF($E207="","",IF(COUNTIFS(EMP_Livre,$E207,EMP_Date,"&gt;="&amp;R_Mois,EMP_Date,"&lt;"&amp;EDATE(R_Mois,1))=0,"",COUNTIFS(EMP_Livre,$E207,EMP_Date,"&gt;="&amp;R_Mois,EMP_Date,"&lt;"&amp;EDATE(R_Mois,1))+ROW()/100000))</f>
        <v/>
      </c>
    </row>
    <row r="208" ht="21" customHeight="1">
      <c r="A208" s="1" t="n"/>
      <c r="B208" s="1" t="n"/>
      <c r="C208" s="2" t="n"/>
      <c r="E208" s="127" t="n"/>
      <c r="F208" s="127" t="n"/>
      <c r="G208" s="127" t="n"/>
      <c r="H208" s="127" t="n"/>
      <c r="I208" s="127" t="n"/>
      <c r="J208" s="127" t="n"/>
      <c r="K208" s="128" t="n"/>
      <c r="L208" s="128" t="n"/>
      <c r="M208" s="127" t="n"/>
      <c r="N208" s="129">
        <f>IF($E208="","",COUNTIFS(EMP_Livre,$E208,EMP_Retour,""))</f>
        <v/>
      </c>
      <c r="O208" s="129">
        <f>IF($E208="","",$L208-$N208)</f>
        <v/>
      </c>
      <c r="P208" s="129">
        <f>IF($E208="","",COUNTIF(EMP_Livre,$E208))</f>
        <v/>
      </c>
      <c r="Q208" s="130">
        <f>IF($E208="","",IF($O208&lt;=0,"Indisponible",IF(AND($O208=1,$L208&gt;1),"Dernier exemplaire","Disponible")))</f>
        <v/>
      </c>
      <c r="S208">
        <f>IF($E208="","",$P208+ROW()/100000)</f>
        <v/>
      </c>
      <c r="T208">
        <f>IF(OR(Q_Rech="",$E208=""),"",IF(ISNUMBER(SEARCH(Q_Rech,$E208&amp;" "&amp;$F208&amp;" "&amp;$G208&amp;" "&amp;$H208&amp;" "&amp;$I208)),COUNT($T$6:$T207)+1,""))</f>
        <v/>
      </c>
      <c r="U208">
        <f>IF($E208="","",IF(COUNTIFS(EMP_Livre,$E208,EMP_Date,"&gt;="&amp;R_Mois,EMP_Date,"&lt;"&amp;EDATE(R_Mois,1))=0,"",COUNTIFS(EMP_Livre,$E208,EMP_Date,"&gt;="&amp;R_Mois,EMP_Date,"&lt;"&amp;EDATE(R_Mois,1))+ROW()/100000))</f>
        <v/>
      </c>
    </row>
    <row r="209" ht="21" customHeight="1">
      <c r="A209" s="1" t="n"/>
      <c r="B209" s="1" t="n"/>
      <c r="C209" s="2" t="n"/>
      <c r="E209" s="127" t="n"/>
      <c r="F209" s="127" t="n"/>
      <c r="G209" s="127" t="n"/>
      <c r="H209" s="127" t="n"/>
      <c r="I209" s="127" t="n"/>
      <c r="J209" s="127" t="n"/>
      <c r="K209" s="128" t="n"/>
      <c r="L209" s="128" t="n"/>
      <c r="M209" s="127" t="n"/>
      <c r="N209" s="129">
        <f>IF($E209="","",COUNTIFS(EMP_Livre,$E209,EMP_Retour,""))</f>
        <v/>
      </c>
      <c r="O209" s="129">
        <f>IF($E209="","",$L209-$N209)</f>
        <v/>
      </c>
      <c r="P209" s="129">
        <f>IF($E209="","",COUNTIF(EMP_Livre,$E209))</f>
        <v/>
      </c>
      <c r="Q209" s="130">
        <f>IF($E209="","",IF($O209&lt;=0,"Indisponible",IF(AND($O209=1,$L209&gt;1),"Dernier exemplaire","Disponible")))</f>
        <v/>
      </c>
      <c r="S209">
        <f>IF($E209="","",$P209+ROW()/100000)</f>
        <v/>
      </c>
      <c r="T209">
        <f>IF(OR(Q_Rech="",$E209=""),"",IF(ISNUMBER(SEARCH(Q_Rech,$E209&amp;" "&amp;$F209&amp;" "&amp;$G209&amp;" "&amp;$H209&amp;" "&amp;$I209)),COUNT($T$6:$T208)+1,""))</f>
        <v/>
      </c>
      <c r="U209">
        <f>IF($E209="","",IF(COUNTIFS(EMP_Livre,$E209,EMP_Date,"&gt;="&amp;R_Mois,EMP_Date,"&lt;"&amp;EDATE(R_Mois,1))=0,"",COUNTIFS(EMP_Livre,$E209,EMP_Date,"&gt;="&amp;R_Mois,EMP_Date,"&lt;"&amp;EDATE(R_Mois,1))+ROW()/100000))</f>
        <v/>
      </c>
    </row>
    <row r="210" ht="21" customHeight="1">
      <c r="A210" s="1" t="n"/>
      <c r="B210" s="1" t="n"/>
      <c r="C210" s="2" t="n"/>
      <c r="E210" s="127" t="n"/>
      <c r="F210" s="127" t="n"/>
      <c r="G210" s="127" t="n"/>
      <c r="H210" s="127" t="n"/>
      <c r="I210" s="127" t="n"/>
      <c r="J210" s="127" t="n"/>
      <c r="K210" s="128" t="n"/>
      <c r="L210" s="128" t="n"/>
      <c r="M210" s="127" t="n"/>
      <c r="N210" s="129">
        <f>IF($E210="","",COUNTIFS(EMP_Livre,$E210,EMP_Retour,""))</f>
        <v/>
      </c>
      <c r="O210" s="129">
        <f>IF($E210="","",$L210-$N210)</f>
        <v/>
      </c>
      <c r="P210" s="129">
        <f>IF($E210="","",COUNTIF(EMP_Livre,$E210))</f>
        <v/>
      </c>
      <c r="Q210" s="130">
        <f>IF($E210="","",IF($O210&lt;=0,"Indisponible",IF(AND($O210=1,$L210&gt;1),"Dernier exemplaire","Disponible")))</f>
        <v/>
      </c>
      <c r="S210">
        <f>IF($E210="","",$P210+ROW()/100000)</f>
        <v/>
      </c>
      <c r="T210">
        <f>IF(OR(Q_Rech="",$E210=""),"",IF(ISNUMBER(SEARCH(Q_Rech,$E210&amp;" "&amp;$F210&amp;" "&amp;$G210&amp;" "&amp;$H210&amp;" "&amp;$I210)),COUNT($T$6:$T209)+1,""))</f>
        <v/>
      </c>
      <c r="U210">
        <f>IF($E210="","",IF(COUNTIFS(EMP_Livre,$E210,EMP_Date,"&gt;="&amp;R_Mois,EMP_Date,"&lt;"&amp;EDATE(R_Mois,1))=0,"",COUNTIFS(EMP_Livre,$E210,EMP_Date,"&gt;="&amp;R_Mois,EMP_Date,"&lt;"&amp;EDATE(R_Mois,1))+ROW()/100000))</f>
        <v/>
      </c>
    </row>
    <row r="211" ht="21" customHeight="1">
      <c r="A211" s="1" t="n"/>
      <c r="B211" s="1" t="n"/>
      <c r="C211" s="2" t="n"/>
      <c r="E211" s="127" t="n"/>
      <c r="F211" s="127" t="n"/>
      <c r="G211" s="127" t="n"/>
      <c r="H211" s="127" t="n"/>
      <c r="I211" s="127" t="n"/>
      <c r="J211" s="127" t="n"/>
      <c r="K211" s="128" t="n"/>
      <c r="L211" s="128" t="n"/>
      <c r="M211" s="127" t="n"/>
      <c r="N211" s="129">
        <f>IF($E211="","",COUNTIFS(EMP_Livre,$E211,EMP_Retour,""))</f>
        <v/>
      </c>
      <c r="O211" s="129">
        <f>IF($E211="","",$L211-$N211)</f>
        <v/>
      </c>
      <c r="P211" s="129">
        <f>IF($E211="","",COUNTIF(EMP_Livre,$E211))</f>
        <v/>
      </c>
      <c r="Q211" s="130">
        <f>IF($E211="","",IF($O211&lt;=0,"Indisponible",IF(AND($O211=1,$L211&gt;1),"Dernier exemplaire","Disponible")))</f>
        <v/>
      </c>
      <c r="S211">
        <f>IF($E211="","",$P211+ROW()/100000)</f>
        <v/>
      </c>
      <c r="T211">
        <f>IF(OR(Q_Rech="",$E211=""),"",IF(ISNUMBER(SEARCH(Q_Rech,$E211&amp;" "&amp;$F211&amp;" "&amp;$G211&amp;" "&amp;$H211&amp;" "&amp;$I211)),COUNT($T$6:$T210)+1,""))</f>
        <v/>
      </c>
      <c r="U211">
        <f>IF($E211="","",IF(COUNTIFS(EMP_Livre,$E211,EMP_Date,"&gt;="&amp;R_Mois,EMP_Date,"&lt;"&amp;EDATE(R_Mois,1))=0,"",COUNTIFS(EMP_Livre,$E211,EMP_Date,"&gt;="&amp;R_Mois,EMP_Date,"&lt;"&amp;EDATE(R_Mois,1))+ROW()/100000))</f>
        <v/>
      </c>
    </row>
    <row r="212" ht="21" customHeight="1">
      <c r="A212" s="1" t="n"/>
      <c r="B212" s="1" t="n"/>
      <c r="C212" s="2" t="n"/>
      <c r="E212" s="127" t="n"/>
      <c r="F212" s="127" t="n"/>
      <c r="G212" s="127" t="n"/>
      <c r="H212" s="127" t="n"/>
      <c r="I212" s="127" t="n"/>
      <c r="J212" s="127" t="n"/>
      <c r="K212" s="128" t="n"/>
      <c r="L212" s="128" t="n"/>
      <c r="M212" s="127" t="n"/>
      <c r="N212" s="129">
        <f>IF($E212="","",COUNTIFS(EMP_Livre,$E212,EMP_Retour,""))</f>
        <v/>
      </c>
      <c r="O212" s="129">
        <f>IF($E212="","",$L212-$N212)</f>
        <v/>
      </c>
      <c r="P212" s="129">
        <f>IF($E212="","",COUNTIF(EMP_Livre,$E212))</f>
        <v/>
      </c>
      <c r="Q212" s="130">
        <f>IF($E212="","",IF($O212&lt;=0,"Indisponible",IF(AND($O212=1,$L212&gt;1),"Dernier exemplaire","Disponible")))</f>
        <v/>
      </c>
      <c r="S212">
        <f>IF($E212="","",$P212+ROW()/100000)</f>
        <v/>
      </c>
      <c r="T212">
        <f>IF(OR(Q_Rech="",$E212=""),"",IF(ISNUMBER(SEARCH(Q_Rech,$E212&amp;" "&amp;$F212&amp;" "&amp;$G212&amp;" "&amp;$H212&amp;" "&amp;$I212)),COUNT($T$6:$T211)+1,""))</f>
        <v/>
      </c>
      <c r="U212">
        <f>IF($E212="","",IF(COUNTIFS(EMP_Livre,$E212,EMP_Date,"&gt;="&amp;R_Mois,EMP_Date,"&lt;"&amp;EDATE(R_Mois,1))=0,"",COUNTIFS(EMP_Livre,$E212,EMP_Date,"&gt;="&amp;R_Mois,EMP_Date,"&lt;"&amp;EDATE(R_Mois,1))+ROW()/100000))</f>
        <v/>
      </c>
    </row>
    <row r="213" ht="21" customHeight="1">
      <c r="A213" s="1" t="n"/>
      <c r="B213" s="1" t="n"/>
      <c r="C213" s="2" t="n"/>
      <c r="E213" s="127" t="n"/>
      <c r="F213" s="127" t="n"/>
      <c r="G213" s="127" t="n"/>
      <c r="H213" s="127" t="n"/>
      <c r="I213" s="127" t="n"/>
      <c r="J213" s="127" t="n"/>
      <c r="K213" s="128" t="n"/>
      <c r="L213" s="128" t="n"/>
      <c r="M213" s="127" t="n"/>
      <c r="N213" s="129">
        <f>IF($E213="","",COUNTIFS(EMP_Livre,$E213,EMP_Retour,""))</f>
        <v/>
      </c>
      <c r="O213" s="129">
        <f>IF($E213="","",$L213-$N213)</f>
        <v/>
      </c>
      <c r="P213" s="129">
        <f>IF($E213="","",COUNTIF(EMP_Livre,$E213))</f>
        <v/>
      </c>
      <c r="Q213" s="130">
        <f>IF($E213="","",IF($O213&lt;=0,"Indisponible",IF(AND($O213=1,$L213&gt;1),"Dernier exemplaire","Disponible")))</f>
        <v/>
      </c>
      <c r="S213">
        <f>IF($E213="","",$P213+ROW()/100000)</f>
        <v/>
      </c>
      <c r="T213">
        <f>IF(OR(Q_Rech="",$E213=""),"",IF(ISNUMBER(SEARCH(Q_Rech,$E213&amp;" "&amp;$F213&amp;" "&amp;$G213&amp;" "&amp;$H213&amp;" "&amp;$I213)),COUNT($T$6:$T212)+1,""))</f>
        <v/>
      </c>
      <c r="U213">
        <f>IF($E213="","",IF(COUNTIFS(EMP_Livre,$E213,EMP_Date,"&gt;="&amp;R_Mois,EMP_Date,"&lt;"&amp;EDATE(R_Mois,1))=0,"",COUNTIFS(EMP_Livre,$E213,EMP_Date,"&gt;="&amp;R_Mois,EMP_Date,"&lt;"&amp;EDATE(R_Mois,1))+ROW()/100000))</f>
        <v/>
      </c>
    </row>
    <row r="214" ht="21" customHeight="1">
      <c r="A214" s="1" t="n"/>
      <c r="B214" s="1" t="n"/>
      <c r="C214" s="2" t="n"/>
      <c r="E214" s="127" t="n"/>
      <c r="F214" s="127" t="n"/>
      <c r="G214" s="127" t="n"/>
      <c r="H214" s="127" t="n"/>
      <c r="I214" s="127" t="n"/>
      <c r="J214" s="127" t="n"/>
      <c r="K214" s="128" t="n"/>
      <c r="L214" s="128" t="n"/>
      <c r="M214" s="127" t="n"/>
      <c r="N214" s="129">
        <f>IF($E214="","",COUNTIFS(EMP_Livre,$E214,EMP_Retour,""))</f>
        <v/>
      </c>
      <c r="O214" s="129">
        <f>IF($E214="","",$L214-$N214)</f>
        <v/>
      </c>
      <c r="P214" s="129">
        <f>IF($E214="","",COUNTIF(EMP_Livre,$E214))</f>
        <v/>
      </c>
      <c r="Q214" s="130">
        <f>IF($E214="","",IF($O214&lt;=0,"Indisponible",IF(AND($O214=1,$L214&gt;1),"Dernier exemplaire","Disponible")))</f>
        <v/>
      </c>
      <c r="S214">
        <f>IF($E214="","",$P214+ROW()/100000)</f>
        <v/>
      </c>
      <c r="T214">
        <f>IF(OR(Q_Rech="",$E214=""),"",IF(ISNUMBER(SEARCH(Q_Rech,$E214&amp;" "&amp;$F214&amp;" "&amp;$G214&amp;" "&amp;$H214&amp;" "&amp;$I214)),COUNT($T$6:$T213)+1,""))</f>
        <v/>
      </c>
      <c r="U214">
        <f>IF($E214="","",IF(COUNTIFS(EMP_Livre,$E214,EMP_Date,"&gt;="&amp;R_Mois,EMP_Date,"&lt;"&amp;EDATE(R_Mois,1))=0,"",COUNTIFS(EMP_Livre,$E214,EMP_Date,"&gt;="&amp;R_Mois,EMP_Date,"&lt;"&amp;EDATE(R_Mois,1))+ROW()/100000))</f>
        <v/>
      </c>
    </row>
    <row r="215" ht="21" customHeight="1">
      <c r="A215" s="1" t="n"/>
      <c r="B215" s="1" t="n"/>
      <c r="C215" s="2" t="n"/>
      <c r="E215" s="127" t="n"/>
      <c r="F215" s="127" t="n"/>
      <c r="G215" s="127" t="n"/>
      <c r="H215" s="127" t="n"/>
      <c r="I215" s="127" t="n"/>
      <c r="J215" s="127" t="n"/>
      <c r="K215" s="128" t="n"/>
      <c r="L215" s="128" t="n"/>
      <c r="M215" s="127" t="n"/>
      <c r="N215" s="129">
        <f>IF($E215="","",COUNTIFS(EMP_Livre,$E215,EMP_Retour,""))</f>
        <v/>
      </c>
      <c r="O215" s="129">
        <f>IF($E215="","",$L215-$N215)</f>
        <v/>
      </c>
      <c r="P215" s="129">
        <f>IF($E215="","",COUNTIF(EMP_Livre,$E215))</f>
        <v/>
      </c>
      <c r="Q215" s="130">
        <f>IF($E215="","",IF($O215&lt;=0,"Indisponible",IF(AND($O215=1,$L215&gt;1),"Dernier exemplaire","Disponible")))</f>
        <v/>
      </c>
      <c r="S215">
        <f>IF($E215="","",$P215+ROW()/100000)</f>
        <v/>
      </c>
      <c r="T215">
        <f>IF(OR(Q_Rech="",$E215=""),"",IF(ISNUMBER(SEARCH(Q_Rech,$E215&amp;" "&amp;$F215&amp;" "&amp;$G215&amp;" "&amp;$H215&amp;" "&amp;$I215)),COUNT($T$6:$T214)+1,""))</f>
        <v/>
      </c>
      <c r="U215">
        <f>IF($E215="","",IF(COUNTIFS(EMP_Livre,$E215,EMP_Date,"&gt;="&amp;R_Mois,EMP_Date,"&lt;"&amp;EDATE(R_Mois,1))=0,"",COUNTIFS(EMP_Livre,$E215,EMP_Date,"&gt;="&amp;R_Mois,EMP_Date,"&lt;"&amp;EDATE(R_Mois,1))+ROW()/100000))</f>
        <v/>
      </c>
    </row>
    <row r="216" ht="21" customHeight="1">
      <c r="A216" s="1" t="n"/>
      <c r="B216" s="1" t="n"/>
      <c r="C216" s="2" t="n"/>
      <c r="E216" s="127" t="n"/>
      <c r="F216" s="127" t="n"/>
      <c r="G216" s="127" t="n"/>
      <c r="H216" s="127" t="n"/>
      <c r="I216" s="127" t="n"/>
      <c r="J216" s="127" t="n"/>
      <c r="K216" s="128" t="n"/>
      <c r="L216" s="128" t="n"/>
      <c r="M216" s="127" t="n"/>
      <c r="N216" s="129">
        <f>IF($E216="","",COUNTIFS(EMP_Livre,$E216,EMP_Retour,""))</f>
        <v/>
      </c>
      <c r="O216" s="129">
        <f>IF($E216="","",$L216-$N216)</f>
        <v/>
      </c>
      <c r="P216" s="129">
        <f>IF($E216="","",COUNTIF(EMP_Livre,$E216))</f>
        <v/>
      </c>
      <c r="Q216" s="130">
        <f>IF($E216="","",IF($O216&lt;=0,"Indisponible",IF(AND($O216=1,$L216&gt;1),"Dernier exemplaire","Disponible")))</f>
        <v/>
      </c>
      <c r="S216">
        <f>IF($E216="","",$P216+ROW()/100000)</f>
        <v/>
      </c>
      <c r="T216">
        <f>IF(OR(Q_Rech="",$E216=""),"",IF(ISNUMBER(SEARCH(Q_Rech,$E216&amp;" "&amp;$F216&amp;" "&amp;$G216&amp;" "&amp;$H216&amp;" "&amp;$I216)),COUNT($T$6:$T215)+1,""))</f>
        <v/>
      </c>
      <c r="U216">
        <f>IF($E216="","",IF(COUNTIFS(EMP_Livre,$E216,EMP_Date,"&gt;="&amp;R_Mois,EMP_Date,"&lt;"&amp;EDATE(R_Mois,1))=0,"",COUNTIFS(EMP_Livre,$E216,EMP_Date,"&gt;="&amp;R_Mois,EMP_Date,"&lt;"&amp;EDATE(R_Mois,1))+ROW()/100000))</f>
        <v/>
      </c>
    </row>
    <row r="217" ht="21" customHeight="1">
      <c r="A217" s="1" t="n"/>
      <c r="B217" s="1" t="n"/>
      <c r="C217" s="2" t="n"/>
      <c r="E217" s="127" t="n"/>
      <c r="F217" s="127" t="n"/>
      <c r="G217" s="127" t="n"/>
      <c r="H217" s="127" t="n"/>
      <c r="I217" s="127" t="n"/>
      <c r="J217" s="127" t="n"/>
      <c r="K217" s="128" t="n"/>
      <c r="L217" s="128" t="n"/>
      <c r="M217" s="127" t="n"/>
      <c r="N217" s="129">
        <f>IF($E217="","",COUNTIFS(EMP_Livre,$E217,EMP_Retour,""))</f>
        <v/>
      </c>
      <c r="O217" s="129">
        <f>IF($E217="","",$L217-$N217)</f>
        <v/>
      </c>
      <c r="P217" s="129">
        <f>IF($E217="","",COUNTIF(EMP_Livre,$E217))</f>
        <v/>
      </c>
      <c r="Q217" s="130">
        <f>IF($E217="","",IF($O217&lt;=0,"Indisponible",IF(AND($O217=1,$L217&gt;1),"Dernier exemplaire","Disponible")))</f>
        <v/>
      </c>
      <c r="S217">
        <f>IF($E217="","",$P217+ROW()/100000)</f>
        <v/>
      </c>
      <c r="T217">
        <f>IF(OR(Q_Rech="",$E217=""),"",IF(ISNUMBER(SEARCH(Q_Rech,$E217&amp;" "&amp;$F217&amp;" "&amp;$G217&amp;" "&amp;$H217&amp;" "&amp;$I217)),COUNT($T$6:$T216)+1,""))</f>
        <v/>
      </c>
      <c r="U217">
        <f>IF($E217="","",IF(COUNTIFS(EMP_Livre,$E217,EMP_Date,"&gt;="&amp;R_Mois,EMP_Date,"&lt;"&amp;EDATE(R_Mois,1))=0,"",COUNTIFS(EMP_Livre,$E217,EMP_Date,"&gt;="&amp;R_Mois,EMP_Date,"&lt;"&amp;EDATE(R_Mois,1))+ROW()/100000))</f>
        <v/>
      </c>
    </row>
    <row r="218" ht="21" customHeight="1">
      <c r="A218" s="1" t="n"/>
      <c r="B218" s="1" t="n"/>
      <c r="C218" s="2" t="n"/>
      <c r="E218" s="127" t="n"/>
      <c r="F218" s="127" t="n"/>
      <c r="G218" s="127" t="n"/>
      <c r="H218" s="127" t="n"/>
      <c r="I218" s="127" t="n"/>
      <c r="J218" s="127" t="n"/>
      <c r="K218" s="128" t="n"/>
      <c r="L218" s="128" t="n"/>
      <c r="M218" s="127" t="n"/>
      <c r="N218" s="129">
        <f>IF($E218="","",COUNTIFS(EMP_Livre,$E218,EMP_Retour,""))</f>
        <v/>
      </c>
      <c r="O218" s="129">
        <f>IF($E218="","",$L218-$N218)</f>
        <v/>
      </c>
      <c r="P218" s="129">
        <f>IF($E218="","",COUNTIF(EMP_Livre,$E218))</f>
        <v/>
      </c>
      <c r="Q218" s="130">
        <f>IF($E218="","",IF($O218&lt;=0,"Indisponible",IF(AND($O218=1,$L218&gt;1),"Dernier exemplaire","Disponible")))</f>
        <v/>
      </c>
      <c r="S218">
        <f>IF($E218="","",$P218+ROW()/100000)</f>
        <v/>
      </c>
      <c r="T218">
        <f>IF(OR(Q_Rech="",$E218=""),"",IF(ISNUMBER(SEARCH(Q_Rech,$E218&amp;" "&amp;$F218&amp;" "&amp;$G218&amp;" "&amp;$H218&amp;" "&amp;$I218)),COUNT($T$6:$T217)+1,""))</f>
        <v/>
      </c>
      <c r="U218">
        <f>IF($E218="","",IF(COUNTIFS(EMP_Livre,$E218,EMP_Date,"&gt;="&amp;R_Mois,EMP_Date,"&lt;"&amp;EDATE(R_Mois,1))=0,"",COUNTIFS(EMP_Livre,$E218,EMP_Date,"&gt;="&amp;R_Mois,EMP_Date,"&lt;"&amp;EDATE(R_Mois,1))+ROW()/100000))</f>
        <v/>
      </c>
    </row>
    <row r="219" ht="21" customHeight="1">
      <c r="A219" s="1" t="n"/>
      <c r="B219" s="1" t="n"/>
      <c r="C219" s="2" t="n"/>
      <c r="E219" s="127" t="n"/>
      <c r="F219" s="127" t="n"/>
      <c r="G219" s="127" t="n"/>
      <c r="H219" s="127" t="n"/>
      <c r="I219" s="127" t="n"/>
      <c r="J219" s="127" t="n"/>
      <c r="K219" s="128" t="n"/>
      <c r="L219" s="128" t="n"/>
      <c r="M219" s="127" t="n"/>
      <c r="N219" s="129">
        <f>IF($E219="","",COUNTIFS(EMP_Livre,$E219,EMP_Retour,""))</f>
        <v/>
      </c>
      <c r="O219" s="129">
        <f>IF($E219="","",$L219-$N219)</f>
        <v/>
      </c>
      <c r="P219" s="129">
        <f>IF($E219="","",COUNTIF(EMP_Livre,$E219))</f>
        <v/>
      </c>
      <c r="Q219" s="130">
        <f>IF($E219="","",IF($O219&lt;=0,"Indisponible",IF(AND($O219=1,$L219&gt;1),"Dernier exemplaire","Disponible")))</f>
        <v/>
      </c>
      <c r="S219">
        <f>IF($E219="","",$P219+ROW()/100000)</f>
        <v/>
      </c>
      <c r="T219">
        <f>IF(OR(Q_Rech="",$E219=""),"",IF(ISNUMBER(SEARCH(Q_Rech,$E219&amp;" "&amp;$F219&amp;" "&amp;$G219&amp;" "&amp;$H219&amp;" "&amp;$I219)),COUNT($T$6:$T218)+1,""))</f>
        <v/>
      </c>
      <c r="U219">
        <f>IF($E219="","",IF(COUNTIFS(EMP_Livre,$E219,EMP_Date,"&gt;="&amp;R_Mois,EMP_Date,"&lt;"&amp;EDATE(R_Mois,1))=0,"",COUNTIFS(EMP_Livre,$E219,EMP_Date,"&gt;="&amp;R_Mois,EMP_Date,"&lt;"&amp;EDATE(R_Mois,1))+ROW()/100000))</f>
        <v/>
      </c>
    </row>
    <row r="220" ht="21" customHeight="1">
      <c r="A220" s="1" t="n"/>
      <c r="B220" s="1" t="n"/>
      <c r="C220" s="2" t="n"/>
      <c r="E220" s="127" t="n"/>
      <c r="F220" s="127" t="n"/>
      <c r="G220" s="127" t="n"/>
      <c r="H220" s="127" t="n"/>
      <c r="I220" s="127" t="n"/>
      <c r="J220" s="127" t="n"/>
      <c r="K220" s="128" t="n"/>
      <c r="L220" s="128" t="n"/>
      <c r="M220" s="127" t="n"/>
      <c r="N220" s="129">
        <f>IF($E220="","",COUNTIFS(EMP_Livre,$E220,EMP_Retour,""))</f>
        <v/>
      </c>
      <c r="O220" s="129">
        <f>IF($E220="","",$L220-$N220)</f>
        <v/>
      </c>
      <c r="P220" s="129">
        <f>IF($E220="","",COUNTIF(EMP_Livre,$E220))</f>
        <v/>
      </c>
      <c r="Q220" s="130">
        <f>IF($E220="","",IF($O220&lt;=0,"Indisponible",IF(AND($O220=1,$L220&gt;1),"Dernier exemplaire","Disponible")))</f>
        <v/>
      </c>
      <c r="S220">
        <f>IF($E220="","",$P220+ROW()/100000)</f>
        <v/>
      </c>
      <c r="T220">
        <f>IF(OR(Q_Rech="",$E220=""),"",IF(ISNUMBER(SEARCH(Q_Rech,$E220&amp;" "&amp;$F220&amp;" "&amp;$G220&amp;" "&amp;$H220&amp;" "&amp;$I220)),COUNT($T$6:$T219)+1,""))</f>
        <v/>
      </c>
      <c r="U220">
        <f>IF($E220="","",IF(COUNTIFS(EMP_Livre,$E220,EMP_Date,"&gt;="&amp;R_Mois,EMP_Date,"&lt;"&amp;EDATE(R_Mois,1))=0,"",COUNTIFS(EMP_Livre,$E220,EMP_Date,"&gt;="&amp;R_Mois,EMP_Date,"&lt;"&amp;EDATE(R_Mois,1))+ROW()/100000))</f>
        <v/>
      </c>
    </row>
    <row r="221" ht="21" customHeight="1">
      <c r="A221" s="1" t="n"/>
      <c r="B221" s="1" t="n"/>
      <c r="C221" s="2" t="n"/>
      <c r="E221" s="127" t="n"/>
      <c r="F221" s="127" t="n"/>
      <c r="G221" s="127" t="n"/>
      <c r="H221" s="127" t="n"/>
      <c r="I221" s="127" t="n"/>
      <c r="J221" s="127" t="n"/>
      <c r="K221" s="128" t="n"/>
      <c r="L221" s="128" t="n"/>
      <c r="M221" s="127" t="n"/>
      <c r="N221" s="129">
        <f>IF($E221="","",COUNTIFS(EMP_Livre,$E221,EMP_Retour,""))</f>
        <v/>
      </c>
      <c r="O221" s="129">
        <f>IF($E221="","",$L221-$N221)</f>
        <v/>
      </c>
      <c r="P221" s="129">
        <f>IF($E221="","",COUNTIF(EMP_Livre,$E221))</f>
        <v/>
      </c>
      <c r="Q221" s="130">
        <f>IF($E221="","",IF($O221&lt;=0,"Indisponible",IF(AND($O221=1,$L221&gt;1),"Dernier exemplaire","Disponible")))</f>
        <v/>
      </c>
      <c r="S221">
        <f>IF($E221="","",$P221+ROW()/100000)</f>
        <v/>
      </c>
      <c r="T221">
        <f>IF(OR(Q_Rech="",$E221=""),"",IF(ISNUMBER(SEARCH(Q_Rech,$E221&amp;" "&amp;$F221&amp;" "&amp;$G221&amp;" "&amp;$H221&amp;" "&amp;$I221)),COUNT($T$6:$T220)+1,""))</f>
        <v/>
      </c>
      <c r="U221">
        <f>IF($E221="","",IF(COUNTIFS(EMP_Livre,$E221,EMP_Date,"&gt;="&amp;R_Mois,EMP_Date,"&lt;"&amp;EDATE(R_Mois,1))=0,"",COUNTIFS(EMP_Livre,$E221,EMP_Date,"&gt;="&amp;R_Mois,EMP_Date,"&lt;"&amp;EDATE(R_Mois,1))+ROW()/100000))</f>
        <v/>
      </c>
    </row>
    <row r="222" ht="21" customHeight="1">
      <c r="A222" s="1" t="n"/>
      <c r="B222" s="1" t="n"/>
      <c r="C222" s="2" t="n"/>
      <c r="E222" s="127" t="n"/>
      <c r="F222" s="127" t="n"/>
      <c r="G222" s="127" t="n"/>
      <c r="H222" s="127" t="n"/>
      <c r="I222" s="127" t="n"/>
      <c r="J222" s="127" t="n"/>
      <c r="K222" s="128" t="n"/>
      <c r="L222" s="128" t="n"/>
      <c r="M222" s="127" t="n"/>
      <c r="N222" s="129">
        <f>IF($E222="","",COUNTIFS(EMP_Livre,$E222,EMP_Retour,""))</f>
        <v/>
      </c>
      <c r="O222" s="129">
        <f>IF($E222="","",$L222-$N222)</f>
        <v/>
      </c>
      <c r="P222" s="129">
        <f>IF($E222="","",COUNTIF(EMP_Livre,$E222))</f>
        <v/>
      </c>
      <c r="Q222" s="130">
        <f>IF($E222="","",IF($O222&lt;=0,"Indisponible",IF(AND($O222=1,$L222&gt;1),"Dernier exemplaire","Disponible")))</f>
        <v/>
      </c>
      <c r="S222">
        <f>IF($E222="","",$P222+ROW()/100000)</f>
        <v/>
      </c>
      <c r="T222">
        <f>IF(OR(Q_Rech="",$E222=""),"",IF(ISNUMBER(SEARCH(Q_Rech,$E222&amp;" "&amp;$F222&amp;" "&amp;$G222&amp;" "&amp;$H222&amp;" "&amp;$I222)),COUNT($T$6:$T221)+1,""))</f>
        <v/>
      </c>
      <c r="U222">
        <f>IF($E222="","",IF(COUNTIFS(EMP_Livre,$E222,EMP_Date,"&gt;="&amp;R_Mois,EMP_Date,"&lt;"&amp;EDATE(R_Mois,1))=0,"",COUNTIFS(EMP_Livre,$E222,EMP_Date,"&gt;="&amp;R_Mois,EMP_Date,"&lt;"&amp;EDATE(R_Mois,1))+ROW()/100000))</f>
        <v/>
      </c>
    </row>
    <row r="223" ht="21" customHeight="1">
      <c r="A223" s="1" t="n"/>
      <c r="B223" s="1" t="n"/>
      <c r="C223" s="2" t="n"/>
      <c r="E223" s="127" t="n"/>
      <c r="F223" s="127" t="n"/>
      <c r="G223" s="127" t="n"/>
      <c r="H223" s="127" t="n"/>
      <c r="I223" s="127" t="n"/>
      <c r="J223" s="127" t="n"/>
      <c r="K223" s="128" t="n"/>
      <c r="L223" s="128" t="n"/>
      <c r="M223" s="127" t="n"/>
      <c r="N223" s="129">
        <f>IF($E223="","",COUNTIFS(EMP_Livre,$E223,EMP_Retour,""))</f>
        <v/>
      </c>
      <c r="O223" s="129">
        <f>IF($E223="","",$L223-$N223)</f>
        <v/>
      </c>
      <c r="P223" s="129">
        <f>IF($E223="","",COUNTIF(EMP_Livre,$E223))</f>
        <v/>
      </c>
      <c r="Q223" s="130">
        <f>IF($E223="","",IF($O223&lt;=0,"Indisponible",IF(AND($O223=1,$L223&gt;1),"Dernier exemplaire","Disponible")))</f>
        <v/>
      </c>
      <c r="S223">
        <f>IF($E223="","",$P223+ROW()/100000)</f>
        <v/>
      </c>
      <c r="T223">
        <f>IF(OR(Q_Rech="",$E223=""),"",IF(ISNUMBER(SEARCH(Q_Rech,$E223&amp;" "&amp;$F223&amp;" "&amp;$G223&amp;" "&amp;$H223&amp;" "&amp;$I223)),COUNT($T$6:$T222)+1,""))</f>
        <v/>
      </c>
      <c r="U223">
        <f>IF($E223="","",IF(COUNTIFS(EMP_Livre,$E223,EMP_Date,"&gt;="&amp;R_Mois,EMP_Date,"&lt;"&amp;EDATE(R_Mois,1))=0,"",COUNTIFS(EMP_Livre,$E223,EMP_Date,"&gt;="&amp;R_Mois,EMP_Date,"&lt;"&amp;EDATE(R_Mois,1))+ROW()/100000))</f>
        <v/>
      </c>
    </row>
    <row r="224" ht="21" customHeight="1">
      <c r="A224" s="1" t="n"/>
      <c r="B224" s="1" t="n"/>
      <c r="C224" s="2" t="n"/>
      <c r="E224" s="127" t="n"/>
      <c r="F224" s="127" t="n"/>
      <c r="G224" s="127" t="n"/>
      <c r="H224" s="127" t="n"/>
      <c r="I224" s="127" t="n"/>
      <c r="J224" s="127" t="n"/>
      <c r="K224" s="128" t="n"/>
      <c r="L224" s="128" t="n"/>
      <c r="M224" s="127" t="n"/>
      <c r="N224" s="129">
        <f>IF($E224="","",COUNTIFS(EMP_Livre,$E224,EMP_Retour,""))</f>
        <v/>
      </c>
      <c r="O224" s="129">
        <f>IF($E224="","",$L224-$N224)</f>
        <v/>
      </c>
      <c r="P224" s="129">
        <f>IF($E224="","",COUNTIF(EMP_Livre,$E224))</f>
        <v/>
      </c>
      <c r="Q224" s="130">
        <f>IF($E224="","",IF($O224&lt;=0,"Indisponible",IF(AND($O224=1,$L224&gt;1),"Dernier exemplaire","Disponible")))</f>
        <v/>
      </c>
      <c r="S224">
        <f>IF($E224="","",$P224+ROW()/100000)</f>
        <v/>
      </c>
      <c r="T224">
        <f>IF(OR(Q_Rech="",$E224=""),"",IF(ISNUMBER(SEARCH(Q_Rech,$E224&amp;" "&amp;$F224&amp;" "&amp;$G224&amp;" "&amp;$H224&amp;" "&amp;$I224)),COUNT($T$6:$T223)+1,""))</f>
        <v/>
      </c>
      <c r="U224">
        <f>IF($E224="","",IF(COUNTIFS(EMP_Livre,$E224,EMP_Date,"&gt;="&amp;R_Mois,EMP_Date,"&lt;"&amp;EDATE(R_Mois,1))=0,"",COUNTIFS(EMP_Livre,$E224,EMP_Date,"&gt;="&amp;R_Mois,EMP_Date,"&lt;"&amp;EDATE(R_Mois,1))+ROW()/100000))</f>
        <v/>
      </c>
    </row>
    <row r="225" ht="21" customHeight="1">
      <c r="A225" s="1" t="n"/>
      <c r="B225" s="1" t="n"/>
      <c r="C225" s="2" t="n"/>
      <c r="E225" s="127" t="n"/>
      <c r="F225" s="127" t="n"/>
      <c r="G225" s="127" t="n"/>
      <c r="H225" s="127" t="n"/>
      <c r="I225" s="127" t="n"/>
      <c r="J225" s="127" t="n"/>
      <c r="K225" s="128" t="n"/>
      <c r="L225" s="128" t="n"/>
      <c r="M225" s="127" t="n"/>
      <c r="N225" s="129">
        <f>IF($E225="","",COUNTIFS(EMP_Livre,$E225,EMP_Retour,""))</f>
        <v/>
      </c>
      <c r="O225" s="129">
        <f>IF($E225="","",$L225-$N225)</f>
        <v/>
      </c>
      <c r="P225" s="129">
        <f>IF($E225="","",COUNTIF(EMP_Livre,$E225))</f>
        <v/>
      </c>
      <c r="Q225" s="130">
        <f>IF($E225="","",IF($O225&lt;=0,"Indisponible",IF(AND($O225=1,$L225&gt;1),"Dernier exemplaire","Disponible")))</f>
        <v/>
      </c>
      <c r="S225">
        <f>IF($E225="","",$P225+ROW()/100000)</f>
        <v/>
      </c>
      <c r="T225">
        <f>IF(OR(Q_Rech="",$E225=""),"",IF(ISNUMBER(SEARCH(Q_Rech,$E225&amp;" "&amp;$F225&amp;" "&amp;$G225&amp;" "&amp;$H225&amp;" "&amp;$I225)),COUNT($T$6:$T224)+1,""))</f>
        <v/>
      </c>
      <c r="U225">
        <f>IF($E225="","",IF(COUNTIFS(EMP_Livre,$E225,EMP_Date,"&gt;="&amp;R_Mois,EMP_Date,"&lt;"&amp;EDATE(R_Mois,1))=0,"",COUNTIFS(EMP_Livre,$E225,EMP_Date,"&gt;="&amp;R_Mois,EMP_Date,"&lt;"&amp;EDATE(R_Mois,1))+ROW()/100000))</f>
        <v/>
      </c>
    </row>
    <row r="226" ht="21" customHeight="1">
      <c r="A226" s="1" t="n"/>
      <c r="B226" s="1" t="n"/>
      <c r="C226" s="2" t="n"/>
      <c r="E226" s="127" t="n"/>
      <c r="F226" s="127" t="n"/>
      <c r="G226" s="127" t="n"/>
      <c r="H226" s="127" t="n"/>
      <c r="I226" s="127" t="n"/>
      <c r="J226" s="127" t="n"/>
      <c r="K226" s="128" t="n"/>
      <c r="L226" s="128" t="n"/>
      <c r="M226" s="127" t="n"/>
      <c r="N226" s="129">
        <f>IF($E226="","",COUNTIFS(EMP_Livre,$E226,EMP_Retour,""))</f>
        <v/>
      </c>
      <c r="O226" s="129">
        <f>IF($E226="","",$L226-$N226)</f>
        <v/>
      </c>
      <c r="P226" s="129">
        <f>IF($E226="","",COUNTIF(EMP_Livre,$E226))</f>
        <v/>
      </c>
      <c r="Q226" s="130">
        <f>IF($E226="","",IF($O226&lt;=0,"Indisponible",IF(AND($O226=1,$L226&gt;1),"Dernier exemplaire","Disponible")))</f>
        <v/>
      </c>
      <c r="S226">
        <f>IF($E226="","",$P226+ROW()/100000)</f>
        <v/>
      </c>
      <c r="T226">
        <f>IF(OR(Q_Rech="",$E226=""),"",IF(ISNUMBER(SEARCH(Q_Rech,$E226&amp;" "&amp;$F226&amp;" "&amp;$G226&amp;" "&amp;$H226&amp;" "&amp;$I226)),COUNT($T$6:$T225)+1,""))</f>
        <v/>
      </c>
      <c r="U226">
        <f>IF($E226="","",IF(COUNTIFS(EMP_Livre,$E226,EMP_Date,"&gt;="&amp;R_Mois,EMP_Date,"&lt;"&amp;EDATE(R_Mois,1))=0,"",COUNTIFS(EMP_Livre,$E226,EMP_Date,"&gt;="&amp;R_Mois,EMP_Date,"&lt;"&amp;EDATE(R_Mois,1))+ROW()/100000))</f>
        <v/>
      </c>
    </row>
    <row r="227" ht="21" customHeight="1">
      <c r="A227" s="1" t="n"/>
      <c r="B227" s="1" t="n"/>
      <c r="C227" s="2" t="n"/>
      <c r="E227" s="127" t="n"/>
      <c r="F227" s="127" t="n"/>
      <c r="G227" s="127" t="n"/>
      <c r="H227" s="127" t="n"/>
      <c r="I227" s="127" t="n"/>
      <c r="J227" s="127" t="n"/>
      <c r="K227" s="128" t="n"/>
      <c r="L227" s="128" t="n"/>
      <c r="M227" s="127" t="n"/>
      <c r="N227" s="129">
        <f>IF($E227="","",COUNTIFS(EMP_Livre,$E227,EMP_Retour,""))</f>
        <v/>
      </c>
      <c r="O227" s="129">
        <f>IF($E227="","",$L227-$N227)</f>
        <v/>
      </c>
      <c r="P227" s="129">
        <f>IF($E227="","",COUNTIF(EMP_Livre,$E227))</f>
        <v/>
      </c>
      <c r="Q227" s="130">
        <f>IF($E227="","",IF($O227&lt;=0,"Indisponible",IF(AND($O227=1,$L227&gt;1),"Dernier exemplaire","Disponible")))</f>
        <v/>
      </c>
      <c r="S227">
        <f>IF($E227="","",$P227+ROW()/100000)</f>
        <v/>
      </c>
      <c r="T227">
        <f>IF(OR(Q_Rech="",$E227=""),"",IF(ISNUMBER(SEARCH(Q_Rech,$E227&amp;" "&amp;$F227&amp;" "&amp;$G227&amp;" "&amp;$H227&amp;" "&amp;$I227)),COUNT($T$6:$T226)+1,""))</f>
        <v/>
      </c>
      <c r="U227">
        <f>IF($E227="","",IF(COUNTIFS(EMP_Livre,$E227,EMP_Date,"&gt;="&amp;R_Mois,EMP_Date,"&lt;"&amp;EDATE(R_Mois,1))=0,"",COUNTIFS(EMP_Livre,$E227,EMP_Date,"&gt;="&amp;R_Mois,EMP_Date,"&lt;"&amp;EDATE(R_Mois,1))+ROW()/100000))</f>
        <v/>
      </c>
    </row>
    <row r="228" ht="21" customHeight="1">
      <c r="A228" s="1" t="n"/>
      <c r="B228" s="1" t="n"/>
      <c r="C228" s="2" t="n"/>
      <c r="E228" s="127" t="n"/>
      <c r="F228" s="127" t="n"/>
      <c r="G228" s="127" t="n"/>
      <c r="H228" s="127" t="n"/>
      <c r="I228" s="127" t="n"/>
      <c r="J228" s="127" t="n"/>
      <c r="K228" s="128" t="n"/>
      <c r="L228" s="128" t="n"/>
      <c r="M228" s="127" t="n"/>
      <c r="N228" s="129">
        <f>IF($E228="","",COUNTIFS(EMP_Livre,$E228,EMP_Retour,""))</f>
        <v/>
      </c>
      <c r="O228" s="129">
        <f>IF($E228="","",$L228-$N228)</f>
        <v/>
      </c>
      <c r="P228" s="129">
        <f>IF($E228="","",COUNTIF(EMP_Livre,$E228))</f>
        <v/>
      </c>
      <c r="Q228" s="130">
        <f>IF($E228="","",IF($O228&lt;=0,"Indisponible",IF(AND($O228=1,$L228&gt;1),"Dernier exemplaire","Disponible")))</f>
        <v/>
      </c>
      <c r="S228">
        <f>IF($E228="","",$P228+ROW()/100000)</f>
        <v/>
      </c>
      <c r="T228">
        <f>IF(OR(Q_Rech="",$E228=""),"",IF(ISNUMBER(SEARCH(Q_Rech,$E228&amp;" "&amp;$F228&amp;" "&amp;$G228&amp;" "&amp;$H228&amp;" "&amp;$I228)),COUNT($T$6:$T227)+1,""))</f>
        <v/>
      </c>
      <c r="U228">
        <f>IF($E228="","",IF(COUNTIFS(EMP_Livre,$E228,EMP_Date,"&gt;="&amp;R_Mois,EMP_Date,"&lt;"&amp;EDATE(R_Mois,1))=0,"",COUNTIFS(EMP_Livre,$E228,EMP_Date,"&gt;="&amp;R_Mois,EMP_Date,"&lt;"&amp;EDATE(R_Mois,1))+ROW()/100000))</f>
        <v/>
      </c>
    </row>
    <row r="229" ht="21" customHeight="1">
      <c r="A229" s="1" t="n"/>
      <c r="B229" s="1" t="n"/>
      <c r="C229" s="2" t="n"/>
      <c r="E229" s="127" t="n"/>
      <c r="F229" s="127" t="n"/>
      <c r="G229" s="127" t="n"/>
      <c r="H229" s="127" t="n"/>
      <c r="I229" s="127" t="n"/>
      <c r="J229" s="127" t="n"/>
      <c r="K229" s="128" t="n"/>
      <c r="L229" s="128" t="n"/>
      <c r="M229" s="127" t="n"/>
      <c r="N229" s="129">
        <f>IF($E229="","",COUNTIFS(EMP_Livre,$E229,EMP_Retour,""))</f>
        <v/>
      </c>
      <c r="O229" s="129">
        <f>IF($E229="","",$L229-$N229)</f>
        <v/>
      </c>
      <c r="P229" s="129">
        <f>IF($E229="","",COUNTIF(EMP_Livre,$E229))</f>
        <v/>
      </c>
      <c r="Q229" s="130">
        <f>IF($E229="","",IF($O229&lt;=0,"Indisponible",IF(AND($O229=1,$L229&gt;1),"Dernier exemplaire","Disponible")))</f>
        <v/>
      </c>
      <c r="S229">
        <f>IF($E229="","",$P229+ROW()/100000)</f>
        <v/>
      </c>
      <c r="T229">
        <f>IF(OR(Q_Rech="",$E229=""),"",IF(ISNUMBER(SEARCH(Q_Rech,$E229&amp;" "&amp;$F229&amp;" "&amp;$G229&amp;" "&amp;$H229&amp;" "&amp;$I229)),COUNT($T$6:$T228)+1,""))</f>
        <v/>
      </c>
      <c r="U229">
        <f>IF($E229="","",IF(COUNTIFS(EMP_Livre,$E229,EMP_Date,"&gt;="&amp;R_Mois,EMP_Date,"&lt;"&amp;EDATE(R_Mois,1))=0,"",COUNTIFS(EMP_Livre,$E229,EMP_Date,"&gt;="&amp;R_Mois,EMP_Date,"&lt;"&amp;EDATE(R_Mois,1))+ROW()/100000))</f>
        <v/>
      </c>
    </row>
    <row r="230" ht="21" customHeight="1">
      <c r="A230" s="1" t="n"/>
      <c r="B230" s="1" t="n"/>
      <c r="C230" s="2" t="n"/>
      <c r="E230" s="127" t="n"/>
      <c r="F230" s="127" t="n"/>
      <c r="G230" s="127" t="n"/>
      <c r="H230" s="127" t="n"/>
      <c r="I230" s="127" t="n"/>
      <c r="J230" s="127" t="n"/>
      <c r="K230" s="128" t="n"/>
      <c r="L230" s="128" t="n"/>
      <c r="M230" s="127" t="n"/>
      <c r="N230" s="129">
        <f>IF($E230="","",COUNTIFS(EMP_Livre,$E230,EMP_Retour,""))</f>
        <v/>
      </c>
      <c r="O230" s="129">
        <f>IF($E230="","",$L230-$N230)</f>
        <v/>
      </c>
      <c r="P230" s="129">
        <f>IF($E230="","",COUNTIF(EMP_Livre,$E230))</f>
        <v/>
      </c>
      <c r="Q230" s="130">
        <f>IF($E230="","",IF($O230&lt;=0,"Indisponible",IF(AND($O230=1,$L230&gt;1),"Dernier exemplaire","Disponible")))</f>
        <v/>
      </c>
      <c r="S230">
        <f>IF($E230="","",$P230+ROW()/100000)</f>
        <v/>
      </c>
      <c r="T230">
        <f>IF(OR(Q_Rech="",$E230=""),"",IF(ISNUMBER(SEARCH(Q_Rech,$E230&amp;" "&amp;$F230&amp;" "&amp;$G230&amp;" "&amp;$H230&amp;" "&amp;$I230)),COUNT($T$6:$T229)+1,""))</f>
        <v/>
      </c>
      <c r="U230">
        <f>IF($E230="","",IF(COUNTIFS(EMP_Livre,$E230,EMP_Date,"&gt;="&amp;R_Mois,EMP_Date,"&lt;"&amp;EDATE(R_Mois,1))=0,"",COUNTIFS(EMP_Livre,$E230,EMP_Date,"&gt;="&amp;R_Mois,EMP_Date,"&lt;"&amp;EDATE(R_Mois,1))+ROW()/100000))</f>
        <v/>
      </c>
    </row>
    <row r="231" ht="21" customHeight="1">
      <c r="A231" s="1" t="n"/>
      <c r="B231" s="1" t="n"/>
      <c r="C231" s="2" t="n"/>
      <c r="E231" s="127" t="n"/>
      <c r="F231" s="127" t="n"/>
      <c r="G231" s="127" t="n"/>
      <c r="H231" s="127" t="n"/>
      <c r="I231" s="127" t="n"/>
      <c r="J231" s="127" t="n"/>
      <c r="K231" s="128" t="n"/>
      <c r="L231" s="128" t="n"/>
      <c r="M231" s="127" t="n"/>
      <c r="N231" s="129">
        <f>IF($E231="","",COUNTIFS(EMP_Livre,$E231,EMP_Retour,""))</f>
        <v/>
      </c>
      <c r="O231" s="129">
        <f>IF($E231="","",$L231-$N231)</f>
        <v/>
      </c>
      <c r="P231" s="129">
        <f>IF($E231="","",COUNTIF(EMP_Livre,$E231))</f>
        <v/>
      </c>
      <c r="Q231" s="130">
        <f>IF($E231="","",IF($O231&lt;=0,"Indisponible",IF(AND($O231=1,$L231&gt;1),"Dernier exemplaire","Disponible")))</f>
        <v/>
      </c>
      <c r="S231">
        <f>IF($E231="","",$P231+ROW()/100000)</f>
        <v/>
      </c>
      <c r="T231">
        <f>IF(OR(Q_Rech="",$E231=""),"",IF(ISNUMBER(SEARCH(Q_Rech,$E231&amp;" "&amp;$F231&amp;" "&amp;$G231&amp;" "&amp;$H231&amp;" "&amp;$I231)),COUNT($T$6:$T230)+1,""))</f>
        <v/>
      </c>
      <c r="U231">
        <f>IF($E231="","",IF(COUNTIFS(EMP_Livre,$E231,EMP_Date,"&gt;="&amp;R_Mois,EMP_Date,"&lt;"&amp;EDATE(R_Mois,1))=0,"",COUNTIFS(EMP_Livre,$E231,EMP_Date,"&gt;="&amp;R_Mois,EMP_Date,"&lt;"&amp;EDATE(R_Mois,1))+ROW()/100000))</f>
        <v/>
      </c>
    </row>
    <row r="232" ht="21" customHeight="1">
      <c r="A232" s="1" t="n"/>
      <c r="B232" s="1" t="n"/>
      <c r="C232" s="2" t="n"/>
      <c r="E232" s="127" t="n"/>
      <c r="F232" s="127" t="n"/>
      <c r="G232" s="127" t="n"/>
      <c r="H232" s="127" t="n"/>
      <c r="I232" s="127" t="n"/>
      <c r="J232" s="127" t="n"/>
      <c r="K232" s="128" t="n"/>
      <c r="L232" s="128" t="n"/>
      <c r="M232" s="127" t="n"/>
      <c r="N232" s="129">
        <f>IF($E232="","",COUNTIFS(EMP_Livre,$E232,EMP_Retour,""))</f>
        <v/>
      </c>
      <c r="O232" s="129">
        <f>IF($E232="","",$L232-$N232)</f>
        <v/>
      </c>
      <c r="P232" s="129">
        <f>IF($E232="","",COUNTIF(EMP_Livre,$E232))</f>
        <v/>
      </c>
      <c r="Q232" s="130">
        <f>IF($E232="","",IF($O232&lt;=0,"Indisponible",IF(AND($O232=1,$L232&gt;1),"Dernier exemplaire","Disponible")))</f>
        <v/>
      </c>
      <c r="S232">
        <f>IF($E232="","",$P232+ROW()/100000)</f>
        <v/>
      </c>
      <c r="T232">
        <f>IF(OR(Q_Rech="",$E232=""),"",IF(ISNUMBER(SEARCH(Q_Rech,$E232&amp;" "&amp;$F232&amp;" "&amp;$G232&amp;" "&amp;$H232&amp;" "&amp;$I232)),COUNT($T$6:$T231)+1,""))</f>
        <v/>
      </c>
      <c r="U232">
        <f>IF($E232="","",IF(COUNTIFS(EMP_Livre,$E232,EMP_Date,"&gt;="&amp;R_Mois,EMP_Date,"&lt;"&amp;EDATE(R_Mois,1))=0,"",COUNTIFS(EMP_Livre,$E232,EMP_Date,"&gt;="&amp;R_Mois,EMP_Date,"&lt;"&amp;EDATE(R_Mois,1))+ROW()/100000))</f>
        <v/>
      </c>
    </row>
    <row r="233" ht="21" customHeight="1">
      <c r="A233" s="1" t="n"/>
      <c r="B233" s="1" t="n"/>
      <c r="C233" s="2" t="n"/>
      <c r="E233" s="127" t="n"/>
      <c r="F233" s="127" t="n"/>
      <c r="G233" s="127" t="n"/>
      <c r="H233" s="127" t="n"/>
      <c r="I233" s="127" t="n"/>
      <c r="J233" s="127" t="n"/>
      <c r="K233" s="128" t="n"/>
      <c r="L233" s="128" t="n"/>
      <c r="M233" s="127" t="n"/>
      <c r="N233" s="129">
        <f>IF($E233="","",COUNTIFS(EMP_Livre,$E233,EMP_Retour,""))</f>
        <v/>
      </c>
      <c r="O233" s="129">
        <f>IF($E233="","",$L233-$N233)</f>
        <v/>
      </c>
      <c r="P233" s="129">
        <f>IF($E233="","",COUNTIF(EMP_Livre,$E233))</f>
        <v/>
      </c>
      <c r="Q233" s="130">
        <f>IF($E233="","",IF($O233&lt;=0,"Indisponible",IF(AND($O233=1,$L233&gt;1),"Dernier exemplaire","Disponible")))</f>
        <v/>
      </c>
      <c r="S233">
        <f>IF($E233="","",$P233+ROW()/100000)</f>
        <v/>
      </c>
      <c r="T233">
        <f>IF(OR(Q_Rech="",$E233=""),"",IF(ISNUMBER(SEARCH(Q_Rech,$E233&amp;" "&amp;$F233&amp;" "&amp;$G233&amp;" "&amp;$H233&amp;" "&amp;$I233)),COUNT($T$6:$T232)+1,""))</f>
        <v/>
      </c>
      <c r="U233">
        <f>IF($E233="","",IF(COUNTIFS(EMP_Livre,$E233,EMP_Date,"&gt;="&amp;R_Mois,EMP_Date,"&lt;"&amp;EDATE(R_Mois,1))=0,"",COUNTIFS(EMP_Livre,$E233,EMP_Date,"&gt;="&amp;R_Mois,EMP_Date,"&lt;"&amp;EDATE(R_Mois,1))+ROW()/100000))</f>
        <v/>
      </c>
    </row>
    <row r="234" ht="21" customHeight="1">
      <c r="A234" s="1" t="n"/>
      <c r="B234" s="1" t="n"/>
      <c r="C234" s="2" t="n"/>
      <c r="E234" s="127" t="n"/>
      <c r="F234" s="127" t="n"/>
      <c r="G234" s="127" t="n"/>
      <c r="H234" s="127" t="n"/>
      <c r="I234" s="127" t="n"/>
      <c r="J234" s="127" t="n"/>
      <c r="K234" s="128" t="n"/>
      <c r="L234" s="128" t="n"/>
      <c r="M234" s="127" t="n"/>
      <c r="N234" s="129">
        <f>IF($E234="","",COUNTIFS(EMP_Livre,$E234,EMP_Retour,""))</f>
        <v/>
      </c>
      <c r="O234" s="129">
        <f>IF($E234="","",$L234-$N234)</f>
        <v/>
      </c>
      <c r="P234" s="129">
        <f>IF($E234="","",COUNTIF(EMP_Livre,$E234))</f>
        <v/>
      </c>
      <c r="Q234" s="130">
        <f>IF($E234="","",IF($O234&lt;=0,"Indisponible",IF(AND($O234=1,$L234&gt;1),"Dernier exemplaire","Disponible")))</f>
        <v/>
      </c>
      <c r="S234">
        <f>IF($E234="","",$P234+ROW()/100000)</f>
        <v/>
      </c>
      <c r="T234">
        <f>IF(OR(Q_Rech="",$E234=""),"",IF(ISNUMBER(SEARCH(Q_Rech,$E234&amp;" "&amp;$F234&amp;" "&amp;$G234&amp;" "&amp;$H234&amp;" "&amp;$I234)),COUNT($T$6:$T233)+1,""))</f>
        <v/>
      </c>
      <c r="U234">
        <f>IF($E234="","",IF(COUNTIFS(EMP_Livre,$E234,EMP_Date,"&gt;="&amp;R_Mois,EMP_Date,"&lt;"&amp;EDATE(R_Mois,1))=0,"",COUNTIFS(EMP_Livre,$E234,EMP_Date,"&gt;="&amp;R_Mois,EMP_Date,"&lt;"&amp;EDATE(R_Mois,1))+ROW()/100000))</f>
        <v/>
      </c>
    </row>
    <row r="235" ht="21" customHeight="1">
      <c r="A235" s="1" t="n"/>
      <c r="B235" s="1" t="n"/>
      <c r="C235" s="2" t="n"/>
      <c r="E235" s="127" t="n"/>
      <c r="F235" s="127" t="n"/>
      <c r="G235" s="127" t="n"/>
      <c r="H235" s="127" t="n"/>
      <c r="I235" s="127" t="n"/>
      <c r="J235" s="127" t="n"/>
      <c r="K235" s="128" t="n"/>
      <c r="L235" s="128" t="n"/>
      <c r="M235" s="127" t="n"/>
      <c r="N235" s="129">
        <f>IF($E235="","",COUNTIFS(EMP_Livre,$E235,EMP_Retour,""))</f>
        <v/>
      </c>
      <c r="O235" s="129">
        <f>IF($E235="","",$L235-$N235)</f>
        <v/>
      </c>
      <c r="P235" s="129">
        <f>IF($E235="","",COUNTIF(EMP_Livre,$E235))</f>
        <v/>
      </c>
      <c r="Q235" s="130">
        <f>IF($E235="","",IF($O235&lt;=0,"Indisponible",IF(AND($O235=1,$L235&gt;1),"Dernier exemplaire","Disponible")))</f>
        <v/>
      </c>
      <c r="S235">
        <f>IF($E235="","",$P235+ROW()/100000)</f>
        <v/>
      </c>
      <c r="T235">
        <f>IF(OR(Q_Rech="",$E235=""),"",IF(ISNUMBER(SEARCH(Q_Rech,$E235&amp;" "&amp;$F235&amp;" "&amp;$G235&amp;" "&amp;$H235&amp;" "&amp;$I235)),COUNT($T$6:$T234)+1,""))</f>
        <v/>
      </c>
      <c r="U235">
        <f>IF($E235="","",IF(COUNTIFS(EMP_Livre,$E235,EMP_Date,"&gt;="&amp;R_Mois,EMP_Date,"&lt;"&amp;EDATE(R_Mois,1))=0,"",COUNTIFS(EMP_Livre,$E235,EMP_Date,"&gt;="&amp;R_Mois,EMP_Date,"&lt;"&amp;EDATE(R_Mois,1))+ROW()/100000))</f>
        <v/>
      </c>
    </row>
    <row r="236" ht="21" customHeight="1">
      <c r="A236" s="1" t="n"/>
      <c r="B236" s="1" t="n"/>
      <c r="C236" s="2" t="n"/>
      <c r="E236" s="127" t="n"/>
      <c r="F236" s="127" t="n"/>
      <c r="G236" s="127" t="n"/>
      <c r="H236" s="127" t="n"/>
      <c r="I236" s="127" t="n"/>
      <c r="J236" s="127" t="n"/>
      <c r="K236" s="128" t="n"/>
      <c r="L236" s="128" t="n"/>
      <c r="M236" s="127" t="n"/>
      <c r="N236" s="129">
        <f>IF($E236="","",COUNTIFS(EMP_Livre,$E236,EMP_Retour,""))</f>
        <v/>
      </c>
      <c r="O236" s="129">
        <f>IF($E236="","",$L236-$N236)</f>
        <v/>
      </c>
      <c r="P236" s="129">
        <f>IF($E236="","",COUNTIF(EMP_Livre,$E236))</f>
        <v/>
      </c>
      <c r="Q236" s="130">
        <f>IF($E236="","",IF($O236&lt;=0,"Indisponible",IF(AND($O236=1,$L236&gt;1),"Dernier exemplaire","Disponible")))</f>
        <v/>
      </c>
      <c r="S236">
        <f>IF($E236="","",$P236+ROW()/100000)</f>
        <v/>
      </c>
      <c r="T236">
        <f>IF(OR(Q_Rech="",$E236=""),"",IF(ISNUMBER(SEARCH(Q_Rech,$E236&amp;" "&amp;$F236&amp;" "&amp;$G236&amp;" "&amp;$H236&amp;" "&amp;$I236)),COUNT($T$6:$T235)+1,""))</f>
        <v/>
      </c>
      <c r="U236">
        <f>IF($E236="","",IF(COUNTIFS(EMP_Livre,$E236,EMP_Date,"&gt;="&amp;R_Mois,EMP_Date,"&lt;"&amp;EDATE(R_Mois,1))=0,"",COUNTIFS(EMP_Livre,$E236,EMP_Date,"&gt;="&amp;R_Mois,EMP_Date,"&lt;"&amp;EDATE(R_Mois,1))+ROW()/100000))</f>
        <v/>
      </c>
    </row>
    <row r="237" ht="21" customHeight="1">
      <c r="A237" s="1" t="n"/>
      <c r="B237" s="1" t="n"/>
      <c r="C237" s="2" t="n"/>
      <c r="E237" s="127" t="n"/>
      <c r="F237" s="127" t="n"/>
      <c r="G237" s="127" t="n"/>
      <c r="H237" s="127" t="n"/>
      <c r="I237" s="127" t="n"/>
      <c r="J237" s="127" t="n"/>
      <c r="K237" s="128" t="n"/>
      <c r="L237" s="128" t="n"/>
      <c r="M237" s="127" t="n"/>
      <c r="N237" s="129">
        <f>IF($E237="","",COUNTIFS(EMP_Livre,$E237,EMP_Retour,""))</f>
        <v/>
      </c>
      <c r="O237" s="129">
        <f>IF($E237="","",$L237-$N237)</f>
        <v/>
      </c>
      <c r="P237" s="129">
        <f>IF($E237="","",COUNTIF(EMP_Livre,$E237))</f>
        <v/>
      </c>
      <c r="Q237" s="130">
        <f>IF($E237="","",IF($O237&lt;=0,"Indisponible",IF(AND($O237=1,$L237&gt;1),"Dernier exemplaire","Disponible")))</f>
        <v/>
      </c>
      <c r="S237">
        <f>IF($E237="","",$P237+ROW()/100000)</f>
        <v/>
      </c>
      <c r="T237">
        <f>IF(OR(Q_Rech="",$E237=""),"",IF(ISNUMBER(SEARCH(Q_Rech,$E237&amp;" "&amp;$F237&amp;" "&amp;$G237&amp;" "&amp;$H237&amp;" "&amp;$I237)),COUNT($T$6:$T236)+1,""))</f>
        <v/>
      </c>
      <c r="U237">
        <f>IF($E237="","",IF(COUNTIFS(EMP_Livre,$E237,EMP_Date,"&gt;="&amp;R_Mois,EMP_Date,"&lt;"&amp;EDATE(R_Mois,1))=0,"",COUNTIFS(EMP_Livre,$E237,EMP_Date,"&gt;="&amp;R_Mois,EMP_Date,"&lt;"&amp;EDATE(R_Mois,1))+ROW()/100000))</f>
        <v/>
      </c>
    </row>
    <row r="238" ht="21" customHeight="1">
      <c r="A238" s="1" t="n"/>
      <c r="B238" s="1" t="n"/>
      <c r="C238" s="2" t="n"/>
      <c r="E238" s="127" t="n"/>
      <c r="F238" s="127" t="n"/>
      <c r="G238" s="127" t="n"/>
      <c r="H238" s="127" t="n"/>
      <c r="I238" s="127" t="n"/>
      <c r="J238" s="127" t="n"/>
      <c r="K238" s="128" t="n"/>
      <c r="L238" s="128" t="n"/>
      <c r="M238" s="127" t="n"/>
      <c r="N238" s="129">
        <f>IF($E238="","",COUNTIFS(EMP_Livre,$E238,EMP_Retour,""))</f>
        <v/>
      </c>
      <c r="O238" s="129">
        <f>IF($E238="","",$L238-$N238)</f>
        <v/>
      </c>
      <c r="P238" s="129">
        <f>IF($E238="","",COUNTIF(EMP_Livre,$E238))</f>
        <v/>
      </c>
      <c r="Q238" s="130">
        <f>IF($E238="","",IF($O238&lt;=0,"Indisponible",IF(AND($O238=1,$L238&gt;1),"Dernier exemplaire","Disponible")))</f>
        <v/>
      </c>
      <c r="S238">
        <f>IF($E238="","",$P238+ROW()/100000)</f>
        <v/>
      </c>
      <c r="T238">
        <f>IF(OR(Q_Rech="",$E238=""),"",IF(ISNUMBER(SEARCH(Q_Rech,$E238&amp;" "&amp;$F238&amp;" "&amp;$G238&amp;" "&amp;$H238&amp;" "&amp;$I238)),COUNT($T$6:$T237)+1,""))</f>
        <v/>
      </c>
      <c r="U238">
        <f>IF($E238="","",IF(COUNTIFS(EMP_Livre,$E238,EMP_Date,"&gt;="&amp;R_Mois,EMP_Date,"&lt;"&amp;EDATE(R_Mois,1))=0,"",COUNTIFS(EMP_Livre,$E238,EMP_Date,"&gt;="&amp;R_Mois,EMP_Date,"&lt;"&amp;EDATE(R_Mois,1))+ROW()/100000))</f>
        <v/>
      </c>
    </row>
    <row r="239" ht="21" customHeight="1">
      <c r="A239" s="1" t="n"/>
      <c r="B239" s="1" t="n"/>
      <c r="C239" s="2" t="n"/>
      <c r="E239" s="127" t="n"/>
      <c r="F239" s="127" t="n"/>
      <c r="G239" s="127" t="n"/>
      <c r="H239" s="127" t="n"/>
      <c r="I239" s="127" t="n"/>
      <c r="J239" s="127" t="n"/>
      <c r="K239" s="128" t="n"/>
      <c r="L239" s="128" t="n"/>
      <c r="M239" s="127" t="n"/>
      <c r="N239" s="129">
        <f>IF($E239="","",COUNTIFS(EMP_Livre,$E239,EMP_Retour,""))</f>
        <v/>
      </c>
      <c r="O239" s="129">
        <f>IF($E239="","",$L239-$N239)</f>
        <v/>
      </c>
      <c r="P239" s="129">
        <f>IF($E239="","",COUNTIF(EMP_Livre,$E239))</f>
        <v/>
      </c>
      <c r="Q239" s="130">
        <f>IF($E239="","",IF($O239&lt;=0,"Indisponible",IF(AND($O239=1,$L239&gt;1),"Dernier exemplaire","Disponible")))</f>
        <v/>
      </c>
      <c r="S239">
        <f>IF($E239="","",$P239+ROW()/100000)</f>
        <v/>
      </c>
      <c r="T239">
        <f>IF(OR(Q_Rech="",$E239=""),"",IF(ISNUMBER(SEARCH(Q_Rech,$E239&amp;" "&amp;$F239&amp;" "&amp;$G239&amp;" "&amp;$H239&amp;" "&amp;$I239)),COUNT($T$6:$T238)+1,""))</f>
        <v/>
      </c>
      <c r="U239">
        <f>IF($E239="","",IF(COUNTIFS(EMP_Livre,$E239,EMP_Date,"&gt;="&amp;R_Mois,EMP_Date,"&lt;"&amp;EDATE(R_Mois,1))=0,"",COUNTIFS(EMP_Livre,$E239,EMP_Date,"&gt;="&amp;R_Mois,EMP_Date,"&lt;"&amp;EDATE(R_Mois,1))+ROW()/100000))</f>
        <v/>
      </c>
    </row>
    <row r="240" ht="21" customHeight="1">
      <c r="A240" s="1" t="n"/>
      <c r="B240" s="1" t="n"/>
      <c r="C240" s="2" t="n"/>
      <c r="E240" s="127" t="n"/>
      <c r="F240" s="127" t="n"/>
      <c r="G240" s="127" t="n"/>
      <c r="H240" s="127" t="n"/>
      <c r="I240" s="127" t="n"/>
      <c r="J240" s="127" t="n"/>
      <c r="K240" s="128" t="n"/>
      <c r="L240" s="128" t="n"/>
      <c r="M240" s="127" t="n"/>
      <c r="N240" s="129">
        <f>IF($E240="","",COUNTIFS(EMP_Livre,$E240,EMP_Retour,""))</f>
        <v/>
      </c>
      <c r="O240" s="129">
        <f>IF($E240="","",$L240-$N240)</f>
        <v/>
      </c>
      <c r="P240" s="129">
        <f>IF($E240="","",COUNTIF(EMP_Livre,$E240))</f>
        <v/>
      </c>
      <c r="Q240" s="130">
        <f>IF($E240="","",IF($O240&lt;=0,"Indisponible",IF(AND($O240=1,$L240&gt;1),"Dernier exemplaire","Disponible")))</f>
        <v/>
      </c>
      <c r="S240">
        <f>IF($E240="","",$P240+ROW()/100000)</f>
        <v/>
      </c>
      <c r="T240">
        <f>IF(OR(Q_Rech="",$E240=""),"",IF(ISNUMBER(SEARCH(Q_Rech,$E240&amp;" "&amp;$F240&amp;" "&amp;$G240&amp;" "&amp;$H240&amp;" "&amp;$I240)),COUNT($T$6:$T239)+1,""))</f>
        <v/>
      </c>
      <c r="U240">
        <f>IF($E240="","",IF(COUNTIFS(EMP_Livre,$E240,EMP_Date,"&gt;="&amp;R_Mois,EMP_Date,"&lt;"&amp;EDATE(R_Mois,1))=0,"",COUNTIFS(EMP_Livre,$E240,EMP_Date,"&gt;="&amp;R_Mois,EMP_Date,"&lt;"&amp;EDATE(R_Mois,1))+ROW()/100000))</f>
        <v/>
      </c>
    </row>
    <row r="241" ht="21" customHeight="1">
      <c r="A241" s="1" t="n"/>
      <c r="B241" s="1" t="n"/>
      <c r="C241" s="2" t="n"/>
      <c r="E241" s="127" t="n"/>
      <c r="F241" s="127" t="n"/>
      <c r="G241" s="127" t="n"/>
      <c r="H241" s="127" t="n"/>
      <c r="I241" s="127" t="n"/>
      <c r="J241" s="127" t="n"/>
      <c r="K241" s="128" t="n"/>
      <c r="L241" s="128" t="n"/>
      <c r="M241" s="127" t="n"/>
      <c r="N241" s="129">
        <f>IF($E241="","",COUNTIFS(EMP_Livre,$E241,EMP_Retour,""))</f>
        <v/>
      </c>
      <c r="O241" s="129">
        <f>IF($E241="","",$L241-$N241)</f>
        <v/>
      </c>
      <c r="P241" s="129">
        <f>IF($E241="","",COUNTIF(EMP_Livre,$E241))</f>
        <v/>
      </c>
      <c r="Q241" s="130">
        <f>IF($E241="","",IF($O241&lt;=0,"Indisponible",IF(AND($O241=1,$L241&gt;1),"Dernier exemplaire","Disponible")))</f>
        <v/>
      </c>
      <c r="S241">
        <f>IF($E241="","",$P241+ROW()/100000)</f>
        <v/>
      </c>
      <c r="T241">
        <f>IF(OR(Q_Rech="",$E241=""),"",IF(ISNUMBER(SEARCH(Q_Rech,$E241&amp;" "&amp;$F241&amp;" "&amp;$G241&amp;" "&amp;$H241&amp;" "&amp;$I241)),COUNT($T$6:$T240)+1,""))</f>
        <v/>
      </c>
      <c r="U241">
        <f>IF($E241="","",IF(COUNTIFS(EMP_Livre,$E241,EMP_Date,"&gt;="&amp;R_Mois,EMP_Date,"&lt;"&amp;EDATE(R_Mois,1))=0,"",COUNTIFS(EMP_Livre,$E241,EMP_Date,"&gt;="&amp;R_Mois,EMP_Date,"&lt;"&amp;EDATE(R_Mois,1))+ROW()/100000))</f>
        <v/>
      </c>
    </row>
    <row r="242" ht="21" customHeight="1">
      <c r="A242" s="1" t="n"/>
      <c r="B242" s="1" t="n"/>
      <c r="C242" s="2" t="n"/>
      <c r="E242" s="127" t="n"/>
      <c r="F242" s="127" t="n"/>
      <c r="G242" s="127" t="n"/>
      <c r="H242" s="127" t="n"/>
      <c r="I242" s="127" t="n"/>
      <c r="J242" s="127" t="n"/>
      <c r="K242" s="128" t="n"/>
      <c r="L242" s="128" t="n"/>
      <c r="M242" s="127" t="n"/>
      <c r="N242" s="129">
        <f>IF($E242="","",COUNTIFS(EMP_Livre,$E242,EMP_Retour,""))</f>
        <v/>
      </c>
      <c r="O242" s="129">
        <f>IF($E242="","",$L242-$N242)</f>
        <v/>
      </c>
      <c r="P242" s="129">
        <f>IF($E242="","",COUNTIF(EMP_Livre,$E242))</f>
        <v/>
      </c>
      <c r="Q242" s="130">
        <f>IF($E242="","",IF($O242&lt;=0,"Indisponible",IF(AND($O242=1,$L242&gt;1),"Dernier exemplaire","Disponible")))</f>
        <v/>
      </c>
      <c r="S242">
        <f>IF($E242="","",$P242+ROW()/100000)</f>
        <v/>
      </c>
      <c r="T242">
        <f>IF(OR(Q_Rech="",$E242=""),"",IF(ISNUMBER(SEARCH(Q_Rech,$E242&amp;" "&amp;$F242&amp;" "&amp;$G242&amp;" "&amp;$H242&amp;" "&amp;$I242)),COUNT($T$6:$T241)+1,""))</f>
        <v/>
      </c>
      <c r="U242">
        <f>IF($E242="","",IF(COUNTIFS(EMP_Livre,$E242,EMP_Date,"&gt;="&amp;R_Mois,EMP_Date,"&lt;"&amp;EDATE(R_Mois,1))=0,"",COUNTIFS(EMP_Livre,$E242,EMP_Date,"&gt;="&amp;R_Mois,EMP_Date,"&lt;"&amp;EDATE(R_Mois,1))+ROW()/100000))</f>
        <v/>
      </c>
    </row>
    <row r="243" ht="21" customHeight="1">
      <c r="A243" s="1" t="n"/>
      <c r="B243" s="1" t="n"/>
      <c r="C243" s="2" t="n"/>
      <c r="E243" s="127" t="n"/>
      <c r="F243" s="127" t="n"/>
      <c r="G243" s="127" t="n"/>
      <c r="H243" s="127" t="n"/>
      <c r="I243" s="127" t="n"/>
      <c r="J243" s="127" t="n"/>
      <c r="K243" s="128" t="n"/>
      <c r="L243" s="128" t="n"/>
      <c r="M243" s="127" t="n"/>
      <c r="N243" s="129">
        <f>IF($E243="","",COUNTIFS(EMP_Livre,$E243,EMP_Retour,""))</f>
        <v/>
      </c>
      <c r="O243" s="129">
        <f>IF($E243="","",$L243-$N243)</f>
        <v/>
      </c>
      <c r="P243" s="129">
        <f>IF($E243="","",COUNTIF(EMP_Livre,$E243))</f>
        <v/>
      </c>
      <c r="Q243" s="130">
        <f>IF($E243="","",IF($O243&lt;=0,"Indisponible",IF(AND($O243=1,$L243&gt;1),"Dernier exemplaire","Disponible")))</f>
        <v/>
      </c>
      <c r="S243">
        <f>IF($E243="","",$P243+ROW()/100000)</f>
        <v/>
      </c>
      <c r="T243">
        <f>IF(OR(Q_Rech="",$E243=""),"",IF(ISNUMBER(SEARCH(Q_Rech,$E243&amp;" "&amp;$F243&amp;" "&amp;$G243&amp;" "&amp;$H243&amp;" "&amp;$I243)),COUNT($T$6:$T242)+1,""))</f>
        <v/>
      </c>
      <c r="U243">
        <f>IF($E243="","",IF(COUNTIFS(EMP_Livre,$E243,EMP_Date,"&gt;="&amp;R_Mois,EMP_Date,"&lt;"&amp;EDATE(R_Mois,1))=0,"",COUNTIFS(EMP_Livre,$E243,EMP_Date,"&gt;="&amp;R_Mois,EMP_Date,"&lt;"&amp;EDATE(R_Mois,1))+ROW()/100000))</f>
        <v/>
      </c>
    </row>
    <row r="244" ht="21" customHeight="1">
      <c r="A244" s="1" t="n"/>
      <c r="B244" s="1" t="n"/>
      <c r="C244" s="2" t="n"/>
      <c r="E244" s="127" t="n"/>
      <c r="F244" s="127" t="n"/>
      <c r="G244" s="127" t="n"/>
      <c r="H244" s="127" t="n"/>
      <c r="I244" s="127" t="n"/>
      <c r="J244" s="127" t="n"/>
      <c r="K244" s="128" t="n"/>
      <c r="L244" s="128" t="n"/>
      <c r="M244" s="127" t="n"/>
      <c r="N244" s="129">
        <f>IF($E244="","",COUNTIFS(EMP_Livre,$E244,EMP_Retour,""))</f>
        <v/>
      </c>
      <c r="O244" s="129">
        <f>IF($E244="","",$L244-$N244)</f>
        <v/>
      </c>
      <c r="P244" s="129">
        <f>IF($E244="","",COUNTIF(EMP_Livre,$E244))</f>
        <v/>
      </c>
      <c r="Q244" s="130">
        <f>IF($E244="","",IF($O244&lt;=0,"Indisponible",IF(AND($O244=1,$L244&gt;1),"Dernier exemplaire","Disponible")))</f>
        <v/>
      </c>
      <c r="S244">
        <f>IF($E244="","",$P244+ROW()/100000)</f>
        <v/>
      </c>
      <c r="T244">
        <f>IF(OR(Q_Rech="",$E244=""),"",IF(ISNUMBER(SEARCH(Q_Rech,$E244&amp;" "&amp;$F244&amp;" "&amp;$G244&amp;" "&amp;$H244&amp;" "&amp;$I244)),COUNT($T$6:$T243)+1,""))</f>
        <v/>
      </c>
      <c r="U244">
        <f>IF($E244="","",IF(COUNTIFS(EMP_Livre,$E244,EMP_Date,"&gt;="&amp;R_Mois,EMP_Date,"&lt;"&amp;EDATE(R_Mois,1))=0,"",COUNTIFS(EMP_Livre,$E244,EMP_Date,"&gt;="&amp;R_Mois,EMP_Date,"&lt;"&amp;EDATE(R_Mois,1))+ROW()/100000))</f>
        <v/>
      </c>
    </row>
    <row r="245" ht="21" customHeight="1">
      <c r="A245" s="1" t="n"/>
      <c r="B245" s="1" t="n"/>
      <c r="C245" s="2" t="n"/>
      <c r="E245" s="127" t="n"/>
      <c r="F245" s="127" t="n"/>
      <c r="G245" s="127" t="n"/>
      <c r="H245" s="127" t="n"/>
      <c r="I245" s="127" t="n"/>
      <c r="J245" s="127" t="n"/>
      <c r="K245" s="128" t="n"/>
      <c r="L245" s="128" t="n"/>
      <c r="M245" s="127" t="n"/>
      <c r="N245" s="129">
        <f>IF($E245="","",COUNTIFS(EMP_Livre,$E245,EMP_Retour,""))</f>
        <v/>
      </c>
      <c r="O245" s="129">
        <f>IF($E245="","",$L245-$N245)</f>
        <v/>
      </c>
      <c r="P245" s="129">
        <f>IF($E245="","",COUNTIF(EMP_Livre,$E245))</f>
        <v/>
      </c>
      <c r="Q245" s="130">
        <f>IF($E245="","",IF($O245&lt;=0,"Indisponible",IF(AND($O245=1,$L245&gt;1),"Dernier exemplaire","Disponible")))</f>
        <v/>
      </c>
      <c r="S245">
        <f>IF($E245="","",$P245+ROW()/100000)</f>
        <v/>
      </c>
      <c r="T245">
        <f>IF(OR(Q_Rech="",$E245=""),"",IF(ISNUMBER(SEARCH(Q_Rech,$E245&amp;" "&amp;$F245&amp;" "&amp;$G245&amp;" "&amp;$H245&amp;" "&amp;$I245)),COUNT($T$6:$T244)+1,""))</f>
        <v/>
      </c>
      <c r="U245">
        <f>IF($E245="","",IF(COUNTIFS(EMP_Livre,$E245,EMP_Date,"&gt;="&amp;R_Mois,EMP_Date,"&lt;"&amp;EDATE(R_Mois,1))=0,"",COUNTIFS(EMP_Livre,$E245,EMP_Date,"&gt;="&amp;R_Mois,EMP_Date,"&lt;"&amp;EDATE(R_Mois,1))+ROW()/100000))</f>
        <v/>
      </c>
    </row>
    <row r="246" ht="21" customHeight="1">
      <c r="A246" s="1" t="n"/>
      <c r="B246" s="1" t="n"/>
      <c r="C246" s="2" t="n"/>
      <c r="E246" s="127" t="n"/>
      <c r="F246" s="127" t="n"/>
      <c r="G246" s="127" t="n"/>
      <c r="H246" s="127" t="n"/>
      <c r="I246" s="127" t="n"/>
      <c r="J246" s="127" t="n"/>
      <c r="K246" s="128" t="n"/>
      <c r="L246" s="128" t="n"/>
      <c r="M246" s="127" t="n"/>
      <c r="N246" s="129">
        <f>IF($E246="","",COUNTIFS(EMP_Livre,$E246,EMP_Retour,""))</f>
        <v/>
      </c>
      <c r="O246" s="129">
        <f>IF($E246="","",$L246-$N246)</f>
        <v/>
      </c>
      <c r="P246" s="129">
        <f>IF($E246="","",COUNTIF(EMP_Livre,$E246))</f>
        <v/>
      </c>
      <c r="Q246" s="130">
        <f>IF($E246="","",IF($O246&lt;=0,"Indisponible",IF(AND($O246=1,$L246&gt;1),"Dernier exemplaire","Disponible")))</f>
        <v/>
      </c>
      <c r="S246">
        <f>IF($E246="","",$P246+ROW()/100000)</f>
        <v/>
      </c>
      <c r="T246">
        <f>IF(OR(Q_Rech="",$E246=""),"",IF(ISNUMBER(SEARCH(Q_Rech,$E246&amp;" "&amp;$F246&amp;" "&amp;$G246&amp;" "&amp;$H246&amp;" "&amp;$I246)),COUNT($T$6:$T245)+1,""))</f>
        <v/>
      </c>
      <c r="U246">
        <f>IF($E246="","",IF(COUNTIFS(EMP_Livre,$E246,EMP_Date,"&gt;="&amp;R_Mois,EMP_Date,"&lt;"&amp;EDATE(R_Mois,1))=0,"",COUNTIFS(EMP_Livre,$E246,EMP_Date,"&gt;="&amp;R_Mois,EMP_Date,"&lt;"&amp;EDATE(R_Mois,1))+ROW()/100000))</f>
        <v/>
      </c>
    </row>
    <row r="247" ht="21" customHeight="1">
      <c r="A247" s="1" t="n"/>
      <c r="B247" s="1" t="n"/>
      <c r="C247" s="2" t="n"/>
      <c r="E247" s="127" t="n"/>
      <c r="F247" s="127" t="n"/>
      <c r="G247" s="127" t="n"/>
      <c r="H247" s="127" t="n"/>
      <c r="I247" s="127" t="n"/>
      <c r="J247" s="127" t="n"/>
      <c r="K247" s="128" t="n"/>
      <c r="L247" s="128" t="n"/>
      <c r="M247" s="127" t="n"/>
      <c r="N247" s="129">
        <f>IF($E247="","",COUNTIFS(EMP_Livre,$E247,EMP_Retour,""))</f>
        <v/>
      </c>
      <c r="O247" s="129">
        <f>IF($E247="","",$L247-$N247)</f>
        <v/>
      </c>
      <c r="P247" s="129">
        <f>IF($E247="","",COUNTIF(EMP_Livre,$E247))</f>
        <v/>
      </c>
      <c r="Q247" s="130">
        <f>IF($E247="","",IF($O247&lt;=0,"Indisponible",IF(AND($O247=1,$L247&gt;1),"Dernier exemplaire","Disponible")))</f>
        <v/>
      </c>
      <c r="S247">
        <f>IF($E247="","",$P247+ROW()/100000)</f>
        <v/>
      </c>
      <c r="T247">
        <f>IF(OR(Q_Rech="",$E247=""),"",IF(ISNUMBER(SEARCH(Q_Rech,$E247&amp;" "&amp;$F247&amp;" "&amp;$G247&amp;" "&amp;$H247&amp;" "&amp;$I247)),COUNT($T$6:$T246)+1,""))</f>
        <v/>
      </c>
      <c r="U247">
        <f>IF($E247="","",IF(COUNTIFS(EMP_Livre,$E247,EMP_Date,"&gt;="&amp;R_Mois,EMP_Date,"&lt;"&amp;EDATE(R_Mois,1))=0,"",COUNTIFS(EMP_Livre,$E247,EMP_Date,"&gt;="&amp;R_Mois,EMP_Date,"&lt;"&amp;EDATE(R_Mois,1))+ROW()/100000))</f>
        <v/>
      </c>
    </row>
    <row r="248" ht="21" customHeight="1">
      <c r="A248" s="1" t="n"/>
      <c r="B248" s="1" t="n"/>
      <c r="C248" s="2" t="n"/>
      <c r="E248" s="127" t="n"/>
      <c r="F248" s="127" t="n"/>
      <c r="G248" s="127" t="n"/>
      <c r="H248" s="127" t="n"/>
      <c r="I248" s="127" t="n"/>
      <c r="J248" s="127" t="n"/>
      <c r="K248" s="128" t="n"/>
      <c r="L248" s="128" t="n"/>
      <c r="M248" s="127" t="n"/>
      <c r="N248" s="129">
        <f>IF($E248="","",COUNTIFS(EMP_Livre,$E248,EMP_Retour,""))</f>
        <v/>
      </c>
      <c r="O248" s="129">
        <f>IF($E248="","",$L248-$N248)</f>
        <v/>
      </c>
      <c r="P248" s="129">
        <f>IF($E248="","",COUNTIF(EMP_Livre,$E248))</f>
        <v/>
      </c>
      <c r="Q248" s="130">
        <f>IF($E248="","",IF($O248&lt;=0,"Indisponible",IF(AND($O248=1,$L248&gt;1),"Dernier exemplaire","Disponible")))</f>
        <v/>
      </c>
      <c r="S248">
        <f>IF($E248="","",$P248+ROW()/100000)</f>
        <v/>
      </c>
      <c r="T248">
        <f>IF(OR(Q_Rech="",$E248=""),"",IF(ISNUMBER(SEARCH(Q_Rech,$E248&amp;" "&amp;$F248&amp;" "&amp;$G248&amp;" "&amp;$H248&amp;" "&amp;$I248)),COUNT($T$6:$T247)+1,""))</f>
        <v/>
      </c>
      <c r="U248">
        <f>IF($E248="","",IF(COUNTIFS(EMP_Livre,$E248,EMP_Date,"&gt;="&amp;R_Mois,EMP_Date,"&lt;"&amp;EDATE(R_Mois,1))=0,"",COUNTIFS(EMP_Livre,$E248,EMP_Date,"&gt;="&amp;R_Mois,EMP_Date,"&lt;"&amp;EDATE(R_Mois,1))+ROW()/100000))</f>
        <v/>
      </c>
    </row>
    <row r="249" ht="21" customHeight="1">
      <c r="A249" s="1" t="n"/>
      <c r="B249" s="1" t="n"/>
      <c r="C249" s="2" t="n"/>
      <c r="E249" s="127" t="n"/>
      <c r="F249" s="127" t="n"/>
      <c r="G249" s="127" t="n"/>
      <c r="H249" s="127" t="n"/>
      <c r="I249" s="127" t="n"/>
      <c r="J249" s="127" t="n"/>
      <c r="K249" s="128" t="n"/>
      <c r="L249" s="128" t="n"/>
      <c r="M249" s="127" t="n"/>
      <c r="N249" s="129">
        <f>IF($E249="","",COUNTIFS(EMP_Livre,$E249,EMP_Retour,""))</f>
        <v/>
      </c>
      <c r="O249" s="129">
        <f>IF($E249="","",$L249-$N249)</f>
        <v/>
      </c>
      <c r="P249" s="129">
        <f>IF($E249="","",COUNTIF(EMP_Livre,$E249))</f>
        <v/>
      </c>
      <c r="Q249" s="130">
        <f>IF($E249="","",IF($O249&lt;=0,"Indisponible",IF(AND($O249=1,$L249&gt;1),"Dernier exemplaire","Disponible")))</f>
        <v/>
      </c>
      <c r="S249">
        <f>IF($E249="","",$P249+ROW()/100000)</f>
        <v/>
      </c>
      <c r="T249">
        <f>IF(OR(Q_Rech="",$E249=""),"",IF(ISNUMBER(SEARCH(Q_Rech,$E249&amp;" "&amp;$F249&amp;" "&amp;$G249&amp;" "&amp;$H249&amp;" "&amp;$I249)),COUNT($T$6:$T248)+1,""))</f>
        <v/>
      </c>
      <c r="U249">
        <f>IF($E249="","",IF(COUNTIFS(EMP_Livre,$E249,EMP_Date,"&gt;="&amp;R_Mois,EMP_Date,"&lt;"&amp;EDATE(R_Mois,1))=0,"",COUNTIFS(EMP_Livre,$E249,EMP_Date,"&gt;="&amp;R_Mois,EMP_Date,"&lt;"&amp;EDATE(R_Mois,1))+ROW()/100000))</f>
        <v/>
      </c>
    </row>
    <row r="250" ht="21" customHeight="1">
      <c r="A250" s="1" t="n"/>
      <c r="B250" s="1" t="n"/>
      <c r="C250" s="2" t="n"/>
      <c r="E250" s="127" t="n"/>
      <c r="F250" s="127" t="n"/>
      <c r="G250" s="127" t="n"/>
      <c r="H250" s="127" t="n"/>
      <c r="I250" s="127" t="n"/>
      <c r="J250" s="127" t="n"/>
      <c r="K250" s="128" t="n"/>
      <c r="L250" s="128" t="n"/>
      <c r="M250" s="127" t="n"/>
      <c r="N250" s="129">
        <f>IF($E250="","",COUNTIFS(EMP_Livre,$E250,EMP_Retour,""))</f>
        <v/>
      </c>
      <c r="O250" s="129">
        <f>IF($E250="","",$L250-$N250)</f>
        <v/>
      </c>
      <c r="P250" s="129">
        <f>IF($E250="","",COUNTIF(EMP_Livre,$E250))</f>
        <v/>
      </c>
      <c r="Q250" s="130">
        <f>IF($E250="","",IF($O250&lt;=0,"Indisponible",IF(AND($O250=1,$L250&gt;1),"Dernier exemplaire","Disponible")))</f>
        <v/>
      </c>
      <c r="S250">
        <f>IF($E250="","",$P250+ROW()/100000)</f>
        <v/>
      </c>
      <c r="T250">
        <f>IF(OR(Q_Rech="",$E250=""),"",IF(ISNUMBER(SEARCH(Q_Rech,$E250&amp;" "&amp;$F250&amp;" "&amp;$G250&amp;" "&amp;$H250&amp;" "&amp;$I250)),COUNT($T$6:$T249)+1,""))</f>
        <v/>
      </c>
      <c r="U250">
        <f>IF($E250="","",IF(COUNTIFS(EMP_Livre,$E250,EMP_Date,"&gt;="&amp;R_Mois,EMP_Date,"&lt;"&amp;EDATE(R_Mois,1))=0,"",COUNTIFS(EMP_Livre,$E250,EMP_Date,"&gt;="&amp;R_Mois,EMP_Date,"&lt;"&amp;EDATE(R_Mois,1))+ROW()/100000))</f>
        <v/>
      </c>
    </row>
    <row r="251" ht="21" customHeight="1">
      <c r="A251" s="1" t="n"/>
      <c r="B251" s="1" t="n"/>
      <c r="C251" s="2" t="n"/>
      <c r="E251" s="127" t="n"/>
      <c r="F251" s="127" t="n"/>
      <c r="G251" s="127" t="n"/>
      <c r="H251" s="127" t="n"/>
      <c r="I251" s="127" t="n"/>
      <c r="J251" s="127" t="n"/>
      <c r="K251" s="128" t="n"/>
      <c r="L251" s="128" t="n"/>
      <c r="M251" s="127" t="n"/>
      <c r="N251" s="129">
        <f>IF($E251="","",COUNTIFS(EMP_Livre,$E251,EMP_Retour,""))</f>
        <v/>
      </c>
      <c r="O251" s="129">
        <f>IF($E251="","",$L251-$N251)</f>
        <v/>
      </c>
      <c r="P251" s="129">
        <f>IF($E251="","",COUNTIF(EMP_Livre,$E251))</f>
        <v/>
      </c>
      <c r="Q251" s="130">
        <f>IF($E251="","",IF($O251&lt;=0,"Indisponible",IF(AND($O251=1,$L251&gt;1),"Dernier exemplaire","Disponible")))</f>
        <v/>
      </c>
      <c r="S251">
        <f>IF($E251="","",$P251+ROW()/100000)</f>
        <v/>
      </c>
      <c r="T251">
        <f>IF(OR(Q_Rech="",$E251=""),"",IF(ISNUMBER(SEARCH(Q_Rech,$E251&amp;" "&amp;$F251&amp;" "&amp;$G251&amp;" "&amp;$H251&amp;" "&amp;$I251)),COUNT($T$6:$T250)+1,""))</f>
        <v/>
      </c>
      <c r="U251">
        <f>IF($E251="","",IF(COUNTIFS(EMP_Livre,$E251,EMP_Date,"&gt;="&amp;R_Mois,EMP_Date,"&lt;"&amp;EDATE(R_Mois,1))=0,"",COUNTIFS(EMP_Livre,$E251,EMP_Date,"&gt;="&amp;R_Mois,EMP_Date,"&lt;"&amp;EDATE(R_Mois,1))+ROW()/100000))</f>
        <v/>
      </c>
    </row>
    <row r="252" ht="21" customHeight="1">
      <c r="A252" s="1" t="n"/>
      <c r="B252" s="1" t="n"/>
      <c r="C252" s="2" t="n"/>
      <c r="E252" s="127" t="n"/>
      <c r="F252" s="127" t="n"/>
      <c r="G252" s="127" t="n"/>
      <c r="H252" s="127" t="n"/>
      <c r="I252" s="127" t="n"/>
      <c r="J252" s="127" t="n"/>
      <c r="K252" s="128" t="n"/>
      <c r="L252" s="128" t="n"/>
      <c r="M252" s="127" t="n"/>
      <c r="N252" s="129">
        <f>IF($E252="","",COUNTIFS(EMP_Livre,$E252,EMP_Retour,""))</f>
        <v/>
      </c>
      <c r="O252" s="129">
        <f>IF($E252="","",$L252-$N252)</f>
        <v/>
      </c>
      <c r="P252" s="129">
        <f>IF($E252="","",COUNTIF(EMP_Livre,$E252))</f>
        <v/>
      </c>
      <c r="Q252" s="130">
        <f>IF($E252="","",IF($O252&lt;=0,"Indisponible",IF(AND($O252=1,$L252&gt;1),"Dernier exemplaire","Disponible")))</f>
        <v/>
      </c>
      <c r="S252">
        <f>IF($E252="","",$P252+ROW()/100000)</f>
        <v/>
      </c>
      <c r="T252">
        <f>IF(OR(Q_Rech="",$E252=""),"",IF(ISNUMBER(SEARCH(Q_Rech,$E252&amp;" "&amp;$F252&amp;" "&amp;$G252&amp;" "&amp;$H252&amp;" "&amp;$I252)),COUNT($T$6:$T251)+1,""))</f>
        <v/>
      </c>
      <c r="U252">
        <f>IF($E252="","",IF(COUNTIFS(EMP_Livre,$E252,EMP_Date,"&gt;="&amp;R_Mois,EMP_Date,"&lt;"&amp;EDATE(R_Mois,1))=0,"",COUNTIFS(EMP_Livre,$E252,EMP_Date,"&gt;="&amp;R_Mois,EMP_Date,"&lt;"&amp;EDATE(R_Mois,1))+ROW()/100000))</f>
        <v/>
      </c>
    </row>
    <row r="253" ht="21" customHeight="1">
      <c r="A253" s="1" t="n"/>
      <c r="B253" s="1" t="n"/>
      <c r="C253" s="2" t="n"/>
      <c r="E253" s="127" t="n"/>
      <c r="F253" s="127" t="n"/>
      <c r="G253" s="127" t="n"/>
      <c r="H253" s="127" t="n"/>
      <c r="I253" s="127" t="n"/>
      <c r="J253" s="127" t="n"/>
      <c r="K253" s="128" t="n"/>
      <c r="L253" s="128" t="n"/>
      <c r="M253" s="127" t="n"/>
      <c r="N253" s="129">
        <f>IF($E253="","",COUNTIFS(EMP_Livre,$E253,EMP_Retour,""))</f>
        <v/>
      </c>
      <c r="O253" s="129">
        <f>IF($E253="","",$L253-$N253)</f>
        <v/>
      </c>
      <c r="P253" s="129">
        <f>IF($E253="","",COUNTIF(EMP_Livre,$E253))</f>
        <v/>
      </c>
      <c r="Q253" s="130">
        <f>IF($E253="","",IF($O253&lt;=0,"Indisponible",IF(AND($O253=1,$L253&gt;1),"Dernier exemplaire","Disponible")))</f>
        <v/>
      </c>
      <c r="S253">
        <f>IF($E253="","",$P253+ROW()/100000)</f>
        <v/>
      </c>
      <c r="T253">
        <f>IF(OR(Q_Rech="",$E253=""),"",IF(ISNUMBER(SEARCH(Q_Rech,$E253&amp;" "&amp;$F253&amp;" "&amp;$G253&amp;" "&amp;$H253&amp;" "&amp;$I253)),COUNT($T$6:$T252)+1,""))</f>
        <v/>
      </c>
      <c r="U253">
        <f>IF($E253="","",IF(COUNTIFS(EMP_Livre,$E253,EMP_Date,"&gt;="&amp;R_Mois,EMP_Date,"&lt;"&amp;EDATE(R_Mois,1))=0,"",COUNTIFS(EMP_Livre,$E253,EMP_Date,"&gt;="&amp;R_Mois,EMP_Date,"&lt;"&amp;EDATE(R_Mois,1))+ROW()/100000))</f>
        <v/>
      </c>
    </row>
    <row r="254" ht="21" customHeight="1">
      <c r="A254" s="1" t="n"/>
      <c r="B254" s="1" t="n"/>
      <c r="C254" s="2" t="n"/>
      <c r="E254" s="127" t="n"/>
      <c r="F254" s="127" t="n"/>
      <c r="G254" s="127" t="n"/>
      <c r="H254" s="127" t="n"/>
      <c r="I254" s="127" t="n"/>
      <c r="J254" s="127" t="n"/>
      <c r="K254" s="128" t="n"/>
      <c r="L254" s="128" t="n"/>
      <c r="M254" s="127" t="n"/>
      <c r="N254" s="129">
        <f>IF($E254="","",COUNTIFS(EMP_Livre,$E254,EMP_Retour,""))</f>
        <v/>
      </c>
      <c r="O254" s="129">
        <f>IF($E254="","",$L254-$N254)</f>
        <v/>
      </c>
      <c r="P254" s="129">
        <f>IF($E254="","",COUNTIF(EMP_Livre,$E254))</f>
        <v/>
      </c>
      <c r="Q254" s="130">
        <f>IF($E254="","",IF($O254&lt;=0,"Indisponible",IF(AND($O254=1,$L254&gt;1),"Dernier exemplaire","Disponible")))</f>
        <v/>
      </c>
      <c r="S254">
        <f>IF($E254="","",$P254+ROW()/100000)</f>
        <v/>
      </c>
      <c r="T254">
        <f>IF(OR(Q_Rech="",$E254=""),"",IF(ISNUMBER(SEARCH(Q_Rech,$E254&amp;" "&amp;$F254&amp;" "&amp;$G254&amp;" "&amp;$H254&amp;" "&amp;$I254)),COUNT($T$6:$T253)+1,""))</f>
        <v/>
      </c>
      <c r="U254">
        <f>IF($E254="","",IF(COUNTIFS(EMP_Livre,$E254,EMP_Date,"&gt;="&amp;R_Mois,EMP_Date,"&lt;"&amp;EDATE(R_Mois,1))=0,"",COUNTIFS(EMP_Livre,$E254,EMP_Date,"&gt;="&amp;R_Mois,EMP_Date,"&lt;"&amp;EDATE(R_Mois,1))+ROW()/100000))</f>
        <v/>
      </c>
    </row>
    <row r="255" ht="21" customHeight="1">
      <c r="A255" s="1" t="n"/>
      <c r="B255" s="1" t="n"/>
      <c r="C255" s="2" t="n"/>
      <c r="E255" s="127" t="n"/>
      <c r="F255" s="127" t="n"/>
      <c r="G255" s="127" t="n"/>
      <c r="H255" s="127" t="n"/>
      <c r="I255" s="127" t="n"/>
      <c r="J255" s="127" t="n"/>
      <c r="K255" s="128" t="n"/>
      <c r="L255" s="128" t="n"/>
      <c r="M255" s="127" t="n"/>
      <c r="N255" s="129">
        <f>IF($E255="","",COUNTIFS(EMP_Livre,$E255,EMP_Retour,""))</f>
        <v/>
      </c>
      <c r="O255" s="129">
        <f>IF($E255="","",$L255-$N255)</f>
        <v/>
      </c>
      <c r="P255" s="129">
        <f>IF($E255="","",COUNTIF(EMP_Livre,$E255))</f>
        <v/>
      </c>
      <c r="Q255" s="130">
        <f>IF($E255="","",IF($O255&lt;=0,"Indisponible",IF(AND($O255=1,$L255&gt;1),"Dernier exemplaire","Disponible")))</f>
        <v/>
      </c>
      <c r="S255">
        <f>IF($E255="","",$P255+ROW()/100000)</f>
        <v/>
      </c>
      <c r="T255">
        <f>IF(OR(Q_Rech="",$E255=""),"",IF(ISNUMBER(SEARCH(Q_Rech,$E255&amp;" "&amp;$F255&amp;" "&amp;$G255&amp;" "&amp;$H255&amp;" "&amp;$I255)),COUNT($T$6:$T254)+1,""))</f>
        <v/>
      </c>
      <c r="U255">
        <f>IF($E255="","",IF(COUNTIFS(EMP_Livre,$E255,EMP_Date,"&gt;="&amp;R_Mois,EMP_Date,"&lt;"&amp;EDATE(R_Mois,1))=0,"",COUNTIFS(EMP_Livre,$E255,EMP_Date,"&gt;="&amp;R_Mois,EMP_Date,"&lt;"&amp;EDATE(R_Mois,1))+ROW()/100000))</f>
        <v/>
      </c>
    </row>
    <row r="256" ht="21" customHeight="1">
      <c r="A256" s="1" t="n"/>
      <c r="B256" s="1" t="n"/>
      <c r="C256" s="2" t="n"/>
      <c r="E256" s="127" t="n"/>
      <c r="F256" s="127" t="n"/>
      <c r="G256" s="127" t="n"/>
      <c r="H256" s="127" t="n"/>
      <c r="I256" s="127" t="n"/>
      <c r="J256" s="127" t="n"/>
      <c r="K256" s="128" t="n"/>
      <c r="L256" s="128" t="n"/>
      <c r="M256" s="127" t="n"/>
      <c r="N256" s="129">
        <f>IF($E256="","",COUNTIFS(EMP_Livre,$E256,EMP_Retour,""))</f>
        <v/>
      </c>
      <c r="O256" s="129">
        <f>IF($E256="","",$L256-$N256)</f>
        <v/>
      </c>
      <c r="P256" s="129">
        <f>IF($E256="","",COUNTIF(EMP_Livre,$E256))</f>
        <v/>
      </c>
      <c r="Q256" s="130">
        <f>IF($E256="","",IF($O256&lt;=0,"Indisponible",IF(AND($O256=1,$L256&gt;1),"Dernier exemplaire","Disponible")))</f>
        <v/>
      </c>
      <c r="S256">
        <f>IF($E256="","",$P256+ROW()/100000)</f>
        <v/>
      </c>
      <c r="T256">
        <f>IF(OR(Q_Rech="",$E256=""),"",IF(ISNUMBER(SEARCH(Q_Rech,$E256&amp;" "&amp;$F256&amp;" "&amp;$G256&amp;" "&amp;$H256&amp;" "&amp;$I256)),COUNT($T$6:$T255)+1,""))</f>
        <v/>
      </c>
      <c r="U256">
        <f>IF($E256="","",IF(COUNTIFS(EMP_Livre,$E256,EMP_Date,"&gt;="&amp;R_Mois,EMP_Date,"&lt;"&amp;EDATE(R_Mois,1))=0,"",COUNTIFS(EMP_Livre,$E256,EMP_Date,"&gt;="&amp;R_Mois,EMP_Date,"&lt;"&amp;EDATE(R_Mois,1))+ROW()/100000))</f>
        <v/>
      </c>
    </row>
    <row r="257" ht="21" customHeight="1">
      <c r="A257" s="1" t="n"/>
      <c r="B257" s="1" t="n"/>
      <c r="C257" s="2" t="n"/>
      <c r="E257" s="127" t="n"/>
      <c r="F257" s="127" t="n"/>
      <c r="G257" s="127" t="n"/>
      <c r="H257" s="127" t="n"/>
      <c r="I257" s="127" t="n"/>
      <c r="J257" s="127" t="n"/>
      <c r="K257" s="128" t="n"/>
      <c r="L257" s="128" t="n"/>
      <c r="M257" s="127" t="n"/>
      <c r="N257" s="129">
        <f>IF($E257="","",COUNTIFS(EMP_Livre,$E257,EMP_Retour,""))</f>
        <v/>
      </c>
      <c r="O257" s="129">
        <f>IF($E257="","",$L257-$N257)</f>
        <v/>
      </c>
      <c r="P257" s="129">
        <f>IF($E257="","",COUNTIF(EMP_Livre,$E257))</f>
        <v/>
      </c>
      <c r="Q257" s="130">
        <f>IF($E257="","",IF($O257&lt;=0,"Indisponible",IF(AND($O257=1,$L257&gt;1),"Dernier exemplaire","Disponible")))</f>
        <v/>
      </c>
      <c r="S257">
        <f>IF($E257="","",$P257+ROW()/100000)</f>
        <v/>
      </c>
      <c r="T257">
        <f>IF(OR(Q_Rech="",$E257=""),"",IF(ISNUMBER(SEARCH(Q_Rech,$E257&amp;" "&amp;$F257&amp;" "&amp;$G257&amp;" "&amp;$H257&amp;" "&amp;$I257)),COUNT($T$6:$T256)+1,""))</f>
        <v/>
      </c>
      <c r="U257">
        <f>IF($E257="","",IF(COUNTIFS(EMP_Livre,$E257,EMP_Date,"&gt;="&amp;R_Mois,EMP_Date,"&lt;"&amp;EDATE(R_Mois,1))=0,"",COUNTIFS(EMP_Livre,$E257,EMP_Date,"&gt;="&amp;R_Mois,EMP_Date,"&lt;"&amp;EDATE(R_Mois,1))+ROW()/100000))</f>
        <v/>
      </c>
    </row>
    <row r="258" ht="21" customHeight="1">
      <c r="A258" s="1" t="n"/>
      <c r="B258" s="1" t="n"/>
      <c r="C258" s="2" t="n"/>
      <c r="E258" s="127" t="n"/>
      <c r="F258" s="127" t="n"/>
      <c r="G258" s="127" t="n"/>
      <c r="H258" s="127" t="n"/>
      <c r="I258" s="127" t="n"/>
      <c r="J258" s="127" t="n"/>
      <c r="K258" s="128" t="n"/>
      <c r="L258" s="128" t="n"/>
      <c r="M258" s="127" t="n"/>
      <c r="N258" s="129">
        <f>IF($E258="","",COUNTIFS(EMP_Livre,$E258,EMP_Retour,""))</f>
        <v/>
      </c>
      <c r="O258" s="129">
        <f>IF($E258="","",$L258-$N258)</f>
        <v/>
      </c>
      <c r="P258" s="129">
        <f>IF($E258="","",COUNTIF(EMP_Livre,$E258))</f>
        <v/>
      </c>
      <c r="Q258" s="130">
        <f>IF($E258="","",IF($O258&lt;=0,"Indisponible",IF(AND($O258=1,$L258&gt;1),"Dernier exemplaire","Disponible")))</f>
        <v/>
      </c>
      <c r="S258">
        <f>IF($E258="","",$P258+ROW()/100000)</f>
        <v/>
      </c>
      <c r="T258">
        <f>IF(OR(Q_Rech="",$E258=""),"",IF(ISNUMBER(SEARCH(Q_Rech,$E258&amp;" "&amp;$F258&amp;" "&amp;$G258&amp;" "&amp;$H258&amp;" "&amp;$I258)),COUNT($T$6:$T257)+1,""))</f>
        <v/>
      </c>
      <c r="U258">
        <f>IF($E258="","",IF(COUNTIFS(EMP_Livre,$E258,EMP_Date,"&gt;="&amp;R_Mois,EMP_Date,"&lt;"&amp;EDATE(R_Mois,1))=0,"",COUNTIFS(EMP_Livre,$E258,EMP_Date,"&gt;="&amp;R_Mois,EMP_Date,"&lt;"&amp;EDATE(R_Mois,1))+ROW()/100000))</f>
        <v/>
      </c>
    </row>
    <row r="259" ht="21" customHeight="1">
      <c r="A259" s="1" t="n"/>
      <c r="B259" s="1" t="n"/>
      <c r="C259" s="2" t="n"/>
      <c r="E259" s="127" t="n"/>
      <c r="F259" s="127" t="n"/>
      <c r="G259" s="127" t="n"/>
      <c r="H259" s="127" t="n"/>
      <c r="I259" s="127" t="n"/>
      <c r="J259" s="127" t="n"/>
      <c r="K259" s="128" t="n"/>
      <c r="L259" s="128" t="n"/>
      <c r="M259" s="127" t="n"/>
      <c r="N259" s="129">
        <f>IF($E259="","",COUNTIFS(EMP_Livre,$E259,EMP_Retour,""))</f>
        <v/>
      </c>
      <c r="O259" s="129">
        <f>IF($E259="","",$L259-$N259)</f>
        <v/>
      </c>
      <c r="P259" s="129">
        <f>IF($E259="","",COUNTIF(EMP_Livre,$E259))</f>
        <v/>
      </c>
      <c r="Q259" s="130">
        <f>IF($E259="","",IF($O259&lt;=0,"Indisponible",IF(AND($O259=1,$L259&gt;1),"Dernier exemplaire","Disponible")))</f>
        <v/>
      </c>
      <c r="S259">
        <f>IF($E259="","",$P259+ROW()/100000)</f>
        <v/>
      </c>
      <c r="T259">
        <f>IF(OR(Q_Rech="",$E259=""),"",IF(ISNUMBER(SEARCH(Q_Rech,$E259&amp;" "&amp;$F259&amp;" "&amp;$G259&amp;" "&amp;$H259&amp;" "&amp;$I259)),COUNT($T$6:$T258)+1,""))</f>
        <v/>
      </c>
      <c r="U259">
        <f>IF($E259="","",IF(COUNTIFS(EMP_Livre,$E259,EMP_Date,"&gt;="&amp;R_Mois,EMP_Date,"&lt;"&amp;EDATE(R_Mois,1))=0,"",COUNTIFS(EMP_Livre,$E259,EMP_Date,"&gt;="&amp;R_Mois,EMP_Date,"&lt;"&amp;EDATE(R_Mois,1))+ROW()/100000))</f>
        <v/>
      </c>
    </row>
    <row r="260" ht="21" customHeight="1">
      <c r="A260" s="1" t="n"/>
      <c r="B260" s="1" t="n"/>
      <c r="C260" s="2" t="n"/>
      <c r="E260" s="127" t="n"/>
      <c r="F260" s="127" t="n"/>
      <c r="G260" s="127" t="n"/>
      <c r="H260" s="127" t="n"/>
      <c r="I260" s="127" t="n"/>
      <c r="J260" s="127" t="n"/>
      <c r="K260" s="128" t="n"/>
      <c r="L260" s="128" t="n"/>
      <c r="M260" s="127" t="n"/>
      <c r="N260" s="129">
        <f>IF($E260="","",COUNTIFS(EMP_Livre,$E260,EMP_Retour,""))</f>
        <v/>
      </c>
      <c r="O260" s="129">
        <f>IF($E260="","",$L260-$N260)</f>
        <v/>
      </c>
      <c r="P260" s="129">
        <f>IF($E260="","",COUNTIF(EMP_Livre,$E260))</f>
        <v/>
      </c>
      <c r="Q260" s="130">
        <f>IF($E260="","",IF($O260&lt;=0,"Indisponible",IF(AND($O260=1,$L260&gt;1),"Dernier exemplaire","Disponible")))</f>
        <v/>
      </c>
      <c r="S260">
        <f>IF($E260="","",$P260+ROW()/100000)</f>
        <v/>
      </c>
      <c r="T260">
        <f>IF(OR(Q_Rech="",$E260=""),"",IF(ISNUMBER(SEARCH(Q_Rech,$E260&amp;" "&amp;$F260&amp;" "&amp;$G260&amp;" "&amp;$H260&amp;" "&amp;$I260)),COUNT($T$6:$T259)+1,""))</f>
        <v/>
      </c>
      <c r="U260">
        <f>IF($E260="","",IF(COUNTIFS(EMP_Livre,$E260,EMP_Date,"&gt;="&amp;R_Mois,EMP_Date,"&lt;"&amp;EDATE(R_Mois,1))=0,"",COUNTIFS(EMP_Livre,$E260,EMP_Date,"&gt;="&amp;R_Mois,EMP_Date,"&lt;"&amp;EDATE(R_Mois,1))+ROW()/100000))</f>
        <v/>
      </c>
    </row>
    <row r="261" ht="21" customHeight="1">
      <c r="A261" s="1" t="n"/>
      <c r="B261" s="1" t="n"/>
      <c r="C261" s="2" t="n"/>
      <c r="E261" s="127" t="n"/>
      <c r="F261" s="127" t="n"/>
      <c r="G261" s="127" t="n"/>
      <c r="H261" s="127" t="n"/>
      <c r="I261" s="127" t="n"/>
      <c r="J261" s="127" t="n"/>
      <c r="K261" s="128" t="n"/>
      <c r="L261" s="128" t="n"/>
      <c r="M261" s="127" t="n"/>
      <c r="N261" s="129">
        <f>IF($E261="","",COUNTIFS(EMP_Livre,$E261,EMP_Retour,""))</f>
        <v/>
      </c>
      <c r="O261" s="129">
        <f>IF($E261="","",$L261-$N261)</f>
        <v/>
      </c>
      <c r="P261" s="129">
        <f>IF($E261="","",COUNTIF(EMP_Livre,$E261))</f>
        <v/>
      </c>
      <c r="Q261" s="130">
        <f>IF($E261="","",IF($O261&lt;=0,"Indisponible",IF(AND($O261=1,$L261&gt;1),"Dernier exemplaire","Disponible")))</f>
        <v/>
      </c>
      <c r="S261">
        <f>IF($E261="","",$P261+ROW()/100000)</f>
        <v/>
      </c>
      <c r="T261">
        <f>IF(OR(Q_Rech="",$E261=""),"",IF(ISNUMBER(SEARCH(Q_Rech,$E261&amp;" "&amp;$F261&amp;" "&amp;$G261&amp;" "&amp;$H261&amp;" "&amp;$I261)),COUNT($T$6:$T260)+1,""))</f>
        <v/>
      </c>
      <c r="U261">
        <f>IF($E261="","",IF(COUNTIFS(EMP_Livre,$E261,EMP_Date,"&gt;="&amp;R_Mois,EMP_Date,"&lt;"&amp;EDATE(R_Mois,1))=0,"",COUNTIFS(EMP_Livre,$E261,EMP_Date,"&gt;="&amp;R_Mois,EMP_Date,"&lt;"&amp;EDATE(R_Mois,1))+ROW()/100000))</f>
        <v/>
      </c>
    </row>
    <row r="262" ht="21" customHeight="1">
      <c r="A262" s="1" t="n"/>
      <c r="B262" s="1" t="n"/>
      <c r="C262" s="2" t="n"/>
      <c r="E262" s="127" t="n"/>
      <c r="F262" s="127" t="n"/>
      <c r="G262" s="127" t="n"/>
      <c r="H262" s="127" t="n"/>
      <c r="I262" s="127" t="n"/>
      <c r="J262" s="127" t="n"/>
      <c r="K262" s="128" t="n"/>
      <c r="L262" s="128" t="n"/>
      <c r="M262" s="127" t="n"/>
      <c r="N262" s="129">
        <f>IF($E262="","",COUNTIFS(EMP_Livre,$E262,EMP_Retour,""))</f>
        <v/>
      </c>
      <c r="O262" s="129">
        <f>IF($E262="","",$L262-$N262)</f>
        <v/>
      </c>
      <c r="P262" s="129">
        <f>IF($E262="","",COUNTIF(EMP_Livre,$E262))</f>
        <v/>
      </c>
      <c r="Q262" s="130">
        <f>IF($E262="","",IF($O262&lt;=0,"Indisponible",IF(AND($O262=1,$L262&gt;1),"Dernier exemplaire","Disponible")))</f>
        <v/>
      </c>
      <c r="S262">
        <f>IF($E262="","",$P262+ROW()/100000)</f>
        <v/>
      </c>
      <c r="T262">
        <f>IF(OR(Q_Rech="",$E262=""),"",IF(ISNUMBER(SEARCH(Q_Rech,$E262&amp;" "&amp;$F262&amp;" "&amp;$G262&amp;" "&amp;$H262&amp;" "&amp;$I262)),COUNT($T$6:$T261)+1,""))</f>
        <v/>
      </c>
      <c r="U262">
        <f>IF($E262="","",IF(COUNTIFS(EMP_Livre,$E262,EMP_Date,"&gt;="&amp;R_Mois,EMP_Date,"&lt;"&amp;EDATE(R_Mois,1))=0,"",COUNTIFS(EMP_Livre,$E262,EMP_Date,"&gt;="&amp;R_Mois,EMP_Date,"&lt;"&amp;EDATE(R_Mois,1))+ROW()/100000))</f>
        <v/>
      </c>
    </row>
    <row r="263" ht="21" customHeight="1">
      <c r="A263" s="1" t="n"/>
      <c r="B263" s="1" t="n"/>
      <c r="C263" s="2" t="n"/>
      <c r="E263" s="127" t="n"/>
      <c r="F263" s="127" t="n"/>
      <c r="G263" s="127" t="n"/>
      <c r="H263" s="127" t="n"/>
      <c r="I263" s="127" t="n"/>
      <c r="J263" s="127" t="n"/>
      <c r="K263" s="128" t="n"/>
      <c r="L263" s="128" t="n"/>
      <c r="M263" s="127" t="n"/>
      <c r="N263" s="129">
        <f>IF($E263="","",COUNTIFS(EMP_Livre,$E263,EMP_Retour,""))</f>
        <v/>
      </c>
      <c r="O263" s="129">
        <f>IF($E263="","",$L263-$N263)</f>
        <v/>
      </c>
      <c r="P263" s="129">
        <f>IF($E263="","",COUNTIF(EMP_Livre,$E263))</f>
        <v/>
      </c>
      <c r="Q263" s="130">
        <f>IF($E263="","",IF($O263&lt;=0,"Indisponible",IF(AND($O263=1,$L263&gt;1),"Dernier exemplaire","Disponible")))</f>
        <v/>
      </c>
      <c r="S263">
        <f>IF($E263="","",$P263+ROW()/100000)</f>
        <v/>
      </c>
      <c r="T263">
        <f>IF(OR(Q_Rech="",$E263=""),"",IF(ISNUMBER(SEARCH(Q_Rech,$E263&amp;" "&amp;$F263&amp;" "&amp;$G263&amp;" "&amp;$H263&amp;" "&amp;$I263)),COUNT($T$6:$T262)+1,""))</f>
        <v/>
      </c>
      <c r="U263">
        <f>IF($E263="","",IF(COUNTIFS(EMP_Livre,$E263,EMP_Date,"&gt;="&amp;R_Mois,EMP_Date,"&lt;"&amp;EDATE(R_Mois,1))=0,"",COUNTIFS(EMP_Livre,$E263,EMP_Date,"&gt;="&amp;R_Mois,EMP_Date,"&lt;"&amp;EDATE(R_Mois,1))+ROW()/100000))</f>
        <v/>
      </c>
    </row>
    <row r="264" ht="21" customHeight="1">
      <c r="A264" s="1" t="n"/>
      <c r="B264" s="1" t="n"/>
      <c r="C264" s="2" t="n"/>
      <c r="E264" s="127" t="n"/>
      <c r="F264" s="127" t="n"/>
      <c r="G264" s="127" t="n"/>
      <c r="H264" s="127" t="n"/>
      <c r="I264" s="127" t="n"/>
      <c r="J264" s="127" t="n"/>
      <c r="K264" s="128" t="n"/>
      <c r="L264" s="128" t="n"/>
      <c r="M264" s="127" t="n"/>
      <c r="N264" s="129">
        <f>IF($E264="","",COUNTIFS(EMP_Livre,$E264,EMP_Retour,""))</f>
        <v/>
      </c>
      <c r="O264" s="129">
        <f>IF($E264="","",$L264-$N264)</f>
        <v/>
      </c>
      <c r="P264" s="129">
        <f>IF($E264="","",COUNTIF(EMP_Livre,$E264))</f>
        <v/>
      </c>
      <c r="Q264" s="130">
        <f>IF($E264="","",IF($O264&lt;=0,"Indisponible",IF(AND($O264=1,$L264&gt;1),"Dernier exemplaire","Disponible")))</f>
        <v/>
      </c>
      <c r="S264">
        <f>IF($E264="","",$P264+ROW()/100000)</f>
        <v/>
      </c>
      <c r="T264">
        <f>IF(OR(Q_Rech="",$E264=""),"",IF(ISNUMBER(SEARCH(Q_Rech,$E264&amp;" "&amp;$F264&amp;" "&amp;$G264&amp;" "&amp;$H264&amp;" "&amp;$I264)),COUNT($T$6:$T263)+1,""))</f>
        <v/>
      </c>
      <c r="U264">
        <f>IF($E264="","",IF(COUNTIFS(EMP_Livre,$E264,EMP_Date,"&gt;="&amp;R_Mois,EMP_Date,"&lt;"&amp;EDATE(R_Mois,1))=0,"",COUNTIFS(EMP_Livre,$E264,EMP_Date,"&gt;="&amp;R_Mois,EMP_Date,"&lt;"&amp;EDATE(R_Mois,1))+ROW()/100000))</f>
        <v/>
      </c>
    </row>
    <row r="265" ht="21" customHeight="1">
      <c r="A265" s="1" t="n"/>
      <c r="B265" s="1" t="n"/>
      <c r="C265" s="2" t="n"/>
      <c r="E265" s="127" t="n"/>
      <c r="F265" s="127" t="n"/>
      <c r="G265" s="127" t="n"/>
      <c r="H265" s="127" t="n"/>
      <c r="I265" s="127" t="n"/>
      <c r="J265" s="127" t="n"/>
      <c r="K265" s="128" t="n"/>
      <c r="L265" s="128" t="n"/>
      <c r="M265" s="127" t="n"/>
      <c r="N265" s="129">
        <f>IF($E265="","",COUNTIFS(EMP_Livre,$E265,EMP_Retour,""))</f>
        <v/>
      </c>
      <c r="O265" s="129">
        <f>IF($E265="","",$L265-$N265)</f>
        <v/>
      </c>
      <c r="P265" s="129">
        <f>IF($E265="","",COUNTIF(EMP_Livre,$E265))</f>
        <v/>
      </c>
      <c r="Q265" s="130">
        <f>IF($E265="","",IF($O265&lt;=0,"Indisponible",IF(AND($O265=1,$L265&gt;1),"Dernier exemplaire","Disponible")))</f>
        <v/>
      </c>
      <c r="S265">
        <f>IF($E265="","",$P265+ROW()/100000)</f>
        <v/>
      </c>
      <c r="T265">
        <f>IF(OR(Q_Rech="",$E265=""),"",IF(ISNUMBER(SEARCH(Q_Rech,$E265&amp;" "&amp;$F265&amp;" "&amp;$G265&amp;" "&amp;$H265&amp;" "&amp;$I265)),COUNT($T$6:$T264)+1,""))</f>
        <v/>
      </c>
      <c r="U265">
        <f>IF($E265="","",IF(COUNTIFS(EMP_Livre,$E265,EMP_Date,"&gt;="&amp;R_Mois,EMP_Date,"&lt;"&amp;EDATE(R_Mois,1))=0,"",COUNTIFS(EMP_Livre,$E265,EMP_Date,"&gt;="&amp;R_Mois,EMP_Date,"&lt;"&amp;EDATE(R_Mois,1))+ROW()/100000))</f>
        <v/>
      </c>
    </row>
    <row r="266" ht="21" customHeight="1">
      <c r="A266" s="1" t="n"/>
      <c r="B266" s="1" t="n"/>
      <c r="C266" s="2" t="n"/>
      <c r="E266" s="127" t="n"/>
      <c r="F266" s="127" t="n"/>
      <c r="G266" s="127" t="n"/>
      <c r="H266" s="127" t="n"/>
      <c r="I266" s="127" t="n"/>
      <c r="J266" s="127" t="n"/>
      <c r="K266" s="128" t="n"/>
      <c r="L266" s="128" t="n"/>
      <c r="M266" s="127" t="n"/>
      <c r="N266" s="129">
        <f>IF($E266="","",COUNTIFS(EMP_Livre,$E266,EMP_Retour,""))</f>
        <v/>
      </c>
      <c r="O266" s="129">
        <f>IF($E266="","",$L266-$N266)</f>
        <v/>
      </c>
      <c r="P266" s="129">
        <f>IF($E266="","",COUNTIF(EMP_Livre,$E266))</f>
        <v/>
      </c>
      <c r="Q266" s="130">
        <f>IF($E266="","",IF($O266&lt;=0,"Indisponible",IF(AND($O266=1,$L266&gt;1),"Dernier exemplaire","Disponible")))</f>
        <v/>
      </c>
      <c r="S266">
        <f>IF($E266="","",$P266+ROW()/100000)</f>
        <v/>
      </c>
      <c r="T266">
        <f>IF(OR(Q_Rech="",$E266=""),"",IF(ISNUMBER(SEARCH(Q_Rech,$E266&amp;" "&amp;$F266&amp;" "&amp;$G266&amp;" "&amp;$H266&amp;" "&amp;$I266)),COUNT($T$6:$T265)+1,""))</f>
        <v/>
      </c>
      <c r="U266">
        <f>IF($E266="","",IF(COUNTIFS(EMP_Livre,$E266,EMP_Date,"&gt;="&amp;R_Mois,EMP_Date,"&lt;"&amp;EDATE(R_Mois,1))=0,"",COUNTIFS(EMP_Livre,$E266,EMP_Date,"&gt;="&amp;R_Mois,EMP_Date,"&lt;"&amp;EDATE(R_Mois,1))+ROW()/100000))</f>
        <v/>
      </c>
    </row>
    <row r="267" ht="21" customHeight="1">
      <c r="A267" s="1" t="n"/>
      <c r="B267" s="1" t="n"/>
      <c r="C267" s="2" t="n"/>
      <c r="E267" s="127" t="n"/>
      <c r="F267" s="127" t="n"/>
      <c r="G267" s="127" t="n"/>
      <c r="H267" s="127" t="n"/>
      <c r="I267" s="127" t="n"/>
      <c r="J267" s="127" t="n"/>
      <c r="K267" s="128" t="n"/>
      <c r="L267" s="128" t="n"/>
      <c r="M267" s="127" t="n"/>
      <c r="N267" s="129">
        <f>IF($E267="","",COUNTIFS(EMP_Livre,$E267,EMP_Retour,""))</f>
        <v/>
      </c>
      <c r="O267" s="129">
        <f>IF($E267="","",$L267-$N267)</f>
        <v/>
      </c>
      <c r="P267" s="129">
        <f>IF($E267="","",COUNTIF(EMP_Livre,$E267))</f>
        <v/>
      </c>
      <c r="Q267" s="130">
        <f>IF($E267="","",IF($O267&lt;=0,"Indisponible",IF(AND($O267=1,$L267&gt;1),"Dernier exemplaire","Disponible")))</f>
        <v/>
      </c>
      <c r="S267">
        <f>IF($E267="","",$P267+ROW()/100000)</f>
        <v/>
      </c>
      <c r="T267">
        <f>IF(OR(Q_Rech="",$E267=""),"",IF(ISNUMBER(SEARCH(Q_Rech,$E267&amp;" "&amp;$F267&amp;" "&amp;$G267&amp;" "&amp;$H267&amp;" "&amp;$I267)),COUNT($T$6:$T266)+1,""))</f>
        <v/>
      </c>
      <c r="U267">
        <f>IF($E267="","",IF(COUNTIFS(EMP_Livre,$E267,EMP_Date,"&gt;="&amp;R_Mois,EMP_Date,"&lt;"&amp;EDATE(R_Mois,1))=0,"",COUNTIFS(EMP_Livre,$E267,EMP_Date,"&gt;="&amp;R_Mois,EMP_Date,"&lt;"&amp;EDATE(R_Mois,1))+ROW()/100000))</f>
        <v/>
      </c>
    </row>
    <row r="268" ht="21" customHeight="1">
      <c r="A268" s="1" t="n"/>
      <c r="B268" s="1" t="n"/>
      <c r="C268" s="2" t="n"/>
      <c r="E268" s="127" t="n"/>
      <c r="F268" s="127" t="n"/>
      <c r="G268" s="127" t="n"/>
      <c r="H268" s="127" t="n"/>
      <c r="I268" s="127" t="n"/>
      <c r="J268" s="127" t="n"/>
      <c r="K268" s="128" t="n"/>
      <c r="L268" s="128" t="n"/>
      <c r="M268" s="127" t="n"/>
      <c r="N268" s="129">
        <f>IF($E268="","",COUNTIFS(EMP_Livre,$E268,EMP_Retour,""))</f>
        <v/>
      </c>
      <c r="O268" s="129">
        <f>IF($E268="","",$L268-$N268)</f>
        <v/>
      </c>
      <c r="P268" s="129">
        <f>IF($E268="","",COUNTIF(EMP_Livre,$E268))</f>
        <v/>
      </c>
      <c r="Q268" s="130">
        <f>IF($E268="","",IF($O268&lt;=0,"Indisponible",IF(AND($O268=1,$L268&gt;1),"Dernier exemplaire","Disponible")))</f>
        <v/>
      </c>
      <c r="S268">
        <f>IF($E268="","",$P268+ROW()/100000)</f>
        <v/>
      </c>
      <c r="T268">
        <f>IF(OR(Q_Rech="",$E268=""),"",IF(ISNUMBER(SEARCH(Q_Rech,$E268&amp;" "&amp;$F268&amp;" "&amp;$G268&amp;" "&amp;$H268&amp;" "&amp;$I268)),COUNT($T$6:$T267)+1,""))</f>
        <v/>
      </c>
      <c r="U268">
        <f>IF($E268="","",IF(COUNTIFS(EMP_Livre,$E268,EMP_Date,"&gt;="&amp;R_Mois,EMP_Date,"&lt;"&amp;EDATE(R_Mois,1))=0,"",COUNTIFS(EMP_Livre,$E268,EMP_Date,"&gt;="&amp;R_Mois,EMP_Date,"&lt;"&amp;EDATE(R_Mois,1))+ROW()/100000))</f>
        <v/>
      </c>
    </row>
    <row r="269" ht="21" customHeight="1">
      <c r="A269" s="1" t="n"/>
      <c r="B269" s="1" t="n"/>
      <c r="C269" s="2" t="n"/>
      <c r="E269" s="127" t="n"/>
      <c r="F269" s="127" t="n"/>
      <c r="G269" s="127" t="n"/>
      <c r="H269" s="127" t="n"/>
      <c r="I269" s="127" t="n"/>
      <c r="J269" s="127" t="n"/>
      <c r="K269" s="128" t="n"/>
      <c r="L269" s="128" t="n"/>
      <c r="M269" s="127" t="n"/>
      <c r="N269" s="129">
        <f>IF($E269="","",COUNTIFS(EMP_Livre,$E269,EMP_Retour,""))</f>
        <v/>
      </c>
      <c r="O269" s="129">
        <f>IF($E269="","",$L269-$N269)</f>
        <v/>
      </c>
      <c r="P269" s="129">
        <f>IF($E269="","",COUNTIF(EMP_Livre,$E269))</f>
        <v/>
      </c>
      <c r="Q269" s="130">
        <f>IF($E269="","",IF($O269&lt;=0,"Indisponible",IF(AND($O269=1,$L269&gt;1),"Dernier exemplaire","Disponible")))</f>
        <v/>
      </c>
      <c r="S269">
        <f>IF($E269="","",$P269+ROW()/100000)</f>
        <v/>
      </c>
      <c r="T269">
        <f>IF(OR(Q_Rech="",$E269=""),"",IF(ISNUMBER(SEARCH(Q_Rech,$E269&amp;" "&amp;$F269&amp;" "&amp;$G269&amp;" "&amp;$H269&amp;" "&amp;$I269)),COUNT($T$6:$T268)+1,""))</f>
        <v/>
      </c>
      <c r="U269">
        <f>IF($E269="","",IF(COUNTIFS(EMP_Livre,$E269,EMP_Date,"&gt;="&amp;R_Mois,EMP_Date,"&lt;"&amp;EDATE(R_Mois,1))=0,"",COUNTIFS(EMP_Livre,$E269,EMP_Date,"&gt;="&amp;R_Mois,EMP_Date,"&lt;"&amp;EDATE(R_Mois,1))+ROW()/100000))</f>
        <v/>
      </c>
    </row>
    <row r="270" ht="21" customHeight="1">
      <c r="A270" s="1" t="n"/>
      <c r="B270" s="1" t="n"/>
      <c r="C270" s="2" t="n"/>
      <c r="E270" s="127" t="n"/>
      <c r="F270" s="127" t="n"/>
      <c r="G270" s="127" t="n"/>
      <c r="H270" s="127" t="n"/>
      <c r="I270" s="127" t="n"/>
      <c r="J270" s="127" t="n"/>
      <c r="K270" s="128" t="n"/>
      <c r="L270" s="128" t="n"/>
      <c r="M270" s="127" t="n"/>
      <c r="N270" s="129">
        <f>IF($E270="","",COUNTIFS(EMP_Livre,$E270,EMP_Retour,""))</f>
        <v/>
      </c>
      <c r="O270" s="129">
        <f>IF($E270="","",$L270-$N270)</f>
        <v/>
      </c>
      <c r="P270" s="129">
        <f>IF($E270="","",COUNTIF(EMP_Livre,$E270))</f>
        <v/>
      </c>
      <c r="Q270" s="130">
        <f>IF($E270="","",IF($O270&lt;=0,"Indisponible",IF(AND($O270=1,$L270&gt;1),"Dernier exemplaire","Disponible")))</f>
        <v/>
      </c>
      <c r="S270">
        <f>IF($E270="","",$P270+ROW()/100000)</f>
        <v/>
      </c>
      <c r="T270">
        <f>IF(OR(Q_Rech="",$E270=""),"",IF(ISNUMBER(SEARCH(Q_Rech,$E270&amp;" "&amp;$F270&amp;" "&amp;$G270&amp;" "&amp;$H270&amp;" "&amp;$I270)),COUNT($T$6:$T269)+1,""))</f>
        <v/>
      </c>
      <c r="U270">
        <f>IF($E270="","",IF(COUNTIFS(EMP_Livre,$E270,EMP_Date,"&gt;="&amp;R_Mois,EMP_Date,"&lt;"&amp;EDATE(R_Mois,1))=0,"",COUNTIFS(EMP_Livre,$E270,EMP_Date,"&gt;="&amp;R_Mois,EMP_Date,"&lt;"&amp;EDATE(R_Mois,1))+ROW()/100000))</f>
        <v/>
      </c>
    </row>
    <row r="271" ht="21" customHeight="1">
      <c r="A271" s="1" t="n"/>
      <c r="B271" s="1" t="n"/>
      <c r="C271" s="2" t="n"/>
      <c r="E271" s="127" t="n"/>
      <c r="F271" s="127" t="n"/>
      <c r="G271" s="127" t="n"/>
      <c r="H271" s="127" t="n"/>
      <c r="I271" s="127" t="n"/>
      <c r="J271" s="127" t="n"/>
      <c r="K271" s="128" t="n"/>
      <c r="L271" s="128" t="n"/>
      <c r="M271" s="127" t="n"/>
      <c r="N271" s="129">
        <f>IF($E271="","",COUNTIFS(EMP_Livre,$E271,EMP_Retour,""))</f>
        <v/>
      </c>
      <c r="O271" s="129">
        <f>IF($E271="","",$L271-$N271)</f>
        <v/>
      </c>
      <c r="P271" s="129">
        <f>IF($E271="","",COUNTIF(EMP_Livre,$E271))</f>
        <v/>
      </c>
      <c r="Q271" s="130">
        <f>IF($E271="","",IF($O271&lt;=0,"Indisponible",IF(AND($O271=1,$L271&gt;1),"Dernier exemplaire","Disponible")))</f>
        <v/>
      </c>
      <c r="S271">
        <f>IF($E271="","",$P271+ROW()/100000)</f>
        <v/>
      </c>
      <c r="T271">
        <f>IF(OR(Q_Rech="",$E271=""),"",IF(ISNUMBER(SEARCH(Q_Rech,$E271&amp;" "&amp;$F271&amp;" "&amp;$G271&amp;" "&amp;$H271&amp;" "&amp;$I271)),COUNT($T$6:$T270)+1,""))</f>
        <v/>
      </c>
      <c r="U271">
        <f>IF($E271="","",IF(COUNTIFS(EMP_Livre,$E271,EMP_Date,"&gt;="&amp;R_Mois,EMP_Date,"&lt;"&amp;EDATE(R_Mois,1))=0,"",COUNTIFS(EMP_Livre,$E271,EMP_Date,"&gt;="&amp;R_Mois,EMP_Date,"&lt;"&amp;EDATE(R_Mois,1))+ROW()/100000))</f>
        <v/>
      </c>
    </row>
    <row r="272" ht="21" customHeight="1">
      <c r="A272" s="1" t="n"/>
      <c r="B272" s="1" t="n"/>
      <c r="C272" s="2" t="n"/>
      <c r="E272" s="127" t="n"/>
      <c r="F272" s="127" t="n"/>
      <c r="G272" s="127" t="n"/>
      <c r="H272" s="127" t="n"/>
      <c r="I272" s="127" t="n"/>
      <c r="J272" s="127" t="n"/>
      <c r="K272" s="128" t="n"/>
      <c r="L272" s="128" t="n"/>
      <c r="M272" s="127" t="n"/>
      <c r="N272" s="129">
        <f>IF($E272="","",COUNTIFS(EMP_Livre,$E272,EMP_Retour,""))</f>
        <v/>
      </c>
      <c r="O272" s="129">
        <f>IF($E272="","",$L272-$N272)</f>
        <v/>
      </c>
      <c r="P272" s="129">
        <f>IF($E272="","",COUNTIF(EMP_Livre,$E272))</f>
        <v/>
      </c>
      <c r="Q272" s="130">
        <f>IF($E272="","",IF($O272&lt;=0,"Indisponible",IF(AND($O272=1,$L272&gt;1),"Dernier exemplaire","Disponible")))</f>
        <v/>
      </c>
      <c r="S272">
        <f>IF($E272="","",$P272+ROW()/100000)</f>
        <v/>
      </c>
      <c r="T272">
        <f>IF(OR(Q_Rech="",$E272=""),"",IF(ISNUMBER(SEARCH(Q_Rech,$E272&amp;" "&amp;$F272&amp;" "&amp;$G272&amp;" "&amp;$H272&amp;" "&amp;$I272)),COUNT($T$6:$T271)+1,""))</f>
        <v/>
      </c>
      <c r="U272">
        <f>IF($E272="","",IF(COUNTIFS(EMP_Livre,$E272,EMP_Date,"&gt;="&amp;R_Mois,EMP_Date,"&lt;"&amp;EDATE(R_Mois,1))=0,"",COUNTIFS(EMP_Livre,$E272,EMP_Date,"&gt;="&amp;R_Mois,EMP_Date,"&lt;"&amp;EDATE(R_Mois,1))+ROW()/100000))</f>
        <v/>
      </c>
    </row>
    <row r="273" ht="21" customHeight="1">
      <c r="A273" s="1" t="n"/>
      <c r="B273" s="1" t="n"/>
      <c r="C273" s="2" t="n"/>
      <c r="E273" s="127" t="n"/>
      <c r="F273" s="127" t="n"/>
      <c r="G273" s="127" t="n"/>
      <c r="H273" s="127" t="n"/>
      <c r="I273" s="127" t="n"/>
      <c r="J273" s="127" t="n"/>
      <c r="K273" s="128" t="n"/>
      <c r="L273" s="128" t="n"/>
      <c r="M273" s="127" t="n"/>
      <c r="N273" s="129">
        <f>IF($E273="","",COUNTIFS(EMP_Livre,$E273,EMP_Retour,""))</f>
        <v/>
      </c>
      <c r="O273" s="129">
        <f>IF($E273="","",$L273-$N273)</f>
        <v/>
      </c>
      <c r="P273" s="129">
        <f>IF($E273="","",COUNTIF(EMP_Livre,$E273))</f>
        <v/>
      </c>
      <c r="Q273" s="130">
        <f>IF($E273="","",IF($O273&lt;=0,"Indisponible",IF(AND($O273=1,$L273&gt;1),"Dernier exemplaire","Disponible")))</f>
        <v/>
      </c>
      <c r="S273">
        <f>IF($E273="","",$P273+ROW()/100000)</f>
        <v/>
      </c>
      <c r="T273">
        <f>IF(OR(Q_Rech="",$E273=""),"",IF(ISNUMBER(SEARCH(Q_Rech,$E273&amp;" "&amp;$F273&amp;" "&amp;$G273&amp;" "&amp;$H273&amp;" "&amp;$I273)),COUNT($T$6:$T272)+1,""))</f>
        <v/>
      </c>
      <c r="U273">
        <f>IF($E273="","",IF(COUNTIFS(EMP_Livre,$E273,EMP_Date,"&gt;="&amp;R_Mois,EMP_Date,"&lt;"&amp;EDATE(R_Mois,1))=0,"",COUNTIFS(EMP_Livre,$E273,EMP_Date,"&gt;="&amp;R_Mois,EMP_Date,"&lt;"&amp;EDATE(R_Mois,1))+ROW()/100000))</f>
        <v/>
      </c>
    </row>
    <row r="274" ht="21" customHeight="1">
      <c r="A274" s="1" t="n"/>
      <c r="B274" s="1" t="n"/>
      <c r="C274" s="2" t="n"/>
      <c r="E274" s="127" t="n"/>
      <c r="F274" s="127" t="n"/>
      <c r="G274" s="127" t="n"/>
      <c r="H274" s="127" t="n"/>
      <c r="I274" s="127" t="n"/>
      <c r="J274" s="127" t="n"/>
      <c r="K274" s="128" t="n"/>
      <c r="L274" s="128" t="n"/>
      <c r="M274" s="127" t="n"/>
      <c r="N274" s="129">
        <f>IF($E274="","",COUNTIFS(EMP_Livre,$E274,EMP_Retour,""))</f>
        <v/>
      </c>
      <c r="O274" s="129">
        <f>IF($E274="","",$L274-$N274)</f>
        <v/>
      </c>
      <c r="P274" s="129">
        <f>IF($E274="","",COUNTIF(EMP_Livre,$E274))</f>
        <v/>
      </c>
      <c r="Q274" s="130">
        <f>IF($E274="","",IF($O274&lt;=0,"Indisponible",IF(AND($O274=1,$L274&gt;1),"Dernier exemplaire","Disponible")))</f>
        <v/>
      </c>
      <c r="S274">
        <f>IF($E274="","",$P274+ROW()/100000)</f>
        <v/>
      </c>
      <c r="T274">
        <f>IF(OR(Q_Rech="",$E274=""),"",IF(ISNUMBER(SEARCH(Q_Rech,$E274&amp;" "&amp;$F274&amp;" "&amp;$G274&amp;" "&amp;$H274&amp;" "&amp;$I274)),COUNT($T$6:$T273)+1,""))</f>
        <v/>
      </c>
      <c r="U274">
        <f>IF($E274="","",IF(COUNTIFS(EMP_Livre,$E274,EMP_Date,"&gt;="&amp;R_Mois,EMP_Date,"&lt;"&amp;EDATE(R_Mois,1))=0,"",COUNTIFS(EMP_Livre,$E274,EMP_Date,"&gt;="&amp;R_Mois,EMP_Date,"&lt;"&amp;EDATE(R_Mois,1))+ROW()/100000))</f>
        <v/>
      </c>
    </row>
    <row r="275" ht="21" customHeight="1">
      <c r="A275" s="1" t="n"/>
      <c r="B275" s="1" t="n"/>
      <c r="C275" s="2" t="n"/>
      <c r="E275" s="127" t="n"/>
      <c r="F275" s="127" t="n"/>
      <c r="G275" s="127" t="n"/>
      <c r="H275" s="127" t="n"/>
      <c r="I275" s="127" t="n"/>
      <c r="J275" s="127" t="n"/>
      <c r="K275" s="128" t="n"/>
      <c r="L275" s="128" t="n"/>
      <c r="M275" s="127" t="n"/>
      <c r="N275" s="129">
        <f>IF($E275="","",COUNTIFS(EMP_Livre,$E275,EMP_Retour,""))</f>
        <v/>
      </c>
      <c r="O275" s="129">
        <f>IF($E275="","",$L275-$N275)</f>
        <v/>
      </c>
      <c r="P275" s="129">
        <f>IF($E275="","",COUNTIF(EMP_Livre,$E275))</f>
        <v/>
      </c>
      <c r="Q275" s="130">
        <f>IF($E275="","",IF($O275&lt;=0,"Indisponible",IF(AND($O275=1,$L275&gt;1),"Dernier exemplaire","Disponible")))</f>
        <v/>
      </c>
      <c r="S275">
        <f>IF($E275="","",$P275+ROW()/100000)</f>
        <v/>
      </c>
      <c r="T275">
        <f>IF(OR(Q_Rech="",$E275=""),"",IF(ISNUMBER(SEARCH(Q_Rech,$E275&amp;" "&amp;$F275&amp;" "&amp;$G275&amp;" "&amp;$H275&amp;" "&amp;$I275)),COUNT($T$6:$T274)+1,""))</f>
        <v/>
      </c>
      <c r="U275">
        <f>IF($E275="","",IF(COUNTIFS(EMP_Livre,$E275,EMP_Date,"&gt;="&amp;R_Mois,EMP_Date,"&lt;"&amp;EDATE(R_Mois,1))=0,"",COUNTIFS(EMP_Livre,$E275,EMP_Date,"&gt;="&amp;R_Mois,EMP_Date,"&lt;"&amp;EDATE(R_Mois,1))+ROW()/100000))</f>
        <v/>
      </c>
    </row>
    <row r="276" ht="21" customHeight="1">
      <c r="A276" s="1" t="n"/>
      <c r="B276" s="1" t="n"/>
      <c r="C276" s="2" t="n"/>
      <c r="E276" s="127" t="n"/>
      <c r="F276" s="127" t="n"/>
      <c r="G276" s="127" t="n"/>
      <c r="H276" s="127" t="n"/>
      <c r="I276" s="127" t="n"/>
      <c r="J276" s="127" t="n"/>
      <c r="K276" s="128" t="n"/>
      <c r="L276" s="128" t="n"/>
      <c r="M276" s="127" t="n"/>
      <c r="N276" s="129">
        <f>IF($E276="","",COUNTIFS(EMP_Livre,$E276,EMP_Retour,""))</f>
        <v/>
      </c>
      <c r="O276" s="129">
        <f>IF($E276="","",$L276-$N276)</f>
        <v/>
      </c>
      <c r="P276" s="129">
        <f>IF($E276="","",COUNTIF(EMP_Livre,$E276))</f>
        <v/>
      </c>
      <c r="Q276" s="130">
        <f>IF($E276="","",IF($O276&lt;=0,"Indisponible",IF(AND($O276=1,$L276&gt;1),"Dernier exemplaire","Disponible")))</f>
        <v/>
      </c>
      <c r="S276">
        <f>IF($E276="","",$P276+ROW()/100000)</f>
        <v/>
      </c>
      <c r="T276">
        <f>IF(OR(Q_Rech="",$E276=""),"",IF(ISNUMBER(SEARCH(Q_Rech,$E276&amp;" "&amp;$F276&amp;" "&amp;$G276&amp;" "&amp;$H276&amp;" "&amp;$I276)),COUNT($T$6:$T275)+1,""))</f>
        <v/>
      </c>
      <c r="U276">
        <f>IF($E276="","",IF(COUNTIFS(EMP_Livre,$E276,EMP_Date,"&gt;="&amp;R_Mois,EMP_Date,"&lt;"&amp;EDATE(R_Mois,1))=0,"",COUNTIFS(EMP_Livre,$E276,EMP_Date,"&gt;="&amp;R_Mois,EMP_Date,"&lt;"&amp;EDATE(R_Mois,1))+ROW()/100000))</f>
        <v/>
      </c>
    </row>
    <row r="277" ht="21" customHeight="1">
      <c r="A277" s="1" t="n"/>
      <c r="B277" s="1" t="n"/>
      <c r="C277" s="2" t="n"/>
      <c r="E277" s="127" t="n"/>
      <c r="F277" s="127" t="n"/>
      <c r="G277" s="127" t="n"/>
      <c r="H277" s="127" t="n"/>
      <c r="I277" s="127" t="n"/>
      <c r="J277" s="127" t="n"/>
      <c r="K277" s="128" t="n"/>
      <c r="L277" s="128" t="n"/>
      <c r="M277" s="127" t="n"/>
      <c r="N277" s="129">
        <f>IF($E277="","",COUNTIFS(EMP_Livre,$E277,EMP_Retour,""))</f>
        <v/>
      </c>
      <c r="O277" s="129">
        <f>IF($E277="","",$L277-$N277)</f>
        <v/>
      </c>
      <c r="P277" s="129">
        <f>IF($E277="","",COUNTIF(EMP_Livre,$E277))</f>
        <v/>
      </c>
      <c r="Q277" s="130">
        <f>IF($E277="","",IF($O277&lt;=0,"Indisponible",IF(AND($O277=1,$L277&gt;1),"Dernier exemplaire","Disponible")))</f>
        <v/>
      </c>
      <c r="S277">
        <f>IF($E277="","",$P277+ROW()/100000)</f>
        <v/>
      </c>
      <c r="T277">
        <f>IF(OR(Q_Rech="",$E277=""),"",IF(ISNUMBER(SEARCH(Q_Rech,$E277&amp;" "&amp;$F277&amp;" "&amp;$G277&amp;" "&amp;$H277&amp;" "&amp;$I277)),COUNT($T$6:$T276)+1,""))</f>
        <v/>
      </c>
      <c r="U277">
        <f>IF($E277="","",IF(COUNTIFS(EMP_Livre,$E277,EMP_Date,"&gt;="&amp;R_Mois,EMP_Date,"&lt;"&amp;EDATE(R_Mois,1))=0,"",COUNTIFS(EMP_Livre,$E277,EMP_Date,"&gt;="&amp;R_Mois,EMP_Date,"&lt;"&amp;EDATE(R_Mois,1))+ROW()/100000))</f>
        <v/>
      </c>
    </row>
    <row r="278" ht="21" customHeight="1">
      <c r="A278" s="1" t="n"/>
      <c r="B278" s="1" t="n"/>
      <c r="C278" s="2" t="n"/>
      <c r="E278" s="127" t="n"/>
      <c r="F278" s="127" t="n"/>
      <c r="G278" s="127" t="n"/>
      <c r="H278" s="127" t="n"/>
      <c r="I278" s="127" t="n"/>
      <c r="J278" s="127" t="n"/>
      <c r="K278" s="128" t="n"/>
      <c r="L278" s="128" t="n"/>
      <c r="M278" s="127" t="n"/>
      <c r="N278" s="129">
        <f>IF($E278="","",COUNTIFS(EMP_Livre,$E278,EMP_Retour,""))</f>
        <v/>
      </c>
      <c r="O278" s="129">
        <f>IF($E278="","",$L278-$N278)</f>
        <v/>
      </c>
      <c r="P278" s="129">
        <f>IF($E278="","",COUNTIF(EMP_Livre,$E278))</f>
        <v/>
      </c>
      <c r="Q278" s="130">
        <f>IF($E278="","",IF($O278&lt;=0,"Indisponible",IF(AND($O278=1,$L278&gt;1),"Dernier exemplaire","Disponible")))</f>
        <v/>
      </c>
      <c r="S278">
        <f>IF($E278="","",$P278+ROW()/100000)</f>
        <v/>
      </c>
      <c r="T278">
        <f>IF(OR(Q_Rech="",$E278=""),"",IF(ISNUMBER(SEARCH(Q_Rech,$E278&amp;" "&amp;$F278&amp;" "&amp;$G278&amp;" "&amp;$H278&amp;" "&amp;$I278)),COUNT($T$6:$T277)+1,""))</f>
        <v/>
      </c>
      <c r="U278">
        <f>IF($E278="","",IF(COUNTIFS(EMP_Livre,$E278,EMP_Date,"&gt;="&amp;R_Mois,EMP_Date,"&lt;"&amp;EDATE(R_Mois,1))=0,"",COUNTIFS(EMP_Livre,$E278,EMP_Date,"&gt;="&amp;R_Mois,EMP_Date,"&lt;"&amp;EDATE(R_Mois,1))+ROW()/100000))</f>
        <v/>
      </c>
    </row>
    <row r="279" ht="21" customHeight="1">
      <c r="A279" s="1" t="n"/>
      <c r="B279" s="1" t="n"/>
      <c r="C279" s="2" t="n"/>
      <c r="E279" s="127" t="n"/>
      <c r="F279" s="127" t="n"/>
      <c r="G279" s="127" t="n"/>
      <c r="H279" s="127" t="n"/>
      <c r="I279" s="127" t="n"/>
      <c r="J279" s="127" t="n"/>
      <c r="K279" s="128" t="n"/>
      <c r="L279" s="128" t="n"/>
      <c r="M279" s="127" t="n"/>
      <c r="N279" s="129">
        <f>IF($E279="","",COUNTIFS(EMP_Livre,$E279,EMP_Retour,""))</f>
        <v/>
      </c>
      <c r="O279" s="129">
        <f>IF($E279="","",$L279-$N279)</f>
        <v/>
      </c>
      <c r="P279" s="129">
        <f>IF($E279="","",COUNTIF(EMP_Livre,$E279))</f>
        <v/>
      </c>
      <c r="Q279" s="130">
        <f>IF($E279="","",IF($O279&lt;=0,"Indisponible",IF(AND($O279=1,$L279&gt;1),"Dernier exemplaire","Disponible")))</f>
        <v/>
      </c>
      <c r="S279">
        <f>IF($E279="","",$P279+ROW()/100000)</f>
        <v/>
      </c>
      <c r="T279">
        <f>IF(OR(Q_Rech="",$E279=""),"",IF(ISNUMBER(SEARCH(Q_Rech,$E279&amp;" "&amp;$F279&amp;" "&amp;$G279&amp;" "&amp;$H279&amp;" "&amp;$I279)),COUNT($T$6:$T278)+1,""))</f>
        <v/>
      </c>
      <c r="U279">
        <f>IF($E279="","",IF(COUNTIFS(EMP_Livre,$E279,EMP_Date,"&gt;="&amp;R_Mois,EMP_Date,"&lt;"&amp;EDATE(R_Mois,1))=0,"",COUNTIFS(EMP_Livre,$E279,EMP_Date,"&gt;="&amp;R_Mois,EMP_Date,"&lt;"&amp;EDATE(R_Mois,1))+ROW()/100000))</f>
        <v/>
      </c>
    </row>
    <row r="280" ht="21" customHeight="1">
      <c r="A280" s="1" t="n"/>
      <c r="B280" s="1" t="n"/>
      <c r="C280" s="2" t="n"/>
      <c r="E280" s="127" t="n"/>
      <c r="F280" s="127" t="n"/>
      <c r="G280" s="127" t="n"/>
      <c r="H280" s="127" t="n"/>
      <c r="I280" s="127" t="n"/>
      <c r="J280" s="127" t="n"/>
      <c r="K280" s="128" t="n"/>
      <c r="L280" s="128" t="n"/>
      <c r="M280" s="127" t="n"/>
      <c r="N280" s="129">
        <f>IF($E280="","",COUNTIFS(EMP_Livre,$E280,EMP_Retour,""))</f>
        <v/>
      </c>
      <c r="O280" s="129">
        <f>IF($E280="","",$L280-$N280)</f>
        <v/>
      </c>
      <c r="P280" s="129">
        <f>IF($E280="","",COUNTIF(EMP_Livre,$E280))</f>
        <v/>
      </c>
      <c r="Q280" s="130">
        <f>IF($E280="","",IF($O280&lt;=0,"Indisponible",IF(AND($O280=1,$L280&gt;1),"Dernier exemplaire","Disponible")))</f>
        <v/>
      </c>
      <c r="S280">
        <f>IF($E280="","",$P280+ROW()/100000)</f>
        <v/>
      </c>
      <c r="T280">
        <f>IF(OR(Q_Rech="",$E280=""),"",IF(ISNUMBER(SEARCH(Q_Rech,$E280&amp;" "&amp;$F280&amp;" "&amp;$G280&amp;" "&amp;$H280&amp;" "&amp;$I280)),COUNT($T$6:$T279)+1,""))</f>
        <v/>
      </c>
      <c r="U280">
        <f>IF($E280="","",IF(COUNTIFS(EMP_Livre,$E280,EMP_Date,"&gt;="&amp;R_Mois,EMP_Date,"&lt;"&amp;EDATE(R_Mois,1))=0,"",COUNTIFS(EMP_Livre,$E280,EMP_Date,"&gt;="&amp;R_Mois,EMP_Date,"&lt;"&amp;EDATE(R_Mois,1))+ROW()/100000))</f>
        <v/>
      </c>
    </row>
    <row r="281" ht="21" customHeight="1">
      <c r="A281" s="1" t="n"/>
      <c r="B281" s="1" t="n"/>
      <c r="C281" s="2" t="n"/>
      <c r="E281" s="127" t="n"/>
      <c r="F281" s="127" t="n"/>
      <c r="G281" s="127" t="n"/>
      <c r="H281" s="127" t="n"/>
      <c r="I281" s="127" t="n"/>
      <c r="J281" s="127" t="n"/>
      <c r="K281" s="128" t="n"/>
      <c r="L281" s="128" t="n"/>
      <c r="M281" s="127" t="n"/>
      <c r="N281" s="129">
        <f>IF($E281="","",COUNTIFS(EMP_Livre,$E281,EMP_Retour,""))</f>
        <v/>
      </c>
      <c r="O281" s="129">
        <f>IF($E281="","",$L281-$N281)</f>
        <v/>
      </c>
      <c r="P281" s="129">
        <f>IF($E281="","",COUNTIF(EMP_Livre,$E281))</f>
        <v/>
      </c>
      <c r="Q281" s="130">
        <f>IF($E281="","",IF($O281&lt;=0,"Indisponible",IF(AND($O281=1,$L281&gt;1),"Dernier exemplaire","Disponible")))</f>
        <v/>
      </c>
      <c r="S281">
        <f>IF($E281="","",$P281+ROW()/100000)</f>
        <v/>
      </c>
      <c r="T281">
        <f>IF(OR(Q_Rech="",$E281=""),"",IF(ISNUMBER(SEARCH(Q_Rech,$E281&amp;" "&amp;$F281&amp;" "&amp;$G281&amp;" "&amp;$H281&amp;" "&amp;$I281)),COUNT($T$6:$T280)+1,""))</f>
        <v/>
      </c>
      <c r="U281">
        <f>IF($E281="","",IF(COUNTIFS(EMP_Livre,$E281,EMP_Date,"&gt;="&amp;R_Mois,EMP_Date,"&lt;"&amp;EDATE(R_Mois,1))=0,"",COUNTIFS(EMP_Livre,$E281,EMP_Date,"&gt;="&amp;R_Mois,EMP_Date,"&lt;"&amp;EDATE(R_Mois,1))+ROW()/100000))</f>
        <v/>
      </c>
    </row>
    <row r="282" ht="21" customHeight="1">
      <c r="A282" s="1" t="n"/>
      <c r="B282" s="1" t="n"/>
      <c r="C282" s="2" t="n"/>
      <c r="E282" s="127" t="n"/>
      <c r="F282" s="127" t="n"/>
      <c r="G282" s="127" t="n"/>
      <c r="H282" s="127" t="n"/>
      <c r="I282" s="127" t="n"/>
      <c r="J282" s="127" t="n"/>
      <c r="K282" s="128" t="n"/>
      <c r="L282" s="128" t="n"/>
      <c r="M282" s="127" t="n"/>
      <c r="N282" s="129">
        <f>IF($E282="","",COUNTIFS(EMP_Livre,$E282,EMP_Retour,""))</f>
        <v/>
      </c>
      <c r="O282" s="129">
        <f>IF($E282="","",$L282-$N282)</f>
        <v/>
      </c>
      <c r="P282" s="129">
        <f>IF($E282="","",COUNTIF(EMP_Livre,$E282))</f>
        <v/>
      </c>
      <c r="Q282" s="130">
        <f>IF($E282="","",IF($O282&lt;=0,"Indisponible",IF(AND($O282=1,$L282&gt;1),"Dernier exemplaire","Disponible")))</f>
        <v/>
      </c>
      <c r="S282">
        <f>IF($E282="","",$P282+ROW()/100000)</f>
        <v/>
      </c>
      <c r="T282">
        <f>IF(OR(Q_Rech="",$E282=""),"",IF(ISNUMBER(SEARCH(Q_Rech,$E282&amp;" "&amp;$F282&amp;" "&amp;$G282&amp;" "&amp;$H282&amp;" "&amp;$I282)),COUNT($T$6:$T281)+1,""))</f>
        <v/>
      </c>
      <c r="U282">
        <f>IF($E282="","",IF(COUNTIFS(EMP_Livre,$E282,EMP_Date,"&gt;="&amp;R_Mois,EMP_Date,"&lt;"&amp;EDATE(R_Mois,1))=0,"",COUNTIFS(EMP_Livre,$E282,EMP_Date,"&gt;="&amp;R_Mois,EMP_Date,"&lt;"&amp;EDATE(R_Mois,1))+ROW()/100000))</f>
        <v/>
      </c>
    </row>
    <row r="283" ht="21" customHeight="1">
      <c r="A283" s="1" t="n"/>
      <c r="B283" s="1" t="n"/>
      <c r="C283" s="2" t="n"/>
      <c r="E283" s="127" t="n"/>
      <c r="F283" s="127" t="n"/>
      <c r="G283" s="127" t="n"/>
      <c r="H283" s="127" t="n"/>
      <c r="I283" s="127" t="n"/>
      <c r="J283" s="127" t="n"/>
      <c r="K283" s="128" t="n"/>
      <c r="L283" s="128" t="n"/>
      <c r="M283" s="127" t="n"/>
      <c r="N283" s="129">
        <f>IF($E283="","",COUNTIFS(EMP_Livre,$E283,EMP_Retour,""))</f>
        <v/>
      </c>
      <c r="O283" s="129">
        <f>IF($E283="","",$L283-$N283)</f>
        <v/>
      </c>
      <c r="P283" s="129">
        <f>IF($E283="","",COUNTIF(EMP_Livre,$E283))</f>
        <v/>
      </c>
      <c r="Q283" s="130">
        <f>IF($E283="","",IF($O283&lt;=0,"Indisponible",IF(AND($O283=1,$L283&gt;1),"Dernier exemplaire","Disponible")))</f>
        <v/>
      </c>
      <c r="S283">
        <f>IF($E283="","",$P283+ROW()/100000)</f>
        <v/>
      </c>
      <c r="T283">
        <f>IF(OR(Q_Rech="",$E283=""),"",IF(ISNUMBER(SEARCH(Q_Rech,$E283&amp;" "&amp;$F283&amp;" "&amp;$G283&amp;" "&amp;$H283&amp;" "&amp;$I283)),COUNT($T$6:$T282)+1,""))</f>
        <v/>
      </c>
      <c r="U283">
        <f>IF($E283="","",IF(COUNTIFS(EMP_Livre,$E283,EMP_Date,"&gt;="&amp;R_Mois,EMP_Date,"&lt;"&amp;EDATE(R_Mois,1))=0,"",COUNTIFS(EMP_Livre,$E283,EMP_Date,"&gt;="&amp;R_Mois,EMP_Date,"&lt;"&amp;EDATE(R_Mois,1))+ROW()/100000))</f>
        <v/>
      </c>
    </row>
    <row r="284" ht="21" customHeight="1">
      <c r="A284" s="1" t="n"/>
      <c r="B284" s="1" t="n"/>
      <c r="C284" s="2" t="n"/>
      <c r="E284" s="127" t="n"/>
      <c r="F284" s="127" t="n"/>
      <c r="G284" s="127" t="n"/>
      <c r="H284" s="127" t="n"/>
      <c r="I284" s="127" t="n"/>
      <c r="J284" s="127" t="n"/>
      <c r="K284" s="128" t="n"/>
      <c r="L284" s="128" t="n"/>
      <c r="M284" s="127" t="n"/>
      <c r="N284" s="129">
        <f>IF($E284="","",COUNTIFS(EMP_Livre,$E284,EMP_Retour,""))</f>
        <v/>
      </c>
      <c r="O284" s="129">
        <f>IF($E284="","",$L284-$N284)</f>
        <v/>
      </c>
      <c r="P284" s="129">
        <f>IF($E284="","",COUNTIF(EMP_Livre,$E284))</f>
        <v/>
      </c>
      <c r="Q284" s="130">
        <f>IF($E284="","",IF($O284&lt;=0,"Indisponible",IF(AND($O284=1,$L284&gt;1),"Dernier exemplaire","Disponible")))</f>
        <v/>
      </c>
      <c r="S284">
        <f>IF($E284="","",$P284+ROW()/100000)</f>
        <v/>
      </c>
      <c r="T284">
        <f>IF(OR(Q_Rech="",$E284=""),"",IF(ISNUMBER(SEARCH(Q_Rech,$E284&amp;" "&amp;$F284&amp;" "&amp;$G284&amp;" "&amp;$H284&amp;" "&amp;$I284)),COUNT($T$6:$T283)+1,""))</f>
        <v/>
      </c>
      <c r="U284">
        <f>IF($E284="","",IF(COUNTIFS(EMP_Livre,$E284,EMP_Date,"&gt;="&amp;R_Mois,EMP_Date,"&lt;"&amp;EDATE(R_Mois,1))=0,"",COUNTIFS(EMP_Livre,$E284,EMP_Date,"&gt;="&amp;R_Mois,EMP_Date,"&lt;"&amp;EDATE(R_Mois,1))+ROW()/100000))</f>
        <v/>
      </c>
    </row>
    <row r="285" ht="21" customHeight="1">
      <c r="A285" s="1" t="n"/>
      <c r="B285" s="1" t="n"/>
      <c r="C285" s="2" t="n"/>
      <c r="E285" s="127" t="n"/>
      <c r="F285" s="127" t="n"/>
      <c r="G285" s="127" t="n"/>
      <c r="H285" s="127" t="n"/>
      <c r="I285" s="127" t="n"/>
      <c r="J285" s="127" t="n"/>
      <c r="K285" s="128" t="n"/>
      <c r="L285" s="128" t="n"/>
      <c r="M285" s="127" t="n"/>
      <c r="N285" s="129">
        <f>IF($E285="","",COUNTIFS(EMP_Livre,$E285,EMP_Retour,""))</f>
        <v/>
      </c>
      <c r="O285" s="129">
        <f>IF($E285="","",$L285-$N285)</f>
        <v/>
      </c>
      <c r="P285" s="129">
        <f>IF($E285="","",COUNTIF(EMP_Livre,$E285))</f>
        <v/>
      </c>
      <c r="Q285" s="130">
        <f>IF($E285="","",IF($O285&lt;=0,"Indisponible",IF(AND($O285=1,$L285&gt;1),"Dernier exemplaire","Disponible")))</f>
        <v/>
      </c>
      <c r="S285">
        <f>IF($E285="","",$P285+ROW()/100000)</f>
        <v/>
      </c>
      <c r="T285">
        <f>IF(OR(Q_Rech="",$E285=""),"",IF(ISNUMBER(SEARCH(Q_Rech,$E285&amp;" "&amp;$F285&amp;" "&amp;$G285&amp;" "&amp;$H285&amp;" "&amp;$I285)),COUNT($T$6:$T284)+1,""))</f>
        <v/>
      </c>
      <c r="U285">
        <f>IF($E285="","",IF(COUNTIFS(EMP_Livre,$E285,EMP_Date,"&gt;="&amp;R_Mois,EMP_Date,"&lt;"&amp;EDATE(R_Mois,1))=0,"",COUNTIFS(EMP_Livre,$E285,EMP_Date,"&gt;="&amp;R_Mois,EMP_Date,"&lt;"&amp;EDATE(R_Mois,1))+ROW()/100000))</f>
        <v/>
      </c>
    </row>
    <row r="286" ht="21" customHeight="1">
      <c r="A286" s="1" t="n"/>
      <c r="B286" s="1" t="n"/>
      <c r="C286" s="2" t="n"/>
      <c r="E286" s="127" t="n"/>
      <c r="F286" s="127" t="n"/>
      <c r="G286" s="127" t="n"/>
      <c r="H286" s="127" t="n"/>
      <c r="I286" s="127" t="n"/>
      <c r="J286" s="127" t="n"/>
      <c r="K286" s="128" t="n"/>
      <c r="L286" s="128" t="n"/>
      <c r="M286" s="127" t="n"/>
      <c r="N286" s="129">
        <f>IF($E286="","",COUNTIFS(EMP_Livre,$E286,EMP_Retour,""))</f>
        <v/>
      </c>
      <c r="O286" s="129">
        <f>IF($E286="","",$L286-$N286)</f>
        <v/>
      </c>
      <c r="P286" s="129">
        <f>IF($E286="","",COUNTIF(EMP_Livre,$E286))</f>
        <v/>
      </c>
      <c r="Q286" s="130">
        <f>IF($E286="","",IF($O286&lt;=0,"Indisponible",IF(AND($O286=1,$L286&gt;1),"Dernier exemplaire","Disponible")))</f>
        <v/>
      </c>
      <c r="S286">
        <f>IF($E286="","",$P286+ROW()/100000)</f>
        <v/>
      </c>
      <c r="T286">
        <f>IF(OR(Q_Rech="",$E286=""),"",IF(ISNUMBER(SEARCH(Q_Rech,$E286&amp;" "&amp;$F286&amp;" "&amp;$G286&amp;" "&amp;$H286&amp;" "&amp;$I286)),COUNT($T$6:$T285)+1,""))</f>
        <v/>
      </c>
      <c r="U286">
        <f>IF($E286="","",IF(COUNTIFS(EMP_Livre,$E286,EMP_Date,"&gt;="&amp;R_Mois,EMP_Date,"&lt;"&amp;EDATE(R_Mois,1))=0,"",COUNTIFS(EMP_Livre,$E286,EMP_Date,"&gt;="&amp;R_Mois,EMP_Date,"&lt;"&amp;EDATE(R_Mois,1))+ROW()/100000))</f>
        <v/>
      </c>
    </row>
    <row r="287" ht="21" customHeight="1">
      <c r="A287" s="1" t="n"/>
      <c r="B287" s="1" t="n"/>
      <c r="C287" s="2" t="n"/>
      <c r="E287" s="127" t="n"/>
      <c r="F287" s="127" t="n"/>
      <c r="G287" s="127" t="n"/>
      <c r="H287" s="127" t="n"/>
      <c r="I287" s="127" t="n"/>
      <c r="J287" s="127" t="n"/>
      <c r="K287" s="128" t="n"/>
      <c r="L287" s="128" t="n"/>
      <c r="M287" s="127" t="n"/>
      <c r="N287" s="129">
        <f>IF($E287="","",COUNTIFS(EMP_Livre,$E287,EMP_Retour,""))</f>
        <v/>
      </c>
      <c r="O287" s="129">
        <f>IF($E287="","",$L287-$N287)</f>
        <v/>
      </c>
      <c r="P287" s="129">
        <f>IF($E287="","",COUNTIF(EMP_Livre,$E287))</f>
        <v/>
      </c>
      <c r="Q287" s="130">
        <f>IF($E287="","",IF($O287&lt;=0,"Indisponible",IF(AND($O287=1,$L287&gt;1),"Dernier exemplaire","Disponible")))</f>
        <v/>
      </c>
      <c r="S287">
        <f>IF($E287="","",$P287+ROW()/100000)</f>
        <v/>
      </c>
      <c r="T287">
        <f>IF(OR(Q_Rech="",$E287=""),"",IF(ISNUMBER(SEARCH(Q_Rech,$E287&amp;" "&amp;$F287&amp;" "&amp;$G287&amp;" "&amp;$H287&amp;" "&amp;$I287)),COUNT($T$6:$T286)+1,""))</f>
        <v/>
      </c>
      <c r="U287">
        <f>IF($E287="","",IF(COUNTIFS(EMP_Livre,$E287,EMP_Date,"&gt;="&amp;R_Mois,EMP_Date,"&lt;"&amp;EDATE(R_Mois,1))=0,"",COUNTIFS(EMP_Livre,$E287,EMP_Date,"&gt;="&amp;R_Mois,EMP_Date,"&lt;"&amp;EDATE(R_Mois,1))+ROW()/100000))</f>
        <v/>
      </c>
    </row>
    <row r="288" ht="21" customHeight="1">
      <c r="A288" s="1" t="n"/>
      <c r="B288" s="1" t="n"/>
      <c r="C288" s="2" t="n"/>
      <c r="E288" s="127" t="n"/>
      <c r="F288" s="127" t="n"/>
      <c r="G288" s="127" t="n"/>
      <c r="H288" s="127" t="n"/>
      <c r="I288" s="127" t="n"/>
      <c r="J288" s="127" t="n"/>
      <c r="K288" s="128" t="n"/>
      <c r="L288" s="128" t="n"/>
      <c r="M288" s="127" t="n"/>
      <c r="N288" s="129">
        <f>IF($E288="","",COUNTIFS(EMP_Livre,$E288,EMP_Retour,""))</f>
        <v/>
      </c>
      <c r="O288" s="129">
        <f>IF($E288="","",$L288-$N288)</f>
        <v/>
      </c>
      <c r="P288" s="129">
        <f>IF($E288="","",COUNTIF(EMP_Livre,$E288))</f>
        <v/>
      </c>
      <c r="Q288" s="130">
        <f>IF($E288="","",IF($O288&lt;=0,"Indisponible",IF(AND($O288=1,$L288&gt;1),"Dernier exemplaire","Disponible")))</f>
        <v/>
      </c>
      <c r="S288">
        <f>IF($E288="","",$P288+ROW()/100000)</f>
        <v/>
      </c>
      <c r="T288">
        <f>IF(OR(Q_Rech="",$E288=""),"",IF(ISNUMBER(SEARCH(Q_Rech,$E288&amp;" "&amp;$F288&amp;" "&amp;$G288&amp;" "&amp;$H288&amp;" "&amp;$I288)),COUNT($T$6:$T287)+1,""))</f>
        <v/>
      </c>
      <c r="U288">
        <f>IF($E288="","",IF(COUNTIFS(EMP_Livre,$E288,EMP_Date,"&gt;="&amp;R_Mois,EMP_Date,"&lt;"&amp;EDATE(R_Mois,1))=0,"",COUNTIFS(EMP_Livre,$E288,EMP_Date,"&gt;="&amp;R_Mois,EMP_Date,"&lt;"&amp;EDATE(R_Mois,1))+ROW()/100000))</f>
        <v/>
      </c>
    </row>
    <row r="289" ht="21" customHeight="1">
      <c r="A289" s="1" t="n"/>
      <c r="B289" s="1" t="n"/>
      <c r="C289" s="2" t="n"/>
      <c r="E289" s="127" t="n"/>
      <c r="F289" s="127" t="n"/>
      <c r="G289" s="127" t="n"/>
      <c r="H289" s="127" t="n"/>
      <c r="I289" s="127" t="n"/>
      <c r="J289" s="127" t="n"/>
      <c r="K289" s="128" t="n"/>
      <c r="L289" s="128" t="n"/>
      <c r="M289" s="127" t="n"/>
      <c r="N289" s="129">
        <f>IF($E289="","",COUNTIFS(EMP_Livre,$E289,EMP_Retour,""))</f>
        <v/>
      </c>
      <c r="O289" s="129">
        <f>IF($E289="","",$L289-$N289)</f>
        <v/>
      </c>
      <c r="P289" s="129">
        <f>IF($E289="","",COUNTIF(EMP_Livre,$E289))</f>
        <v/>
      </c>
      <c r="Q289" s="130">
        <f>IF($E289="","",IF($O289&lt;=0,"Indisponible",IF(AND($O289=1,$L289&gt;1),"Dernier exemplaire","Disponible")))</f>
        <v/>
      </c>
      <c r="S289">
        <f>IF($E289="","",$P289+ROW()/100000)</f>
        <v/>
      </c>
      <c r="T289">
        <f>IF(OR(Q_Rech="",$E289=""),"",IF(ISNUMBER(SEARCH(Q_Rech,$E289&amp;" "&amp;$F289&amp;" "&amp;$G289&amp;" "&amp;$H289&amp;" "&amp;$I289)),COUNT($T$6:$T288)+1,""))</f>
        <v/>
      </c>
      <c r="U289">
        <f>IF($E289="","",IF(COUNTIFS(EMP_Livre,$E289,EMP_Date,"&gt;="&amp;R_Mois,EMP_Date,"&lt;"&amp;EDATE(R_Mois,1))=0,"",COUNTIFS(EMP_Livre,$E289,EMP_Date,"&gt;="&amp;R_Mois,EMP_Date,"&lt;"&amp;EDATE(R_Mois,1))+ROW()/100000))</f>
        <v/>
      </c>
    </row>
    <row r="290" ht="21" customHeight="1">
      <c r="A290" s="1" t="n"/>
      <c r="B290" s="1" t="n"/>
      <c r="C290" s="2" t="n"/>
      <c r="E290" s="127" t="n"/>
      <c r="F290" s="127" t="n"/>
      <c r="G290" s="127" t="n"/>
      <c r="H290" s="127" t="n"/>
      <c r="I290" s="127" t="n"/>
      <c r="J290" s="127" t="n"/>
      <c r="K290" s="128" t="n"/>
      <c r="L290" s="128" t="n"/>
      <c r="M290" s="127" t="n"/>
      <c r="N290" s="129">
        <f>IF($E290="","",COUNTIFS(EMP_Livre,$E290,EMP_Retour,""))</f>
        <v/>
      </c>
      <c r="O290" s="129">
        <f>IF($E290="","",$L290-$N290)</f>
        <v/>
      </c>
      <c r="P290" s="129">
        <f>IF($E290="","",COUNTIF(EMP_Livre,$E290))</f>
        <v/>
      </c>
      <c r="Q290" s="130">
        <f>IF($E290="","",IF($O290&lt;=0,"Indisponible",IF(AND($O290=1,$L290&gt;1),"Dernier exemplaire","Disponible")))</f>
        <v/>
      </c>
      <c r="S290">
        <f>IF($E290="","",$P290+ROW()/100000)</f>
        <v/>
      </c>
      <c r="T290">
        <f>IF(OR(Q_Rech="",$E290=""),"",IF(ISNUMBER(SEARCH(Q_Rech,$E290&amp;" "&amp;$F290&amp;" "&amp;$G290&amp;" "&amp;$H290&amp;" "&amp;$I290)),COUNT($T$6:$T289)+1,""))</f>
        <v/>
      </c>
      <c r="U290">
        <f>IF($E290="","",IF(COUNTIFS(EMP_Livre,$E290,EMP_Date,"&gt;="&amp;R_Mois,EMP_Date,"&lt;"&amp;EDATE(R_Mois,1))=0,"",COUNTIFS(EMP_Livre,$E290,EMP_Date,"&gt;="&amp;R_Mois,EMP_Date,"&lt;"&amp;EDATE(R_Mois,1))+ROW()/100000))</f>
        <v/>
      </c>
    </row>
    <row r="291" ht="21" customHeight="1">
      <c r="A291" s="1" t="n"/>
      <c r="B291" s="1" t="n"/>
      <c r="C291" s="2" t="n"/>
      <c r="E291" s="127" t="n"/>
      <c r="F291" s="127" t="n"/>
      <c r="G291" s="127" t="n"/>
      <c r="H291" s="127" t="n"/>
      <c r="I291" s="127" t="n"/>
      <c r="J291" s="127" t="n"/>
      <c r="K291" s="128" t="n"/>
      <c r="L291" s="128" t="n"/>
      <c r="M291" s="127" t="n"/>
      <c r="N291" s="129">
        <f>IF($E291="","",COUNTIFS(EMP_Livre,$E291,EMP_Retour,""))</f>
        <v/>
      </c>
      <c r="O291" s="129">
        <f>IF($E291="","",$L291-$N291)</f>
        <v/>
      </c>
      <c r="P291" s="129">
        <f>IF($E291="","",COUNTIF(EMP_Livre,$E291))</f>
        <v/>
      </c>
      <c r="Q291" s="130">
        <f>IF($E291="","",IF($O291&lt;=0,"Indisponible",IF(AND($O291=1,$L291&gt;1),"Dernier exemplaire","Disponible")))</f>
        <v/>
      </c>
      <c r="S291">
        <f>IF($E291="","",$P291+ROW()/100000)</f>
        <v/>
      </c>
      <c r="T291">
        <f>IF(OR(Q_Rech="",$E291=""),"",IF(ISNUMBER(SEARCH(Q_Rech,$E291&amp;" "&amp;$F291&amp;" "&amp;$G291&amp;" "&amp;$H291&amp;" "&amp;$I291)),COUNT($T$6:$T290)+1,""))</f>
        <v/>
      </c>
      <c r="U291">
        <f>IF($E291="","",IF(COUNTIFS(EMP_Livre,$E291,EMP_Date,"&gt;="&amp;R_Mois,EMP_Date,"&lt;"&amp;EDATE(R_Mois,1))=0,"",COUNTIFS(EMP_Livre,$E291,EMP_Date,"&gt;="&amp;R_Mois,EMP_Date,"&lt;"&amp;EDATE(R_Mois,1))+ROW()/100000))</f>
        <v/>
      </c>
    </row>
    <row r="292" ht="21" customHeight="1">
      <c r="A292" s="1" t="n"/>
      <c r="B292" s="1" t="n"/>
      <c r="C292" s="2" t="n"/>
      <c r="E292" s="127" t="n"/>
      <c r="F292" s="127" t="n"/>
      <c r="G292" s="127" t="n"/>
      <c r="H292" s="127" t="n"/>
      <c r="I292" s="127" t="n"/>
      <c r="J292" s="127" t="n"/>
      <c r="K292" s="128" t="n"/>
      <c r="L292" s="128" t="n"/>
      <c r="M292" s="127" t="n"/>
      <c r="N292" s="129">
        <f>IF($E292="","",COUNTIFS(EMP_Livre,$E292,EMP_Retour,""))</f>
        <v/>
      </c>
      <c r="O292" s="129">
        <f>IF($E292="","",$L292-$N292)</f>
        <v/>
      </c>
      <c r="P292" s="129">
        <f>IF($E292="","",COUNTIF(EMP_Livre,$E292))</f>
        <v/>
      </c>
      <c r="Q292" s="130">
        <f>IF($E292="","",IF($O292&lt;=0,"Indisponible",IF(AND($O292=1,$L292&gt;1),"Dernier exemplaire","Disponible")))</f>
        <v/>
      </c>
      <c r="S292">
        <f>IF($E292="","",$P292+ROW()/100000)</f>
        <v/>
      </c>
      <c r="T292">
        <f>IF(OR(Q_Rech="",$E292=""),"",IF(ISNUMBER(SEARCH(Q_Rech,$E292&amp;" "&amp;$F292&amp;" "&amp;$G292&amp;" "&amp;$H292&amp;" "&amp;$I292)),COUNT($T$6:$T291)+1,""))</f>
        <v/>
      </c>
      <c r="U292">
        <f>IF($E292="","",IF(COUNTIFS(EMP_Livre,$E292,EMP_Date,"&gt;="&amp;R_Mois,EMP_Date,"&lt;"&amp;EDATE(R_Mois,1))=0,"",COUNTIFS(EMP_Livre,$E292,EMP_Date,"&gt;="&amp;R_Mois,EMP_Date,"&lt;"&amp;EDATE(R_Mois,1))+ROW()/100000))</f>
        <v/>
      </c>
    </row>
    <row r="293" ht="21" customHeight="1">
      <c r="A293" s="1" t="n"/>
      <c r="B293" s="1" t="n"/>
      <c r="C293" s="2" t="n"/>
      <c r="E293" s="127" t="n"/>
      <c r="F293" s="127" t="n"/>
      <c r="G293" s="127" t="n"/>
      <c r="H293" s="127" t="n"/>
      <c r="I293" s="127" t="n"/>
      <c r="J293" s="127" t="n"/>
      <c r="K293" s="128" t="n"/>
      <c r="L293" s="128" t="n"/>
      <c r="M293" s="127" t="n"/>
      <c r="N293" s="129">
        <f>IF($E293="","",COUNTIFS(EMP_Livre,$E293,EMP_Retour,""))</f>
        <v/>
      </c>
      <c r="O293" s="129">
        <f>IF($E293="","",$L293-$N293)</f>
        <v/>
      </c>
      <c r="P293" s="129">
        <f>IF($E293="","",COUNTIF(EMP_Livre,$E293))</f>
        <v/>
      </c>
      <c r="Q293" s="130">
        <f>IF($E293="","",IF($O293&lt;=0,"Indisponible",IF(AND($O293=1,$L293&gt;1),"Dernier exemplaire","Disponible")))</f>
        <v/>
      </c>
      <c r="S293">
        <f>IF($E293="","",$P293+ROW()/100000)</f>
        <v/>
      </c>
      <c r="T293">
        <f>IF(OR(Q_Rech="",$E293=""),"",IF(ISNUMBER(SEARCH(Q_Rech,$E293&amp;" "&amp;$F293&amp;" "&amp;$G293&amp;" "&amp;$H293&amp;" "&amp;$I293)),COUNT($T$6:$T292)+1,""))</f>
        <v/>
      </c>
      <c r="U293">
        <f>IF($E293="","",IF(COUNTIFS(EMP_Livre,$E293,EMP_Date,"&gt;="&amp;R_Mois,EMP_Date,"&lt;"&amp;EDATE(R_Mois,1))=0,"",COUNTIFS(EMP_Livre,$E293,EMP_Date,"&gt;="&amp;R_Mois,EMP_Date,"&lt;"&amp;EDATE(R_Mois,1))+ROW()/100000))</f>
        <v/>
      </c>
    </row>
    <row r="294" ht="21" customHeight="1">
      <c r="A294" s="1" t="n"/>
      <c r="B294" s="1" t="n"/>
      <c r="C294" s="2" t="n"/>
      <c r="E294" s="127" t="n"/>
      <c r="F294" s="127" t="n"/>
      <c r="G294" s="127" t="n"/>
      <c r="H294" s="127" t="n"/>
      <c r="I294" s="127" t="n"/>
      <c r="J294" s="127" t="n"/>
      <c r="K294" s="128" t="n"/>
      <c r="L294" s="128" t="n"/>
      <c r="M294" s="127" t="n"/>
      <c r="N294" s="129">
        <f>IF($E294="","",COUNTIFS(EMP_Livre,$E294,EMP_Retour,""))</f>
        <v/>
      </c>
      <c r="O294" s="129">
        <f>IF($E294="","",$L294-$N294)</f>
        <v/>
      </c>
      <c r="P294" s="129">
        <f>IF($E294="","",COUNTIF(EMP_Livre,$E294))</f>
        <v/>
      </c>
      <c r="Q294" s="130">
        <f>IF($E294="","",IF($O294&lt;=0,"Indisponible",IF(AND($O294=1,$L294&gt;1),"Dernier exemplaire","Disponible")))</f>
        <v/>
      </c>
      <c r="S294">
        <f>IF($E294="","",$P294+ROW()/100000)</f>
        <v/>
      </c>
      <c r="T294">
        <f>IF(OR(Q_Rech="",$E294=""),"",IF(ISNUMBER(SEARCH(Q_Rech,$E294&amp;" "&amp;$F294&amp;" "&amp;$G294&amp;" "&amp;$H294&amp;" "&amp;$I294)),COUNT($T$6:$T293)+1,""))</f>
        <v/>
      </c>
      <c r="U294">
        <f>IF($E294="","",IF(COUNTIFS(EMP_Livre,$E294,EMP_Date,"&gt;="&amp;R_Mois,EMP_Date,"&lt;"&amp;EDATE(R_Mois,1))=0,"",COUNTIFS(EMP_Livre,$E294,EMP_Date,"&gt;="&amp;R_Mois,EMP_Date,"&lt;"&amp;EDATE(R_Mois,1))+ROW()/100000))</f>
        <v/>
      </c>
    </row>
    <row r="295" ht="21" customHeight="1">
      <c r="A295" s="1" t="n"/>
      <c r="B295" s="1" t="n"/>
      <c r="C295" s="2" t="n"/>
      <c r="E295" s="127" t="n"/>
      <c r="F295" s="127" t="n"/>
      <c r="G295" s="127" t="n"/>
      <c r="H295" s="127" t="n"/>
      <c r="I295" s="127" t="n"/>
      <c r="J295" s="127" t="n"/>
      <c r="K295" s="128" t="n"/>
      <c r="L295" s="128" t="n"/>
      <c r="M295" s="127" t="n"/>
      <c r="N295" s="129">
        <f>IF($E295="","",COUNTIFS(EMP_Livre,$E295,EMP_Retour,""))</f>
        <v/>
      </c>
      <c r="O295" s="129">
        <f>IF($E295="","",$L295-$N295)</f>
        <v/>
      </c>
      <c r="P295" s="129">
        <f>IF($E295="","",COUNTIF(EMP_Livre,$E295))</f>
        <v/>
      </c>
      <c r="Q295" s="130">
        <f>IF($E295="","",IF($O295&lt;=0,"Indisponible",IF(AND($O295=1,$L295&gt;1),"Dernier exemplaire","Disponible")))</f>
        <v/>
      </c>
      <c r="S295">
        <f>IF($E295="","",$P295+ROW()/100000)</f>
        <v/>
      </c>
      <c r="T295">
        <f>IF(OR(Q_Rech="",$E295=""),"",IF(ISNUMBER(SEARCH(Q_Rech,$E295&amp;" "&amp;$F295&amp;" "&amp;$G295&amp;" "&amp;$H295&amp;" "&amp;$I295)),COUNT($T$6:$T294)+1,""))</f>
        <v/>
      </c>
      <c r="U295">
        <f>IF($E295="","",IF(COUNTIFS(EMP_Livre,$E295,EMP_Date,"&gt;="&amp;R_Mois,EMP_Date,"&lt;"&amp;EDATE(R_Mois,1))=0,"",COUNTIFS(EMP_Livre,$E295,EMP_Date,"&gt;="&amp;R_Mois,EMP_Date,"&lt;"&amp;EDATE(R_Mois,1))+ROW()/100000))</f>
        <v/>
      </c>
    </row>
    <row r="296" ht="21" customHeight="1">
      <c r="A296" s="1" t="n"/>
      <c r="B296" s="1" t="n"/>
      <c r="C296" s="2" t="n"/>
      <c r="E296" s="127" t="n"/>
      <c r="F296" s="127" t="n"/>
      <c r="G296" s="127" t="n"/>
      <c r="H296" s="127" t="n"/>
      <c r="I296" s="127" t="n"/>
      <c r="J296" s="127" t="n"/>
      <c r="K296" s="128" t="n"/>
      <c r="L296" s="128" t="n"/>
      <c r="M296" s="127" t="n"/>
      <c r="N296" s="129">
        <f>IF($E296="","",COUNTIFS(EMP_Livre,$E296,EMP_Retour,""))</f>
        <v/>
      </c>
      <c r="O296" s="129">
        <f>IF($E296="","",$L296-$N296)</f>
        <v/>
      </c>
      <c r="P296" s="129">
        <f>IF($E296="","",COUNTIF(EMP_Livre,$E296))</f>
        <v/>
      </c>
      <c r="Q296" s="130">
        <f>IF($E296="","",IF($O296&lt;=0,"Indisponible",IF(AND($O296=1,$L296&gt;1),"Dernier exemplaire","Disponible")))</f>
        <v/>
      </c>
      <c r="S296">
        <f>IF($E296="","",$P296+ROW()/100000)</f>
        <v/>
      </c>
      <c r="T296">
        <f>IF(OR(Q_Rech="",$E296=""),"",IF(ISNUMBER(SEARCH(Q_Rech,$E296&amp;" "&amp;$F296&amp;" "&amp;$G296&amp;" "&amp;$H296&amp;" "&amp;$I296)),COUNT($T$6:$T295)+1,""))</f>
        <v/>
      </c>
      <c r="U296">
        <f>IF($E296="","",IF(COUNTIFS(EMP_Livre,$E296,EMP_Date,"&gt;="&amp;R_Mois,EMP_Date,"&lt;"&amp;EDATE(R_Mois,1))=0,"",COUNTIFS(EMP_Livre,$E296,EMP_Date,"&gt;="&amp;R_Mois,EMP_Date,"&lt;"&amp;EDATE(R_Mois,1))+ROW()/100000))</f>
        <v/>
      </c>
    </row>
    <row r="297" ht="21" customHeight="1">
      <c r="A297" s="1" t="n"/>
      <c r="B297" s="1" t="n"/>
      <c r="C297" s="2" t="n"/>
      <c r="E297" s="127" t="n"/>
      <c r="F297" s="127" t="n"/>
      <c r="G297" s="127" t="n"/>
      <c r="H297" s="127" t="n"/>
      <c r="I297" s="127" t="n"/>
      <c r="J297" s="127" t="n"/>
      <c r="K297" s="128" t="n"/>
      <c r="L297" s="128" t="n"/>
      <c r="M297" s="127" t="n"/>
      <c r="N297" s="129">
        <f>IF($E297="","",COUNTIFS(EMP_Livre,$E297,EMP_Retour,""))</f>
        <v/>
      </c>
      <c r="O297" s="129">
        <f>IF($E297="","",$L297-$N297)</f>
        <v/>
      </c>
      <c r="P297" s="129">
        <f>IF($E297="","",COUNTIF(EMP_Livre,$E297))</f>
        <v/>
      </c>
      <c r="Q297" s="130">
        <f>IF($E297="","",IF($O297&lt;=0,"Indisponible",IF(AND($O297=1,$L297&gt;1),"Dernier exemplaire","Disponible")))</f>
        <v/>
      </c>
      <c r="S297">
        <f>IF($E297="","",$P297+ROW()/100000)</f>
        <v/>
      </c>
      <c r="T297">
        <f>IF(OR(Q_Rech="",$E297=""),"",IF(ISNUMBER(SEARCH(Q_Rech,$E297&amp;" "&amp;$F297&amp;" "&amp;$G297&amp;" "&amp;$H297&amp;" "&amp;$I297)),COUNT($T$6:$T296)+1,""))</f>
        <v/>
      </c>
      <c r="U297">
        <f>IF($E297="","",IF(COUNTIFS(EMP_Livre,$E297,EMP_Date,"&gt;="&amp;R_Mois,EMP_Date,"&lt;"&amp;EDATE(R_Mois,1))=0,"",COUNTIFS(EMP_Livre,$E297,EMP_Date,"&gt;="&amp;R_Mois,EMP_Date,"&lt;"&amp;EDATE(R_Mois,1))+ROW()/100000))</f>
        <v/>
      </c>
    </row>
    <row r="298" ht="21" customHeight="1">
      <c r="A298" s="1" t="n"/>
      <c r="B298" s="1" t="n"/>
      <c r="C298" s="2" t="n"/>
      <c r="E298" s="127" t="n"/>
      <c r="F298" s="127" t="n"/>
      <c r="G298" s="127" t="n"/>
      <c r="H298" s="127" t="n"/>
      <c r="I298" s="127" t="n"/>
      <c r="J298" s="127" t="n"/>
      <c r="K298" s="128" t="n"/>
      <c r="L298" s="128" t="n"/>
      <c r="M298" s="127" t="n"/>
      <c r="N298" s="129">
        <f>IF($E298="","",COUNTIFS(EMP_Livre,$E298,EMP_Retour,""))</f>
        <v/>
      </c>
      <c r="O298" s="129">
        <f>IF($E298="","",$L298-$N298)</f>
        <v/>
      </c>
      <c r="P298" s="129">
        <f>IF($E298="","",COUNTIF(EMP_Livre,$E298))</f>
        <v/>
      </c>
      <c r="Q298" s="130">
        <f>IF($E298="","",IF($O298&lt;=0,"Indisponible",IF(AND($O298=1,$L298&gt;1),"Dernier exemplaire","Disponible")))</f>
        <v/>
      </c>
      <c r="S298">
        <f>IF($E298="","",$P298+ROW()/100000)</f>
        <v/>
      </c>
      <c r="T298">
        <f>IF(OR(Q_Rech="",$E298=""),"",IF(ISNUMBER(SEARCH(Q_Rech,$E298&amp;" "&amp;$F298&amp;" "&amp;$G298&amp;" "&amp;$H298&amp;" "&amp;$I298)),COUNT($T$6:$T297)+1,""))</f>
        <v/>
      </c>
      <c r="U298">
        <f>IF($E298="","",IF(COUNTIFS(EMP_Livre,$E298,EMP_Date,"&gt;="&amp;R_Mois,EMP_Date,"&lt;"&amp;EDATE(R_Mois,1))=0,"",COUNTIFS(EMP_Livre,$E298,EMP_Date,"&gt;="&amp;R_Mois,EMP_Date,"&lt;"&amp;EDATE(R_Mois,1))+ROW()/100000))</f>
        <v/>
      </c>
    </row>
    <row r="299" ht="21" customHeight="1">
      <c r="A299" s="1" t="n"/>
      <c r="B299" s="1" t="n"/>
      <c r="C299" s="2" t="n"/>
      <c r="E299" s="127" t="n"/>
      <c r="F299" s="127" t="n"/>
      <c r="G299" s="127" t="n"/>
      <c r="H299" s="127" t="n"/>
      <c r="I299" s="127" t="n"/>
      <c r="J299" s="127" t="n"/>
      <c r="K299" s="128" t="n"/>
      <c r="L299" s="128" t="n"/>
      <c r="M299" s="127" t="n"/>
      <c r="N299" s="129">
        <f>IF($E299="","",COUNTIFS(EMP_Livre,$E299,EMP_Retour,""))</f>
        <v/>
      </c>
      <c r="O299" s="129">
        <f>IF($E299="","",$L299-$N299)</f>
        <v/>
      </c>
      <c r="P299" s="129">
        <f>IF($E299="","",COUNTIF(EMP_Livre,$E299))</f>
        <v/>
      </c>
      <c r="Q299" s="130">
        <f>IF($E299="","",IF($O299&lt;=0,"Indisponible",IF(AND($O299=1,$L299&gt;1),"Dernier exemplaire","Disponible")))</f>
        <v/>
      </c>
      <c r="S299">
        <f>IF($E299="","",$P299+ROW()/100000)</f>
        <v/>
      </c>
      <c r="T299">
        <f>IF(OR(Q_Rech="",$E299=""),"",IF(ISNUMBER(SEARCH(Q_Rech,$E299&amp;" "&amp;$F299&amp;" "&amp;$G299&amp;" "&amp;$H299&amp;" "&amp;$I299)),COUNT($T$6:$T298)+1,""))</f>
        <v/>
      </c>
      <c r="U299">
        <f>IF($E299="","",IF(COUNTIFS(EMP_Livre,$E299,EMP_Date,"&gt;="&amp;R_Mois,EMP_Date,"&lt;"&amp;EDATE(R_Mois,1))=0,"",COUNTIFS(EMP_Livre,$E299,EMP_Date,"&gt;="&amp;R_Mois,EMP_Date,"&lt;"&amp;EDATE(R_Mois,1))+ROW()/100000))</f>
        <v/>
      </c>
    </row>
    <row r="300" ht="21" customHeight="1">
      <c r="A300" s="1" t="n"/>
      <c r="B300" s="1" t="n"/>
      <c r="C300" s="2" t="n"/>
      <c r="E300" s="127" t="n"/>
      <c r="F300" s="127" t="n"/>
      <c r="G300" s="127" t="n"/>
      <c r="H300" s="127" t="n"/>
      <c r="I300" s="127" t="n"/>
      <c r="J300" s="127" t="n"/>
      <c r="K300" s="128" t="n"/>
      <c r="L300" s="128" t="n"/>
      <c r="M300" s="127" t="n"/>
      <c r="N300" s="129">
        <f>IF($E300="","",COUNTIFS(EMP_Livre,$E300,EMP_Retour,""))</f>
        <v/>
      </c>
      <c r="O300" s="129">
        <f>IF($E300="","",$L300-$N300)</f>
        <v/>
      </c>
      <c r="P300" s="129">
        <f>IF($E300="","",COUNTIF(EMP_Livre,$E300))</f>
        <v/>
      </c>
      <c r="Q300" s="130">
        <f>IF($E300="","",IF($O300&lt;=0,"Indisponible",IF(AND($O300=1,$L300&gt;1),"Dernier exemplaire","Disponible")))</f>
        <v/>
      </c>
      <c r="S300">
        <f>IF($E300="","",$P300+ROW()/100000)</f>
        <v/>
      </c>
      <c r="T300">
        <f>IF(OR(Q_Rech="",$E300=""),"",IF(ISNUMBER(SEARCH(Q_Rech,$E300&amp;" "&amp;$F300&amp;" "&amp;$G300&amp;" "&amp;$H300&amp;" "&amp;$I300)),COUNT($T$6:$T299)+1,""))</f>
        <v/>
      </c>
      <c r="U300">
        <f>IF($E300="","",IF(COUNTIFS(EMP_Livre,$E300,EMP_Date,"&gt;="&amp;R_Mois,EMP_Date,"&lt;"&amp;EDATE(R_Mois,1))=0,"",COUNTIFS(EMP_Livre,$E300,EMP_Date,"&gt;="&amp;R_Mois,EMP_Date,"&lt;"&amp;EDATE(R_Mois,1))+ROW()/100000))</f>
        <v/>
      </c>
    </row>
    <row r="301" ht="21" customHeight="1">
      <c r="A301" s="1" t="n"/>
      <c r="B301" s="1" t="n"/>
      <c r="C301" s="2" t="n"/>
      <c r="E301" s="127" t="n"/>
      <c r="F301" s="127" t="n"/>
      <c r="G301" s="127" t="n"/>
      <c r="H301" s="127" t="n"/>
      <c r="I301" s="127" t="n"/>
      <c r="J301" s="127" t="n"/>
      <c r="K301" s="128" t="n"/>
      <c r="L301" s="128" t="n"/>
      <c r="M301" s="127" t="n"/>
      <c r="N301" s="129">
        <f>IF($E301="","",COUNTIFS(EMP_Livre,$E301,EMP_Retour,""))</f>
        <v/>
      </c>
      <c r="O301" s="129">
        <f>IF($E301="","",$L301-$N301)</f>
        <v/>
      </c>
      <c r="P301" s="129">
        <f>IF($E301="","",COUNTIF(EMP_Livre,$E301))</f>
        <v/>
      </c>
      <c r="Q301" s="130">
        <f>IF($E301="","",IF($O301&lt;=0,"Indisponible",IF(AND($O301=1,$L301&gt;1),"Dernier exemplaire","Disponible")))</f>
        <v/>
      </c>
      <c r="S301">
        <f>IF($E301="","",$P301+ROW()/100000)</f>
        <v/>
      </c>
      <c r="T301">
        <f>IF(OR(Q_Rech="",$E301=""),"",IF(ISNUMBER(SEARCH(Q_Rech,$E301&amp;" "&amp;$F301&amp;" "&amp;$G301&amp;" "&amp;$H301&amp;" "&amp;$I301)),COUNT($T$6:$T300)+1,""))</f>
        <v/>
      </c>
      <c r="U301">
        <f>IF($E301="","",IF(COUNTIFS(EMP_Livre,$E301,EMP_Date,"&gt;="&amp;R_Mois,EMP_Date,"&lt;"&amp;EDATE(R_Mois,1))=0,"",COUNTIFS(EMP_Livre,$E301,EMP_Date,"&gt;="&amp;R_Mois,EMP_Date,"&lt;"&amp;EDATE(R_Mois,1))+ROW()/100000))</f>
        <v/>
      </c>
    </row>
    <row r="302" ht="21" customHeight="1">
      <c r="A302" s="1" t="n"/>
      <c r="B302" s="1" t="n"/>
      <c r="C302" s="2" t="n"/>
      <c r="E302" s="127" t="n"/>
      <c r="F302" s="127" t="n"/>
      <c r="G302" s="127" t="n"/>
      <c r="H302" s="127" t="n"/>
      <c r="I302" s="127" t="n"/>
      <c r="J302" s="127" t="n"/>
      <c r="K302" s="128" t="n"/>
      <c r="L302" s="128" t="n"/>
      <c r="M302" s="127" t="n"/>
      <c r="N302" s="129">
        <f>IF($E302="","",COUNTIFS(EMP_Livre,$E302,EMP_Retour,""))</f>
        <v/>
      </c>
      <c r="O302" s="129">
        <f>IF($E302="","",$L302-$N302)</f>
        <v/>
      </c>
      <c r="P302" s="129">
        <f>IF($E302="","",COUNTIF(EMP_Livre,$E302))</f>
        <v/>
      </c>
      <c r="Q302" s="130">
        <f>IF($E302="","",IF($O302&lt;=0,"Indisponible",IF(AND($O302=1,$L302&gt;1),"Dernier exemplaire","Disponible")))</f>
        <v/>
      </c>
      <c r="S302">
        <f>IF($E302="","",$P302+ROW()/100000)</f>
        <v/>
      </c>
      <c r="T302">
        <f>IF(OR(Q_Rech="",$E302=""),"",IF(ISNUMBER(SEARCH(Q_Rech,$E302&amp;" "&amp;$F302&amp;" "&amp;$G302&amp;" "&amp;$H302&amp;" "&amp;$I302)),COUNT($T$6:$T301)+1,""))</f>
        <v/>
      </c>
      <c r="U302">
        <f>IF($E302="","",IF(COUNTIFS(EMP_Livre,$E302,EMP_Date,"&gt;="&amp;R_Mois,EMP_Date,"&lt;"&amp;EDATE(R_Mois,1))=0,"",COUNTIFS(EMP_Livre,$E302,EMP_Date,"&gt;="&amp;R_Mois,EMP_Date,"&lt;"&amp;EDATE(R_Mois,1))+ROW()/100000))</f>
        <v/>
      </c>
    </row>
    <row r="303" ht="21" customHeight="1">
      <c r="A303" s="1" t="n"/>
      <c r="B303" s="1" t="n"/>
      <c r="C303" s="2" t="n"/>
      <c r="E303" s="127" t="n"/>
      <c r="F303" s="127" t="n"/>
      <c r="G303" s="127" t="n"/>
      <c r="H303" s="127" t="n"/>
      <c r="I303" s="127" t="n"/>
      <c r="J303" s="127" t="n"/>
      <c r="K303" s="128" t="n"/>
      <c r="L303" s="128" t="n"/>
      <c r="M303" s="127" t="n"/>
      <c r="N303" s="129">
        <f>IF($E303="","",COUNTIFS(EMP_Livre,$E303,EMP_Retour,""))</f>
        <v/>
      </c>
      <c r="O303" s="129">
        <f>IF($E303="","",$L303-$N303)</f>
        <v/>
      </c>
      <c r="P303" s="129">
        <f>IF($E303="","",COUNTIF(EMP_Livre,$E303))</f>
        <v/>
      </c>
      <c r="Q303" s="130">
        <f>IF($E303="","",IF($O303&lt;=0,"Indisponible",IF(AND($O303=1,$L303&gt;1),"Dernier exemplaire","Disponible")))</f>
        <v/>
      </c>
      <c r="S303">
        <f>IF($E303="","",$P303+ROW()/100000)</f>
        <v/>
      </c>
      <c r="T303">
        <f>IF(OR(Q_Rech="",$E303=""),"",IF(ISNUMBER(SEARCH(Q_Rech,$E303&amp;" "&amp;$F303&amp;" "&amp;$G303&amp;" "&amp;$H303&amp;" "&amp;$I303)),COUNT($T$6:$T302)+1,""))</f>
        <v/>
      </c>
      <c r="U303">
        <f>IF($E303="","",IF(COUNTIFS(EMP_Livre,$E303,EMP_Date,"&gt;="&amp;R_Mois,EMP_Date,"&lt;"&amp;EDATE(R_Mois,1))=0,"",COUNTIFS(EMP_Livre,$E303,EMP_Date,"&gt;="&amp;R_Mois,EMP_Date,"&lt;"&amp;EDATE(R_Mois,1))+ROW()/100000))</f>
        <v/>
      </c>
    </row>
    <row r="304" ht="21" customHeight="1">
      <c r="A304" s="1" t="n"/>
      <c r="B304" s="1" t="n"/>
      <c r="C304" s="2" t="n"/>
      <c r="E304" s="127" t="n"/>
      <c r="F304" s="127" t="n"/>
      <c r="G304" s="127" t="n"/>
      <c r="H304" s="127" t="n"/>
      <c r="I304" s="127" t="n"/>
      <c r="J304" s="127" t="n"/>
      <c r="K304" s="128" t="n"/>
      <c r="L304" s="128" t="n"/>
      <c r="M304" s="127" t="n"/>
      <c r="N304" s="129">
        <f>IF($E304="","",COUNTIFS(EMP_Livre,$E304,EMP_Retour,""))</f>
        <v/>
      </c>
      <c r="O304" s="129">
        <f>IF($E304="","",$L304-$N304)</f>
        <v/>
      </c>
      <c r="P304" s="129">
        <f>IF($E304="","",COUNTIF(EMP_Livre,$E304))</f>
        <v/>
      </c>
      <c r="Q304" s="130">
        <f>IF($E304="","",IF($O304&lt;=0,"Indisponible",IF(AND($O304=1,$L304&gt;1),"Dernier exemplaire","Disponible")))</f>
        <v/>
      </c>
      <c r="S304">
        <f>IF($E304="","",$P304+ROW()/100000)</f>
        <v/>
      </c>
      <c r="T304">
        <f>IF(OR(Q_Rech="",$E304=""),"",IF(ISNUMBER(SEARCH(Q_Rech,$E304&amp;" "&amp;$F304&amp;" "&amp;$G304&amp;" "&amp;$H304&amp;" "&amp;$I304)),COUNT($T$6:$T303)+1,""))</f>
        <v/>
      </c>
      <c r="U304">
        <f>IF($E304="","",IF(COUNTIFS(EMP_Livre,$E304,EMP_Date,"&gt;="&amp;R_Mois,EMP_Date,"&lt;"&amp;EDATE(R_Mois,1))=0,"",COUNTIFS(EMP_Livre,$E304,EMP_Date,"&gt;="&amp;R_Mois,EMP_Date,"&lt;"&amp;EDATE(R_Mois,1))+ROW()/100000))</f>
        <v/>
      </c>
    </row>
    <row r="305" ht="21" customHeight="1">
      <c r="A305" s="1" t="n"/>
      <c r="B305" s="1" t="n"/>
      <c r="C305" s="2" t="n"/>
      <c r="E305" s="127" t="n"/>
      <c r="F305" s="127" t="n"/>
      <c r="G305" s="127" t="n"/>
      <c r="H305" s="127" t="n"/>
      <c r="I305" s="127" t="n"/>
      <c r="J305" s="127" t="n"/>
      <c r="K305" s="128" t="n"/>
      <c r="L305" s="128" t="n"/>
      <c r="M305" s="127" t="n"/>
      <c r="N305" s="129">
        <f>IF($E305="","",COUNTIFS(EMP_Livre,$E305,EMP_Retour,""))</f>
        <v/>
      </c>
      <c r="O305" s="129">
        <f>IF($E305="","",$L305-$N305)</f>
        <v/>
      </c>
      <c r="P305" s="129">
        <f>IF($E305="","",COUNTIF(EMP_Livre,$E305))</f>
        <v/>
      </c>
      <c r="Q305" s="130">
        <f>IF($E305="","",IF($O305&lt;=0,"Indisponible",IF(AND($O305=1,$L305&gt;1),"Dernier exemplaire","Disponible")))</f>
        <v/>
      </c>
      <c r="S305">
        <f>IF($E305="","",$P305+ROW()/100000)</f>
        <v/>
      </c>
      <c r="T305">
        <f>IF(OR(Q_Rech="",$E305=""),"",IF(ISNUMBER(SEARCH(Q_Rech,$E305&amp;" "&amp;$F305&amp;" "&amp;$G305&amp;" "&amp;$H305&amp;" "&amp;$I305)),COUNT($T$6:$T304)+1,""))</f>
        <v/>
      </c>
      <c r="U305">
        <f>IF($E305="","",IF(COUNTIFS(EMP_Livre,$E305,EMP_Date,"&gt;="&amp;R_Mois,EMP_Date,"&lt;"&amp;EDATE(R_Mois,1))=0,"",COUNTIFS(EMP_Livre,$E305,EMP_Date,"&gt;="&amp;R_Mois,EMP_Date,"&lt;"&amp;EDATE(R_Mois,1))+ROW()/100000))</f>
        <v/>
      </c>
    </row>
    <row r="306" ht="21" customHeight="1">
      <c r="A306" s="1" t="n"/>
      <c r="B306" s="1" t="n"/>
      <c r="C306" s="2" t="n"/>
      <c r="E306" s="127" t="n"/>
      <c r="F306" s="127" t="n"/>
      <c r="G306" s="127" t="n"/>
      <c r="H306" s="127" t="n"/>
      <c r="I306" s="127" t="n"/>
      <c r="J306" s="127" t="n"/>
      <c r="K306" s="128" t="n"/>
      <c r="L306" s="128" t="n"/>
      <c r="M306" s="127" t="n"/>
      <c r="N306" s="129">
        <f>IF($E306="","",COUNTIFS(EMP_Livre,$E306,EMP_Retour,""))</f>
        <v/>
      </c>
      <c r="O306" s="129">
        <f>IF($E306="","",$L306-$N306)</f>
        <v/>
      </c>
      <c r="P306" s="129">
        <f>IF($E306="","",COUNTIF(EMP_Livre,$E306))</f>
        <v/>
      </c>
      <c r="Q306" s="130">
        <f>IF($E306="","",IF($O306&lt;=0,"Indisponible",IF(AND($O306=1,$L306&gt;1),"Dernier exemplaire","Disponible")))</f>
        <v/>
      </c>
      <c r="S306">
        <f>IF($E306="","",$P306+ROW()/100000)</f>
        <v/>
      </c>
      <c r="T306">
        <f>IF(OR(Q_Rech="",$E306=""),"",IF(ISNUMBER(SEARCH(Q_Rech,$E306&amp;" "&amp;$F306&amp;" "&amp;$G306&amp;" "&amp;$H306&amp;" "&amp;$I306)),COUNT($T$6:$T305)+1,""))</f>
        <v/>
      </c>
      <c r="U306">
        <f>IF($E306="","",IF(COUNTIFS(EMP_Livre,$E306,EMP_Date,"&gt;="&amp;R_Mois,EMP_Date,"&lt;"&amp;EDATE(R_Mois,1))=0,"",COUNTIFS(EMP_Livre,$E306,EMP_Date,"&gt;="&amp;R_Mois,EMP_Date,"&lt;"&amp;EDATE(R_Mois,1))+ROW()/100000))</f>
        <v/>
      </c>
    </row>
    <row r="307">
      <c r="A307" s="1" t="n"/>
      <c r="B307" s="1" t="n"/>
      <c r="C307" s="2" t="n"/>
    </row>
    <row r="308">
      <c r="A308" s="1" t="n"/>
      <c r="B308" s="1" t="n"/>
      <c r="C308" s="2" t="n"/>
    </row>
  </sheetData>
  <autoFilter ref="E6:Q306"/>
  <mergeCells count="15">
    <mergeCell ref="B13:C13"/>
    <mergeCell ref="G4:H4"/>
    <mergeCell ref="E4:F4"/>
    <mergeCell ref="B16:C16"/>
    <mergeCell ref="I4:J4"/>
    <mergeCell ref="B15:C15"/>
    <mergeCell ref="B11:C11"/>
    <mergeCell ref="K4:L4"/>
    <mergeCell ref="N2:O2"/>
    <mergeCell ref="B10:C10"/>
    <mergeCell ref="P2:Q2"/>
    <mergeCell ref="B14:C14"/>
    <mergeCell ref="B9:C9"/>
    <mergeCell ref="B8:C8"/>
    <mergeCell ref="B12:C12"/>
  </mergeCells>
  <conditionalFormatting sqref="Q7:Q306">
    <cfRule type="expression" priority="1" dxfId="2" stopIfTrue="1">
      <formula>OR($Q7="Disponible",$Q7="Rendu",$Q7="En stock",$Q7="Actif",$Q7="Entrée",$Q7="Oui")</formula>
    </cfRule>
    <cfRule type="expression" priority="2" dxfId="3" stopIfTrue="1">
      <formula>OR($Q7="En retard",$Q7="Rupture",$Q7="Indisponible",$Q7="Non")</formula>
    </cfRule>
    <cfRule type="expression" priority="3" dxfId="4" stopIfTrue="1">
      <formula>OR($Q7="Stock faible",$Q7="Dernier exemplaire",$Q7="Rendu en retard",$Q7="Limite atteinte",$Q7="Sortie")</formula>
    </cfRule>
    <cfRule type="expression" priority="4" dxfId="5" stopIfTrue="1">
      <formula>OR($Q7="En cours")</formula>
    </cfRule>
  </conditionalFormatting>
  <conditionalFormatting sqref="E7:Q306">
    <cfRule type="expression" priority="5" dxfId="6">
      <formula>AND($E7&lt;&gt;"",MOD(ROW(),2)=0)</formula>
    </cfRule>
  </conditionalFormatting>
  <dataValidations count="2">
    <dataValidation sqref="I7:I306" showDropDown="0" showInputMessage="0" showErrorMessage="1" allowBlank="1" errorTitle="Valeur non valide" error="Choisissez une catégorie de la liste (modifiable dans Paramètres)." type="list">
      <formula1>=L_CatLivres</formula1>
    </dataValidation>
    <dataValidation sqref="L7:L306" showDropDown="0" showInputMessage="0" showErrorMessage="1" allowBlank="1" errorTitle="Nombre non valide" error="Saisissez un nombre entier ≥ 0." type="whole" operator="greaterThanOrEqual">
      <formula1>0</formula1>
    </dataValidation>
  </dataValidations>
  <pageMargins left="0.75" right="0.75" top="1" bottom="1"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tabColor rgb="0039B54A"/>
    <outlinePr summaryBelow="1" summaryRight="1"/>
    <pageSetUpPr fitToPage="1"/>
  </sheetPr>
  <dimension ref="A1:P308"/>
  <sheetViews>
    <sheetView showGridLines="0" zoomScale="100" workbookViewId="0">
      <pane xSplit="4" ySplit="6" topLeftCell="E7" activePane="bottomRight" state="frozen"/>
      <selection pane="topRight"/>
      <selection pane="bottomLeft"/>
      <selection pane="bottomRight" activeCell="A1" sqref="A1"/>
    </sheetView>
  </sheetViews>
  <sheetFormatPr baseColWidth="8" defaultRowHeight="15"/>
  <cols>
    <col width="1" customWidth="1" min="1" max="1"/>
    <col width="23" customWidth="1" min="2" max="2"/>
    <col width="12" customWidth="1" min="3" max="3"/>
    <col width="3" customWidth="1" min="4" max="4"/>
    <col width="12" customWidth="1" min="5" max="5"/>
    <col width="28" customWidth="1" min="6" max="6"/>
    <col width="13" customWidth="1" min="7" max="7"/>
    <col width="17" customWidth="1" min="8" max="8"/>
    <col width="7" customWidth="1" min="9" max="9"/>
    <col width="15" customWidth="1" min="10" max="10"/>
    <col width="13" customWidth="1" min="11" max="11"/>
    <col width="11" customWidth="1" min="12" max="12"/>
    <col width="14" customWidth="1" min="13" max="13"/>
    <col width="17" customWidth="1" min="14" max="14"/>
    <col width="3" customWidth="1" min="15" max="15"/>
    <col hidden="1" width="13" customWidth="1" min="16" max="16"/>
  </cols>
  <sheetData>
    <row r="1" ht="8" customHeight="1">
      <c r="A1" s="1" t="n"/>
      <c r="B1" s="1" t="n"/>
      <c r="C1" s="2" t="n"/>
    </row>
    <row r="2" ht="32" customHeight="1">
      <c r="A2" s="1" t="n"/>
      <c r="B2" s="1" t="n"/>
      <c r="C2" s="2" t="n"/>
      <c r="E2" s="113" t="inlineStr">
        <is>
          <t>👥  Membres</t>
        </is>
      </c>
      <c r="K2" s="114">
        <f>HYPERLINK("#'Tableau de bord'!A1","⌂  Tableau de bord")</f>
        <v/>
      </c>
      <c r="L2" s="115" t="n"/>
      <c r="M2" s="116">
        <f>HYPERLINK("#'Membres'!E"&amp;(7+COUNTIF(MEM_ID,"?*")),"＋  Nouveau membre")</f>
        <v/>
      </c>
      <c r="N2" s="117" t="n"/>
    </row>
    <row r="3" ht="18" customHeight="1">
      <c r="A3" s="1" t="n"/>
      <c r="B3" s="1" t="n"/>
      <c r="C3" s="2" t="n"/>
      <c r="E3" s="118" t="inlineStr">
        <is>
          <t>Élèves, enseignants et personnel inscrits à la bibliothèque.</t>
        </is>
      </c>
    </row>
    <row r="4" ht="26" customHeight="1">
      <c r="A4" s="1" t="n"/>
      <c r="B4" s="1" t="n"/>
      <c r="C4" s="2" t="n"/>
      <c r="E4" s="119">
        <f>COUNTIF(MEM_ID,"?*")&amp;" membres"</f>
        <v/>
      </c>
      <c r="F4" s="120" t="n"/>
      <c r="G4" s="119">
        <f>COUNTIF(MEM_Type,"Élève")&amp;" élèves"</f>
        <v/>
      </c>
      <c r="H4" s="120" t="n"/>
      <c r="I4" s="119">
        <f>COUNTIF(MEM_Type,"Enseignant")&amp;" enseignants"</f>
        <v/>
      </c>
      <c r="J4" s="120" t="n"/>
      <c r="K4" s="131">
        <f>COUNTIF(MEM_Statut,"En retard")&amp;" en retard"</f>
        <v/>
      </c>
      <c r="L4" s="132" t="n"/>
    </row>
    <row r="5" ht="10" customHeight="1">
      <c r="A5" s="1" t="n"/>
      <c r="B5" s="1" t="n"/>
      <c r="C5" s="2" t="n"/>
    </row>
    <row r="6" ht="30" customHeight="1">
      <c r="A6" s="1" t="n"/>
      <c r="B6" s="1" t="n"/>
      <c r="C6" s="2" t="n"/>
      <c r="E6" s="124" t="inlineStr">
        <is>
          <t>ID membre</t>
        </is>
      </c>
      <c r="F6" s="124" t="inlineStr">
        <is>
          <t>Nom complet</t>
        </is>
      </c>
      <c r="G6" s="124" t="inlineStr">
        <is>
          <t>Type</t>
        </is>
      </c>
      <c r="H6" s="124" t="inlineStr">
        <is>
          <t>Classe</t>
        </is>
      </c>
      <c r="I6" s="124" t="inlineStr">
        <is>
          <t>Sexe</t>
        </is>
      </c>
      <c r="J6" s="124" t="inlineStr">
        <is>
          <t>Date d'inscription</t>
        </is>
      </c>
      <c r="K6" s="126" t="inlineStr">
        <is>
          <t>Emprunts en cours</t>
        </is>
      </c>
      <c r="L6" s="126" t="inlineStr">
        <is>
          <t>En retard</t>
        </is>
      </c>
      <c r="M6" s="126" t="inlineStr">
        <is>
          <t>Amendes dues</t>
        </is>
      </c>
      <c r="N6" s="126" t="inlineStr">
        <is>
          <t>Statut</t>
        </is>
      </c>
    </row>
    <row r="7" ht="21" customHeight="1">
      <c r="A7" s="1" t="n"/>
      <c r="B7" s="1" t="n"/>
      <c r="C7" s="2" t="n"/>
      <c r="E7" s="127" t="inlineStr">
        <is>
          <t>MEM-001</t>
        </is>
      </c>
      <c r="F7" s="127" t="inlineStr">
        <is>
          <t>Naomie Kambale</t>
        </is>
      </c>
      <c r="G7" s="127" t="inlineStr">
        <is>
          <t>Élève</t>
        </is>
      </c>
      <c r="H7" s="127" t="inlineStr">
        <is>
          <t>1ère Primaire</t>
        </is>
      </c>
      <c r="I7" s="133" t="inlineStr">
        <is>
          <t>F</t>
        </is>
      </c>
      <c r="J7" s="134" t="n">
        <v>45909</v>
      </c>
      <c r="K7" s="129">
        <f>IF($E7="","",COUNTIFS(EMP_Membre,$E7,EMP_Retour,""))</f>
        <v/>
      </c>
      <c r="L7" s="129">
        <f>IF($E7="","",COUNTIFS(EMP_Membre,$E7,EMP_Statut,"En retard"))</f>
        <v/>
      </c>
      <c r="M7" s="135">
        <f>IF($E7="","",SUMIFS(EMP_Amende,EMP_Membre,$E7,EMP_Paye,"&lt;&gt;Oui"))</f>
        <v/>
      </c>
      <c r="N7" s="130">
        <f>IF($E7="","",IF($L7&gt;0,"En retard",IF($K7&gt;=P_Max,"Limite atteinte","Actif")))</f>
        <v/>
      </c>
      <c r="P7">
        <f>IF(OR(Q_Rech="",$E7=""),"",IF(ISNUMBER(SEARCH(Q_Rech,$E7&amp;" "&amp;$F7&amp;" "&amp;$H7)),COUNT($P$6:$P6)+1,""))</f>
        <v/>
      </c>
    </row>
    <row r="8" ht="21" customHeight="1">
      <c r="A8" s="1" t="n"/>
      <c r="B8" s="53">
        <f>HYPERLINK("#'Tableau de bord'!A1","▦   Tableau de bord")</f>
        <v/>
      </c>
      <c r="C8" s="54" t="n"/>
      <c r="E8" s="127" t="inlineStr">
        <is>
          <t>MEM-002</t>
        </is>
      </c>
      <c r="F8" s="127" t="inlineStr">
        <is>
          <t>Caleb Byamungu</t>
        </is>
      </c>
      <c r="G8" s="127" t="inlineStr">
        <is>
          <t>Élève</t>
        </is>
      </c>
      <c r="H8" s="127" t="inlineStr">
        <is>
          <t>2ème Primaire</t>
        </is>
      </c>
      <c r="I8" s="133" t="inlineStr">
        <is>
          <t>M</t>
        </is>
      </c>
      <c r="J8" s="134" t="n">
        <v>45907</v>
      </c>
      <c r="K8" s="129">
        <f>IF($E8="","",COUNTIFS(EMP_Membre,$E8,EMP_Retour,""))</f>
        <v/>
      </c>
      <c r="L8" s="129">
        <f>IF($E8="","",COUNTIFS(EMP_Membre,$E8,EMP_Statut,"En retard"))</f>
        <v/>
      </c>
      <c r="M8" s="135">
        <f>IF($E8="","",SUMIFS(EMP_Amende,EMP_Membre,$E8,EMP_Paye,"&lt;&gt;Oui"))</f>
        <v/>
      </c>
      <c r="N8" s="130">
        <f>IF($E8="","",IF($L8&gt;0,"En retard",IF($K8&gt;=P_Max,"Limite atteinte","Actif")))</f>
        <v/>
      </c>
      <c r="P8">
        <f>IF(OR(Q_Rech="",$E8=""),"",IF(ISNUMBER(SEARCH(Q_Rech,$E8&amp;" "&amp;$F8&amp;" "&amp;$H8)),COUNT($P$6:$P7)+1,""))</f>
        <v/>
      </c>
    </row>
    <row r="9" ht="21" customHeight="1">
      <c r="A9" s="1" t="n"/>
      <c r="B9" s="53">
        <f>HYPERLINK("#'Livres'!A1","📚   Livres")</f>
        <v/>
      </c>
      <c r="C9" s="54" t="n"/>
      <c r="E9" s="127" t="inlineStr">
        <is>
          <t>MEM-003</t>
        </is>
      </c>
      <c r="F9" s="127" t="inlineStr">
        <is>
          <t>Chancelle Mirindi</t>
        </is>
      </c>
      <c r="G9" s="127" t="inlineStr">
        <is>
          <t>Élève</t>
        </is>
      </c>
      <c r="H9" s="127" t="inlineStr">
        <is>
          <t>3ème Primaire</t>
        </is>
      </c>
      <c r="I9" s="133" t="inlineStr">
        <is>
          <t>F</t>
        </is>
      </c>
      <c r="J9" s="134" t="n">
        <v>45918</v>
      </c>
      <c r="K9" s="129">
        <f>IF($E9="","",COUNTIFS(EMP_Membre,$E9,EMP_Retour,""))</f>
        <v/>
      </c>
      <c r="L9" s="129">
        <f>IF($E9="","",COUNTIFS(EMP_Membre,$E9,EMP_Statut,"En retard"))</f>
        <v/>
      </c>
      <c r="M9" s="135">
        <f>IF($E9="","",SUMIFS(EMP_Amende,EMP_Membre,$E9,EMP_Paye,"&lt;&gt;Oui"))</f>
        <v/>
      </c>
      <c r="N9" s="130">
        <f>IF($E9="","",IF($L9&gt;0,"En retard",IF($K9&gt;=P_Max,"Limite atteinte","Actif")))</f>
        <v/>
      </c>
      <c r="P9">
        <f>IF(OR(Q_Rech="",$E9=""),"",IF(ISNUMBER(SEARCH(Q_Rech,$E9&amp;" "&amp;$F9&amp;" "&amp;$H9)),COUNT($P$6:$P8)+1,""))</f>
        <v/>
      </c>
    </row>
    <row r="10" ht="21" customHeight="1">
      <c r="A10" s="45" t="n"/>
      <c r="B10" s="46">
        <f>HYPERLINK("#'Membres'!A1","👥   Membres")</f>
        <v/>
      </c>
      <c r="C10" s="47" t="n"/>
      <c r="E10" s="127" t="inlineStr">
        <is>
          <t>MEM-004</t>
        </is>
      </c>
      <c r="F10" s="127" t="inlineStr">
        <is>
          <t>Amani Mirindi</t>
        </is>
      </c>
      <c r="G10" s="127" t="inlineStr">
        <is>
          <t>Élève</t>
        </is>
      </c>
      <c r="H10" s="127" t="inlineStr">
        <is>
          <t>4ème Primaire</t>
        </is>
      </c>
      <c r="I10" s="133" t="inlineStr">
        <is>
          <t>M</t>
        </is>
      </c>
      <c r="J10" s="134" t="n">
        <v>45905</v>
      </c>
      <c r="K10" s="129">
        <f>IF($E10="","",COUNTIFS(EMP_Membre,$E10,EMP_Retour,""))</f>
        <v/>
      </c>
      <c r="L10" s="129">
        <f>IF($E10="","",COUNTIFS(EMP_Membre,$E10,EMP_Statut,"En retard"))</f>
        <v/>
      </c>
      <c r="M10" s="135">
        <f>IF($E10="","",SUMIFS(EMP_Amende,EMP_Membre,$E10,EMP_Paye,"&lt;&gt;Oui"))</f>
        <v/>
      </c>
      <c r="N10" s="130">
        <f>IF($E10="","",IF($L10&gt;0,"En retard",IF($K10&gt;=P_Max,"Limite atteinte","Actif")))</f>
        <v/>
      </c>
      <c r="P10">
        <f>IF(OR(Q_Rech="",$E10=""),"",IF(ISNUMBER(SEARCH(Q_Rech,$E10&amp;" "&amp;$F10&amp;" "&amp;$H10)),COUNT($P$6:$P9)+1,""))</f>
        <v/>
      </c>
    </row>
    <row r="11" ht="21" customHeight="1">
      <c r="A11" s="1" t="n"/>
      <c r="B11" s="53">
        <f>HYPERLINK("#'Emprunts'!A1","🔄   Emprunts")</f>
        <v/>
      </c>
      <c r="C11" s="54" t="n"/>
      <c r="E11" s="127" t="inlineStr">
        <is>
          <t>MEM-005</t>
        </is>
      </c>
      <c r="F11" s="127" t="inlineStr">
        <is>
          <t>Merveille Balume</t>
        </is>
      </c>
      <c r="G11" s="127" t="inlineStr">
        <is>
          <t>Élève</t>
        </is>
      </c>
      <c r="H11" s="127" t="inlineStr">
        <is>
          <t>5ème Primaire</t>
        </is>
      </c>
      <c r="I11" s="133" t="inlineStr">
        <is>
          <t>F</t>
        </is>
      </c>
      <c r="J11" s="134" t="n">
        <v>45905</v>
      </c>
      <c r="K11" s="129">
        <f>IF($E11="","",COUNTIFS(EMP_Membre,$E11,EMP_Retour,""))</f>
        <v/>
      </c>
      <c r="L11" s="129">
        <f>IF($E11="","",COUNTIFS(EMP_Membre,$E11,EMP_Statut,"En retard"))</f>
        <v/>
      </c>
      <c r="M11" s="135">
        <f>IF($E11="","",SUMIFS(EMP_Amende,EMP_Membre,$E11,EMP_Paye,"&lt;&gt;Oui"))</f>
        <v/>
      </c>
      <c r="N11" s="130">
        <f>IF($E11="","",IF($L11&gt;0,"En retard",IF($K11&gt;=P_Max,"Limite atteinte","Actif")))</f>
        <v/>
      </c>
      <c r="P11">
        <f>IF(OR(Q_Rech="",$E11=""),"",IF(ISNUMBER(SEARCH(Q_Rech,$E11&amp;" "&amp;$F11&amp;" "&amp;$H11)),COUNT($P$6:$P10)+1,""))</f>
        <v/>
      </c>
    </row>
    <row r="12" ht="21" customHeight="1">
      <c r="A12" s="1" t="n"/>
      <c r="B12" s="53">
        <f>HYPERLINK("#'Fournitures'!A1","📦   Fournitures")</f>
        <v/>
      </c>
      <c r="C12" s="54" t="n"/>
      <c r="E12" s="127" t="inlineStr">
        <is>
          <t>MEM-006</t>
        </is>
      </c>
      <c r="F12" s="127" t="inlineStr">
        <is>
          <t>Esther Bisimwa</t>
        </is>
      </c>
      <c r="G12" s="127" t="inlineStr">
        <is>
          <t>Élève</t>
        </is>
      </c>
      <c r="H12" s="127" t="inlineStr">
        <is>
          <t>6ème Primaire</t>
        </is>
      </c>
      <c r="I12" s="133" t="inlineStr">
        <is>
          <t>F</t>
        </is>
      </c>
      <c r="J12" s="134" t="n">
        <v>45910</v>
      </c>
      <c r="K12" s="129">
        <f>IF($E12="","",COUNTIFS(EMP_Membre,$E12,EMP_Retour,""))</f>
        <v/>
      </c>
      <c r="L12" s="129">
        <f>IF($E12="","",COUNTIFS(EMP_Membre,$E12,EMP_Statut,"En retard"))</f>
        <v/>
      </c>
      <c r="M12" s="135">
        <f>IF($E12="","",SUMIFS(EMP_Amende,EMP_Membre,$E12,EMP_Paye,"&lt;&gt;Oui"))</f>
        <v/>
      </c>
      <c r="N12" s="130">
        <f>IF($E12="","",IF($L12&gt;0,"En retard",IF($K12&gt;=P_Max,"Limite atteinte","Actif")))</f>
        <v/>
      </c>
      <c r="P12">
        <f>IF(OR(Q_Rech="",$E12=""),"",IF(ISNUMBER(SEARCH(Q_Rech,$E12&amp;" "&amp;$F12&amp;" "&amp;$H12)),COUNT($P$6:$P11)+1,""))</f>
        <v/>
      </c>
    </row>
    <row r="13" ht="21" customHeight="1">
      <c r="A13" s="1" t="n"/>
      <c r="B13" s="53">
        <f>HYPERLINK("#'Mouvements'!A1","↕   Mouvements de stock")</f>
        <v/>
      </c>
      <c r="C13" s="54" t="n"/>
      <c r="E13" s="127" t="inlineStr">
        <is>
          <t>MEM-007</t>
        </is>
      </c>
      <c r="F13" s="127" t="inlineStr">
        <is>
          <t>Ruth Zawadi</t>
        </is>
      </c>
      <c r="G13" s="127" t="inlineStr">
        <is>
          <t>Élève</t>
        </is>
      </c>
      <c r="H13" s="127" t="inlineStr">
        <is>
          <t>7ème EB</t>
        </is>
      </c>
      <c r="I13" s="133" t="inlineStr">
        <is>
          <t>F</t>
        </is>
      </c>
      <c r="J13" s="134" t="n">
        <v>45912</v>
      </c>
      <c r="K13" s="129">
        <f>IF($E13="","",COUNTIFS(EMP_Membre,$E13,EMP_Retour,""))</f>
        <v/>
      </c>
      <c r="L13" s="129">
        <f>IF($E13="","",COUNTIFS(EMP_Membre,$E13,EMP_Statut,"En retard"))</f>
        <v/>
      </c>
      <c r="M13" s="135">
        <f>IF($E13="","",SUMIFS(EMP_Amende,EMP_Membre,$E13,EMP_Paye,"&lt;&gt;Oui"))</f>
        <v/>
      </c>
      <c r="N13" s="130">
        <f>IF($E13="","",IF($L13&gt;0,"En retard",IF($K13&gt;=P_Max,"Limite atteinte","Actif")))</f>
        <v/>
      </c>
      <c r="P13">
        <f>IF(OR(Q_Rech="",$E13=""),"",IF(ISNUMBER(SEARCH(Q_Rech,$E13&amp;" "&amp;$F13&amp;" "&amp;$H13)),COUNT($P$6:$P12)+1,""))</f>
        <v/>
      </c>
    </row>
    <row r="14" ht="21" customHeight="1">
      <c r="A14" s="1" t="n"/>
      <c r="B14" s="53">
        <f>HYPERLINK("#'Recherche'!A1","🔍   Recherche")</f>
        <v/>
      </c>
      <c r="C14" s="54" t="n"/>
      <c r="E14" s="127" t="inlineStr">
        <is>
          <t>MEM-008</t>
        </is>
      </c>
      <c r="F14" s="127" t="inlineStr">
        <is>
          <t>Patrick Balume</t>
        </is>
      </c>
      <c r="G14" s="127" t="inlineStr">
        <is>
          <t>Élève</t>
        </is>
      </c>
      <c r="H14" s="127" t="inlineStr">
        <is>
          <t>8ème EB</t>
        </is>
      </c>
      <c r="I14" s="133" t="inlineStr">
        <is>
          <t>M</t>
        </is>
      </c>
      <c r="J14" s="134" t="n">
        <v>45918</v>
      </c>
      <c r="K14" s="129">
        <f>IF($E14="","",COUNTIFS(EMP_Membre,$E14,EMP_Retour,""))</f>
        <v/>
      </c>
      <c r="L14" s="129">
        <f>IF($E14="","",COUNTIFS(EMP_Membre,$E14,EMP_Statut,"En retard"))</f>
        <v/>
      </c>
      <c r="M14" s="135">
        <f>IF($E14="","",SUMIFS(EMP_Amende,EMP_Membre,$E14,EMP_Paye,"&lt;&gt;Oui"))</f>
        <v/>
      </c>
      <c r="N14" s="130">
        <f>IF($E14="","",IF($L14&gt;0,"En retard",IF($K14&gt;=P_Max,"Limite atteinte","Actif")))</f>
        <v/>
      </c>
      <c r="P14">
        <f>IF(OR(Q_Rech="",$E14=""),"",IF(ISNUMBER(SEARCH(Q_Rech,$E14&amp;" "&amp;$F14&amp;" "&amp;$H14)),COUNT($P$6:$P13)+1,""))</f>
        <v/>
      </c>
    </row>
    <row r="15" ht="21" customHeight="1">
      <c r="A15" s="1" t="n"/>
      <c r="B15" s="53">
        <f>HYPERLINK("#'Rapport mensuel'!A1","🖨   Rapport mensuel")</f>
        <v/>
      </c>
      <c r="C15" s="54" t="n"/>
      <c r="E15" s="127" t="inlineStr">
        <is>
          <t>MEM-009</t>
        </is>
      </c>
      <c r="F15" s="127" t="inlineStr">
        <is>
          <t>Fiston Balume</t>
        </is>
      </c>
      <c r="G15" s="127" t="inlineStr">
        <is>
          <t>Élève</t>
        </is>
      </c>
      <c r="H15" s="127" t="inlineStr">
        <is>
          <t>1ère Humanités</t>
        </is>
      </c>
      <c r="I15" s="133" t="inlineStr">
        <is>
          <t>M</t>
        </is>
      </c>
      <c r="J15" s="134" t="n">
        <v>45903</v>
      </c>
      <c r="K15" s="129">
        <f>IF($E15="","",COUNTIFS(EMP_Membre,$E15,EMP_Retour,""))</f>
        <v/>
      </c>
      <c r="L15" s="129">
        <f>IF($E15="","",COUNTIFS(EMP_Membre,$E15,EMP_Statut,"En retard"))</f>
        <v/>
      </c>
      <c r="M15" s="135">
        <f>IF($E15="","",SUMIFS(EMP_Amende,EMP_Membre,$E15,EMP_Paye,"&lt;&gt;Oui"))</f>
        <v/>
      </c>
      <c r="N15" s="130">
        <f>IF($E15="","",IF($L15&gt;0,"En retard",IF($K15&gt;=P_Max,"Limite atteinte","Actif")))</f>
        <v/>
      </c>
      <c r="P15">
        <f>IF(OR(Q_Rech="",$E15=""),"",IF(ISNUMBER(SEARCH(Q_Rech,$E15&amp;" "&amp;$F15&amp;" "&amp;$H15)),COUNT($P$6:$P14)+1,""))</f>
        <v/>
      </c>
    </row>
    <row r="16" ht="21" customHeight="1">
      <c r="A16" s="1" t="n"/>
      <c r="B16" s="53">
        <f>HYPERLINK("#'Paramètres'!A1","⚙   Paramètres")</f>
        <v/>
      </c>
      <c r="C16" s="54" t="n"/>
      <c r="E16" s="127" t="inlineStr">
        <is>
          <t>MEM-010</t>
        </is>
      </c>
      <c r="F16" s="127" t="inlineStr">
        <is>
          <t>Josué Tshibanda</t>
        </is>
      </c>
      <c r="G16" s="127" t="inlineStr">
        <is>
          <t>Élève</t>
        </is>
      </c>
      <c r="H16" s="127" t="inlineStr">
        <is>
          <t>2ème Humanités</t>
        </is>
      </c>
      <c r="I16" s="133" t="inlineStr">
        <is>
          <t>M</t>
        </is>
      </c>
      <c r="J16" s="134" t="n">
        <v>45910</v>
      </c>
      <c r="K16" s="129">
        <f>IF($E16="","",COUNTIFS(EMP_Membre,$E16,EMP_Retour,""))</f>
        <v/>
      </c>
      <c r="L16" s="129">
        <f>IF($E16="","",COUNTIFS(EMP_Membre,$E16,EMP_Statut,"En retard"))</f>
        <v/>
      </c>
      <c r="M16" s="135">
        <f>IF($E16="","",SUMIFS(EMP_Amende,EMP_Membre,$E16,EMP_Paye,"&lt;&gt;Oui"))</f>
        <v/>
      </c>
      <c r="N16" s="130">
        <f>IF($E16="","",IF($L16&gt;0,"En retard",IF($K16&gt;=P_Max,"Limite atteinte","Actif")))</f>
        <v/>
      </c>
      <c r="P16">
        <f>IF(OR(Q_Rech="",$E16=""),"",IF(ISNUMBER(SEARCH(Q_Rech,$E16&amp;" "&amp;$F16&amp;" "&amp;$H16)),COUNT($P$6:$P15)+1,""))</f>
        <v/>
      </c>
    </row>
    <row r="17" ht="21" customHeight="1">
      <c r="A17" s="1" t="n"/>
      <c r="B17" s="1" t="n"/>
      <c r="C17" s="2" t="n"/>
      <c r="E17" s="127" t="inlineStr">
        <is>
          <t>MEM-011</t>
        </is>
      </c>
      <c r="F17" s="127" t="inlineStr">
        <is>
          <t>Neema Mugisho</t>
        </is>
      </c>
      <c r="G17" s="127" t="inlineStr">
        <is>
          <t>Élève</t>
        </is>
      </c>
      <c r="H17" s="127" t="inlineStr">
        <is>
          <t>3ème Humanités</t>
        </is>
      </c>
      <c r="I17" s="133" t="inlineStr">
        <is>
          <t>F</t>
        </is>
      </c>
      <c r="J17" s="134" t="n">
        <v>45912</v>
      </c>
      <c r="K17" s="129">
        <f>IF($E17="","",COUNTIFS(EMP_Membre,$E17,EMP_Retour,""))</f>
        <v/>
      </c>
      <c r="L17" s="129">
        <f>IF($E17="","",COUNTIFS(EMP_Membre,$E17,EMP_Statut,"En retard"))</f>
        <v/>
      </c>
      <c r="M17" s="135">
        <f>IF($E17="","",SUMIFS(EMP_Amende,EMP_Membre,$E17,EMP_Paye,"&lt;&gt;Oui"))</f>
        <v/>
      </c>
      <c r="N17" s="130">
        <f>IF($E17="","",IF($L17&gt;0,"En retard",IF($K17&gt;=P_Max,"Limite atteinte","Actif")))</f>
        <v/>
      </c>
      <c r="P17">
        <f>IF(OR(Q_Rech="",$E17=""),"",IF(ISNUMBER(SEARCH(Q_Rech,$E17&amp;" "&amp;$F17&amp;" "&amp;$H17)),COUNT($P$6:$P16)+1,""))</f>
        <v/>
      </c>
    </row>
    <row r="18" ht="21" customHeight="1">
      <c r="A18" s="1" t="n"/>
      <c r="B18" s="1" t="n"/>
      <c r="C18" s="2" t="n"/>
      <c r="E18" s="127" t="inlineStr">
        <is>
          <t>MEM-012</t>
        </is>
      </c>
      <c r="F18" s="127" t="inlineStr">
        <is>
          <t>Sarah Mukendi</t>
        </is>
      </c>
      <c r="G18" s="127" t="inlineStr">
        <is>
          <t>Élève</t>
        </is>
      </c>
      <c r="H18" s="127" t="inlineStr">
        <is>
          <t>4ème Humanités</t>
        </is>
      </c>
      <c r="I18" s="133" t="inlineStr">
        <is>
          <t>F</t>
        </is>
      </c>
      <c r="J18" s="134" t="n">
        <v>45919</v>
      </c>
      <c r="K18" s="129">
        <f>IF($E18="","",COUNTIFS(EMP_Membre,$E18,EMP_Retour,""))</f>
        <v/>
      </c>
      <c r="L18" s="129">
        <f>IF($E18="","",COUNTIFS(EMP_Membre,$E18,EMP_Statut,"En retard"))</f>
        <v/>
      </c>
      <c r="M18" s="135">
        <f>IF($E18="","",SUMIFS(EMP_Amende,EMP_Membre,$E18,EMP_Paye,"&lt;&gt;Oui"))</f>
        <v/>
      </c>
      <c r="N18" s="130">
        <f>IF($E18="","",IF($L18&gt;0,"En retard",IF($K18&gt;=P_Max,"Limite atteinte","Actif")))</f>
        <v/>
      </c>
      <c r="P18">
        <f>IF(OR(Q_Rech="",$E18=""),"",IF(ISNUMBER(SEARCH(Q_Rech,$E18&amp;" "&amp;$F18&amp;" "&amp;$H18)),COUNT($P$6:$P17)+1,""))</f>
        <v/>
      </c>
    </row>
    <row r="19" ht="21" customHeight="1">
      <c r="A19" s="1" t="n"/>
      <c r="B19" s="1" t="n"/>
      <c r="C19" s="2" t="n"/>
      <c r="E19" s="127" t="inlineStr">
        <is>
          <t>MEM-013</t>
        </is>
      </c>
      <c r="F19" s="127" t="inlineStr">
        <is>
          <t>Isaac Mugisho</t>
        </is>
      </c>
      <c r="G19" s="127" t="inlineStr">
        <is>
          <t>Élève</t>
        </is>
      </c>
      <c r="H19" s="127" t="inlineStr">
        <is>
          <t>1ère Primaire</t>
        </is>
      </c>
      <c r="I19" s="133" t="inlineStr">
        <is>
          <t>M</t>
        </is>
      </c>
      <c r="J19" s="134" t="n">
        <v>45905</v>
      </c>
      <c r="K19" s="129">
        <f>IF($E19="","",COUNTIFS(EMP_Membre,$E19,EMP_Retour,""))</f>
        <v/>
      </c>
      <c r="L19" s="129">
        <f>IF($E19="","",COUNTIFS(EMP_Membre,$E19,EMP_Statut,"En retard"))</f>
        <v/>
      </c>
      <c r="M19" s="135">
        <f>IF($E19="","",SUMIFS(EMP_Amende,EMP_Membre,$E19,EMP_Paye,"&lt;&gt;Oui"))</f>
        <v/>
      </c>
      <c r="N19" s="130">
        <f>IF($E19="","",IF($L19&gt;0,"En retard",IF($K19&gt;=P_Max,"Limite atteinte","Actif")))</f>
        <v/>
      </c>
      <c r="P19">
        <f>IF(OR(Q_Rech="",$E19=""),"",IF(ISNUMBER(SEARCH(Q_Rech,$E19&amp;" "&amp;$F19&amp;" "&amp;$H19)),COUNT($P$6:$P18)+1,""))</f>
        <v/>
      </c>
    </row>
    <row r="20" ht="21" customHeight="1">
      <c r="A20" s="1" t="n"/>
      <c r="B20" s="1" t="n"/>
      <c r="C20" s="2" t="n"/>
      <c r="E20" s="127" t="inlineStr">
        <is>
          <t>MEM-014</t>
        </is>
      </c>
      <c r="F20" s="127" t="inlineStr">
        <is>
          <t>Grâce Bisimwa</t>
        </is>
      </c>
      <c r="G20" s="127" t="inlineStr">
        <is>
          <t>Élève</t>
        </is>
      </c>
      <c r="H20" s="127" t="inlineStr">
        <is>
          <t>2ème Primaire</t>
        </is>
      </c>
      <c r="I20" s="133" t="inlineStr">
        <is>
          <t>F</t>
        </is>
      </c>
      <c r="J20" s="134" t="n">
        <v>45919</v>
      </c>
      <c r="K20" s="129">
        <f>IF($E20="","",COUNTIFS(EMP_Membre,$E20,EMP_Retour,""))</f>
        <v/>
      </c>
      <c r="L20" s="129">
        <f>IF($E20="","",COUNTIFS(EMP_Membre,$E20,EMP_Statut,"En retard"))</f>
        <v/>
      </c>
      <c r="M20" s="135">
        <f>IF($E20="","",SUMIFS(EMP_Amende,EMP_Membre,$E20,EMP_Paye,"&lt;&gt;Oui"))</f>
        <v/>
      </c>
      <c r="N20" s="130">
        <f>IF($E20="","",IF($L20&gt;0,"En retard",IF($K20&gt;=P_Max,"Limite atteinte","Actif")))</f>
        <v/>
      </c>
      <c r="P20">
        <f>IF(OR(Q_Rech="",$E20=""),"",IF(ISNUMBER(SEARCH(Q_Rech,$E20&amp;" "&amp;$F20&amp;" "&amp;$H20)),COUNT($P$6:$P19)+1,""))</f>
        <v/>
      </c>
    </row>
    <row r="21" ht="21" customHeight="1">
      <c r="A21" s="1" t="n"/>
      <c r="B21" s="1" t="n"/>
      <c r="C21" s="2" t="n"/>
      <c r="E21" s="127" t="inlineStr">
        <is>
          <t>MEM-015</t>
        </is>
      </c>
      <c r="F21" s="127" t="inlineStr">
        <is>
          <t>Neema Safari</t>
        </is>
      </c>
      <c r="G21" s="127" t="inlineStr">
        <is>
          <t>Élève</t>
        </is>
      </c>
      <c r="H21" s="127" t="inlineStr">
        <is>
          <t>3ème Primaire</t>
        </is>
      </c>
      <c r="I21" s="133" t="inlineStr">
        <is>
          <t>F</t>
        </is>
      </c>
      <c r="J21" s="134" t="n">
        <v>45920</v>
      </c>
      <c r="K21" s="129">
        <f>IF($E21="","",COUNTIFS(EMP_Membre,$E21,EMP_Retour,""))</f>
        <v/>
      </c>
      <c r="L21" s="129">
        <f>IF($E21="","",COUNTIFS(EMP_Membre,$E21,EMP_Statut,"En retard"))</f>
        <v/>
      </c>
      <c r="M21" s="135">
        <f>IF($E21="","",SUMIFS(EMP_Amende,EMP_Membre,$E21,EMP_Paye,"&lt;&gt;Oui"))</f>
        <v/>
      </c>
      <c r="N21" s="130">
        <f>IF($E21="","",IF($L21&gt;0,"En retard",IF($K21&gt;=P_Max,"Limite atteinte","Actif")))</f>
        <v/>
      </c>
      <c r="P21">
        <f>IF(OR(Q_Rech="",$E21=""),"",IF(ISNUMBER(SEARCH(Q_Rech,$E21&amp;" "&amp;$F21&amp;" "&amp;$H21)),COUNT($P$6:$P20)+1,""))</f>
        <v/>
      </c>
    </row>
    <row r="22" ht="21" customHeight="1">
      <c r="A22" s="1" t="n"/>
      <c r="B22" s="1" t="n"/>
      <c r="C22" s="2" t="n"/>
      <c r="E22" s="127" t="inlineStr">
        <is>
          <t>MEM-016</t>
        </is>
      </c>
      <c r="F22" s="127" t="inlineStr">
        <is>
          <t>Daniel Tshibanda</t>
        </is>
      </c>
      <c r="G22" s="127" t="inlineStr">
        <is>
          <t>Élève</t>
        </is>
      </c>
      <c r="H22" s="127" t="inlineStr">
        <is>
          <t>4ème Primaire</t>
        </is>
      </c>
      <c r="I22" s="133" t="inlineStr">
        <is>
          <t>M</t>
        </is>
      </c>
      <c r="J22" s="134" t="n">
        <v>45906</v>
      </c>
      <c r="K22" s="129">
        <f>IF($E22="","",COUNTIFS(EMP_Membre,$E22,EMP_Retour,""))</f>
        <v/>
      </c>
      <c r="L22" s="129">
        <f>IF($E22="","",COUNTIFS(EMP_Membre,$E22,EMP_Statut,"En retard"))</f>
        <v/>
      </c>
      <c r="M22" s="135">
        <f>IF($E22="","",SUMIFS(EMP_Amende,EMP_Membre,$E22,EMP_Paye,"&lt;&gt;Oui"))</f>
        <v/>
      </c>
      <c r="N22" s="130">
        <f>IF($E22="","",IF($L22&gt;0,"En retard",IF($K22&gt;=P_Max,"Limite atteinte","Actif")))</f>
        <v/>
      </c>
      <c r="P22">
        <f>IF(OR(Q_Rech="",$E22=""),"",IF(ISNUMBER(SEARCH(Q_Rech,$E22&amp;" "&amp;$F22&amp;" "&amp;$H22)),COUNT($P$6:$P21)+1,""))</f>
        <v/>
      </c>
    </row>
    <row r="23" ht="21" customHeight="1">
      <c r="A23" s="1" t="n"/>
      <c r="B23" s="1" t="n"/>
      <c r="C23" s="2" t="n"/>
      <c r="E23" s="127" t="inlineStr">
        <is>
          <t>MEM-017</t>
        </is>
      </c>
      <c r="F23" s="127" t="inlineStr">
        <is>
          <t>Neema Mirindi</t>
        </is>
      </c>
      <c r="G23" s="127" t="inlineStr">
        <is>
          <t>Élève</t>
        </is>
      </c>
      <c r="H23" s="127" t="inlineStr">
        <is>
          <t>5ème Primaire</t>
        </is>
      </c>
      <c r="I23" s="133" t="inlineStr">
        <is>
          <t>F</t>
        </is>
      </c>
      <c r="J23" s="134" t="n">
        <v>45913</v>
      </c>
      <c r="K23" s="129">
        <f>IF($E23="","",COUNTIFS(EMP_Membre,$E23,EMP_Retour,""))</f>
        <v/>
      </c>
      <c r="L23" s="129">
        <f>IF($E23="","",COUNTIFS(EMP_Membre,$E23,EMP_Statut,"En retard"))</f>
        <v/>
      </c>
      <c r="M23" s="135">
        <f>IF($E23="","",SUMIFS(EMP_Amende,EMP_Membre,$E23,EMP_Paye,"&lt;&gt;Oui"))</f>
        <v/>
      </c>
      <c r="N23" s="130">
        <f>IF($E23="","",IF($L23&gt;0,"En retard",IF($K23&gt;=P_Max,"Limite atteinte","Actif")))</f>
        <v/>
      </c>
      <c r="P23">
        <f>IF(OR(Q_Rech="",$E23=""),"",IF(ISNUMBER(SEARCH(Q_Rech,$E23&amp;" "&amp;$F23&amp;" "&amp;$H23)),COUNT($P$6:$P22)+1,""))</f>
        <v/>
      </c>
    </row>
    <row r="24" ht="21" customHeight="1">
      <c r="A24" s="1" t="n"/>
      <c r="B24" s="1" t="n"/>
      <c r="C24" s="2" t="n"/>
      <c r="E24" s="127" t="inlineStr">
        <is>
          <t>MEM-018</t>
        </is>
      </c>
      <c r="F24" s="127" t="inlineStr">
        <is>
          <t>Neema Wabo</t>
        </is>
      </c>
      <c r="G24" s="127" t="inlineStr">
        <is>
          <t>Élève</t>
        </is>
      </c>
      <c r="H24" s="127" t="inlineStr">
        <is>
          <t>6ème Primaire</t>
        </is>
      </c>
      <c r="I24" s="133" t="inlineStr">
        <is>
          <t>F</t>
        </is>
      </c>
      <c r="J24" s="134" t="n">
        <v>45908</v>
      </c>
      <c r="K24" s="129">
        <f>IF($E24="","",COUNTIFS(EMP_Membre,$E24,EMP_Retour,""))</f>
        <v/>
      </c>
      <c r="L24" s="129">
        <f>IF($E24="","",COUNTIFS(EMP_Membre,$E24,EMP_Statut,"En retard"))</f>
        <v/>
      </c>
      <c r="M24" s="135">
        <f>IF($E24="","",SUMIFS(EMP_Amende,EMP_Membre,$E24,EMP_Paye,"&lt;&gt;Oui"))</f>
        <v/>
      </c>
      <c r="N24" s="130">
        <f>IF($E24="","",IF($L24&gt;0,"En retard",IF($K24&gt;=P_Max,"Limite atteinte","Actif")))</f>
        <v/>
      </c>
      <c r="P24">
        <f>IF(OR(Q_Rech="",$E24=""),"",IF(ISNUMBER(SEARCH(Q_Rech,$E24&amp;" "&amp;$F24&amp;" "&amp;$H24)),COUNT($P$6:$P23)+1,""))</f>
        <v/>
      </c>
    </row>
    <row r="25" ht="21" customHeight="1">
      <c r="A25" s="1" t="n"/>
      <c r="B25" s="1" t="n"/>
      <c r="C25" s="2" t="n"/>
      <c r="E25" s="127" t="inlineStr">
        <is>
          <t>MEM-019</t>
        </is>
      </c>
      <c r="F25" s="127" t="inlineStr">
        <is>
          <t>David Paluku</t>
        </is>
      </c>
      <c r="G25" s="127" t="inlineStr">
        <is>
          <t>Élève</t>
        </is>
      </c>
      <c r="H25" s="127" t="inlineStr">
        <is>
          <t>7ème EB</t>
        </is>
      </c>
      <c r="I25" s="133" t="inlineStr">
        <is>
          <t>M</t>
        </is>
      </c>
      <c r="J25" s="134" t="n">
        <v>45913</v>
      </c>
      <c r="K25" s="129">
        <f>IF($E25="","",COUNTIFS(EMP_Membre,$E25,EMP_Retour,""))</f>
        <v/>
      </c>
      <c r="L25" s="129">
        <f>IF($E25="","",COUNTIFS(EMP_Membre,$E25,EMP_Statut,"En retard"))</f>
        <v/>
      </c>
      <c r="M25" s="135">
        <f>IF($E25="","",SUMIFS(EMP_Amende,EMP_Membre,$E25,EMP_Paye,"&lt;&gt;Oui"))</f>
        <v/>
      </c>
      <c r="N25" s="130">
        <f>IF($E25="","",IF($L25&gt;0,"En retard",IF($K25&gt;=P_Max,"Limite atteinte","Actif")))</f>
        <v/>
      </c>
      <c r="P25">
        <f>IF(OR(Q_Rech="",$E25=""),"",IF(ISNUMBER(SEARCH(Q_Rech,$E25&amp;" "&amp;$F25&amp;" "&amp;$H25)),COUNT($P$6:$P24)+1,""))</f>
        <v/>
      </c>
    </row>
    <row r="26" ht="21" customHeight="1">
      <c r="A26" s="1" t="n"/>
      <c r="B26" s="1" t="n"/>
      <c r="C26" s="2" t="n"/>
      <c r="E26" s="127" t="inlineStr">
        <is>
          <t>MEM-020</t>
        </is>
      </c>
      <c r="F26" s="127" t="inlineStr">
        <is>
          <t>Ornella Bisimwa</t>
        </is>
      </c>
      <c r="G26" s="127" t="inlineStr">
        <is>
          <t>Élève</t>
        </is>
      </c>
      <c r="H26" s="127" t="inlineStr">
        <is>
          <t>8ème EB</t>
        </is>
      </c>
      <c r="I26" s="133" t="inlineStr">
        <is>
          <t>F</t>
        </is>
      </c>
      <c r="J26" s="134" t="n">
        <v>45909</v>
      </c>
      <c r="K26" s="129">
        <f>IF($E26="","",COUNTIFS(EMP_Membre,$E26,EMP_Retour,""))</f>
        <v/>
      </c>
      <c r="L26" s="129">
        <f>IF($E26="","",COUNTIFS(EMP_Membre,$E26,EMP_Statut,"En retard"))</f>
        <v/>
      </c>
      <c r="M26" s="135">
        <f>IF($E26="","",SUMIFS(EMP_Amende,EMP_Membre,$E26,EMP_Paye,"&lt;&gt;Oui"))</f>
        <v/>
      </c>
      <c r="N26" s="130">
        <f>IF($E26="","",IF($L26&gt;0,"En retard",IF($K26&gt;=P_Max,"Limite atteinte","Actif")))</f>
        <v/>
      </c>
      <c r="P26">
        <f>IF(OR(Q_Rech="",$E26=""),"",IF(ISNUMBER(SEARCH(Q_Rech,$E26&amp;" "&amp;$F26&amp;" "&amp;$H26)),COUNT($P$6:$P25)+1,""))</f>
        <v/>
      </c>
    </row>
    <row r="27" ht="21" customHeight="1">
      <c r="A27" s="1" t="n"/>
      <c r="B27" s="1" t="n"/>
      <c r="C27" s="2" t="n"/>
      <c r="E27" s="127" t="inlineStr">
        <is>
          <t>MEM-021</t>
        </is>
      </c>
      <c r="F27" s="127" t="inlineStr">
        <is>
          <t>Sarah Baraka</t>
        </is>
      </c>
      <c r="G27" s="127" t="inlineStr">
        <is>
          <t>Élève</t>
        </is>
      </c>
      <c r="H27" s="127" t="inlineStr">
        <is>
          <t>1ère Humanités</t>
        </is>
      </c>
      <c r="I27" s="133" t="inlineStr">
        <is>
          <t>F</t>
        </is>
      </c>
      <c r="J27" s="134" t="n">
        <v>45915</v>
      </c>
      <c r="K27" s="129">
        <f>IF($E27="","",COUNTIFS(EMP_Membre,$E27,EMP_Retour,""))</f>
        <v/>
      </c>
      <c r="L27" s="129">
        <f>IF($E27="","",COUNTIFS(EMP_Membre,$E27,EMP_Statut,"En retard"))</f>
        <v/>
      </c>
      <c r="M27" s="135">
        <f>IF($E27="","",SUMIFS(EMP_Amende,EMP_Membre,$E27,EMP_Paye,"&lt;&gt;Oui"))</f>
        <v/>
      </c>
      <c r="N27" s="130">
        <f>IF($E27="","",IF($L27&gt;0,"En retard",IF($K27&gt;=P_Max,"Limite atteinte","Actif")))</f>
        <v/>
      </c>
      <c r="P27">
        <f>IF(OR(Q_Rech="",$E27=""),"",IF(ISNUMBER(SEARCH(Q_Rech,$E27&amp;" "&amp;$F27&amp;" "&amp;$H27)),COUNT($P$6:$P26)+1,""))</f>
        <v/>
      </c>
    </row>
    <row r="28" ht="21" customHeight="1">
      <c r="A28" s="1" t="n"/>
      <c r="B28" s="1" t="n"/>
      <c r="C28" s="2" t="n"/>
      <c r="E28" s="127" t="inlineStr">
        <is>
          <t>MEM-022</t>
        </is>
      </c>
      <c r="F28" s="127" t="inlineStr">
        <is>
          <t>Bahati Baraka</t>
        </is>
      </c>
      <c r="G28" s="127" t="inlineStr">
        <is>
          <t>Élève</t>
        </is>
      </c>
      <c r="H28" s="127" t="inlineStr">
        <is>
          <t>2ème Humanités</t>
        </is>
      </c>
      <c r="I28" s="133" t="inlineStr">
        <is>
          <t>M</t>
        </is>
      </c>
      <c r="J28" s="134" t="n">
        <v>45912</v>
      </c>
      <c r="K28" s="129">
        <f>IF($E28="","",COUNTIFS(EMP_Membre,$E28,EMP_Retour,""))</f>
        <v/>
      </c>
      <c r="L28" s="129">
        <f>IF($E28="","",COUNTIFS(EMP_Membre,$E28,EMP_Statut,"En retard"))</f>
        <v/>
      </c>
      <c r="M28" s="135">
        <f>IF($E28="","",SUMIFS(EMP_Amende,EMP_Membre,$E28,EMP_Paye,"&lt;&gt;Oui"))</f>
        <v/>
      </c>
      <c r="N28" s="130">
        <f>IF($E28="","",IF($L28&gt;0,"En retard",IF($K28&gt;=P_Max,"Limite atteinte","Actif")))</f>
        <v/>
      </c>
      <c r="P28">
        <f>IF(OR(Q_Rech="",$E28=""),"",IF(ISNUMBER(SEARCH(Q_Rech,$E28&amp;" "&amp;$F28&amp;" "&amp;$H28)),COUNT($P$6:$P27)+1,""))</f>
        <v/>
      </c>
    </row>
    <row r="29" ht="21" customHeight="1">
      <c r="A29" s="1" t="n"/>
      <c r="B29" s="1" t="n"/>
      <c r="C29" s="2" t="n"/>
      <c r="E29" s="127" t="inlineStr">
        <is>
          <t>MEM-023</t>
        </is>
      </c>
      <c r="F29" s="127" t="inlineStr">
        <is>
          <t>Ornella Kyakimwa</t>
        </is>
      </c>
      <c r="G29" s="127" t="inlineStr">
        <is>
          <t>Élève</t>
        </is>
      </c>
      <c r="H29" s="127" t="inlineStr">
        <is>
          <t>3ème Humanités</t>
        </is>
      </c>
      <c r="I29" s="133" t="inlineStr">
        <is>
          <t>F</t>
        </is>
      </c>
      <c r="J29" s="134" t="n">
        <v>45910</v>
      </c>
      <c r="K29" s="129">
        <f>IF($E29="","",COUNTIFS(EMP_Membre,$E29,EMP_Retour,""))</f>
        <v/>
      </c>
      <c r="L29" s="129">
        <f>IF($E29="","",COUNTIFS(EMP_Membre,$E29,EMP_Statut,"En retard"))</f>
        <v/>
      </c>
      <c r="M29" s="135">
        <f>IF($E29="","",SUMIFS(EMP_Amende,EMP_Membre,$E29,EMP_Paye,"&lt;&gt;Oui"))</f>
        <v/>
      </c>
      <c r="N29" s="130">
        <f>IF($E29="","",IF($L29&gt;0,"En retard",IF($K29&gt;=P_Max,"Limite atteinte","Actif")))</f>
        <v/>
      </c>
      <c r="P29">
        <f>IF(OR(Q_Rech="",$E29=""),"",IF(ISNUMBER(SEARCH(Q_Rech,$E29&amp;" "&amp;$F29&amp;" "&amp;$H29)),COUNT($P$6:$P28)+1,""))</f>
        <v/>
      </c>
    </row>
    <row r="30" ht="21" customHeight="1">
      <c r="A30" s="1" t="n"/>
      <c r="B30" s="1" t="n"/>
      <c r="C30" s="2" t="n"/>
      <c r="E30" s="127" t="inlineStr">
        <is>
          <t>MEM-024</t>
        </is>
      </c>
      <c r="F30" s="127" t="inlineStr">
        <is>
          <t>Sarah Paluku</t>
        </is>
      </c>
      <c r="G30" s="127" t="inlineStr">
        <is>
          <t>Élève</t>
        </is>
      </c>
      <c r="H30" s="127" t="inlineStr">
        <is>
          <t>4ème Humanités</t>
        </is>
      </c>
      <c r="I30" s="133" t="inlineStr">
        <is>
          <t>F</t>
        </is>
      </c>
      <c r="J30" s="134" t="n">
        <v>45914</v>
      </c>
      <c r="K30" s="129">
        <f>IF($E30="","",COUNTIFS(EMP_Membre,$E30,EMP_Retour,""))</f>
        <v/>
      </c>
      <c r="L30" s="129">
        <f>IF($E30="","",COUNTIFS(EMP_Membre,$E30,EMP_Statut,"En retard"))</f>
        <v/>
      </c>
      <c r="M30" s="135">
        <f>IF($E30="","",SUMIFS(EMP_Amende,EMP_Membre,$E30,EMP_Paye,"&lt;&gt;Oui"))</f>
        <v/>
      </c>
      <c r="N30" s="130">
        <f>IF($E30="","",IF($L30&gt;0,"En retard",IF($K30&gt;=P_Max,"Limite atteinte","Actif")))</f>
        <v/>
      </c>
      <c r="P30">
        <f>IF(OR(Q_Rech="",$E30=""),"",IF(ISNUMBER(SEARCH(Q_Rech,$E30&amp;" "&amp;$F30&amp;" "&amp;$H30)),COUNT($P$6:$P29)+1,""))</f>
        <v/>
      </c>
    </row>
    <row r="31" ht="21" customHeight="1">
      <c r="A31" s="1" t="n"/>
      <c r="B31" s="1" t="n"/>
      <c r="C31" s="2" t="n"/>
      <c r="E31" s="127" t="inlineStr">
        <is>
          <t>MEM-025</t>
        </is>
      </c>
      <c r="F31" s="127" t="inlineStr">
        <is>
          <t>Neema Mwamba</t>
        </is>
      </c>
      <c r="G31" s="127" t="inlineStr">
        <is>
          <t>Élève</t>
        </is>
      </c>
      <c r="H31" s="127" t="inlineStr">
        <is>
          <t>1ère Primaire</t>
        </is>
      </c>
      <c r="I31" s="133" t="inlineStr">
        <is>
          <t>F</t>
        </is>
      </c>
      <c r="J31" s="134" t="n">
        <v>45909</v>
      </c>
      <c r="K31" s="129">
        <f>IF($E31="","",COUNTIFS(EMP_Membre,$E31,EMP_Retour,""))</f>
        <v/>
      </c>
      <c r="L31" s="129">
        <f>IF($E31="","",COUNTIFS(EMP_Membre,$E31,EMP_Statut,"En retard"))</f>
        <v/>
      </c>
      <c r="M31" s="135">
        <f>IF($E31="","",SUMIFS(EMP_Amende,EMP_Membre,$E31,EMP_Paye,"&lt;&gt;Oui"))</f>
        <v/>
      </c>
      <c r="N31" s="130">
        <f>IF($E31="","",IF($L31&gt;0,"En retard",IF($K31&gt;=P_Max,"Limite atteinte","Actif")))</f>
        <v/>
      </c>
      <c r="P31">
        <f>IF(OR(Q_Rech="",$E31=""),"",IF(ISNUMBER(SEARCH(Q_Rech,$E31&amp;" "&amp;$F31&amp;" "&amp;$H31)),COUNT($P$6:$P30)+1,""))</f>
        <v/>
      </c>
    </row>
    <row r="32" ht="21" customHeight="1">
      <c r="A32" s="1" t="n"/>
      <c r="B32" s="1" t="n"/>
      <c r="C32" s="2" t="n"/>
      <c r="E32" s="127" t="inlineStr">
        <is>
          <t>MEM-026</t>
        </is>
      </c>
      <c r="F32" s="127" t="inlineStr">
        <is>
          <t>Divine Lusenge</t>
        </is>
      </c>
      <c r="G32" s="127" t="inlineStr">
        <is>
          <t>Élève</t>
        </is>
      </c>
      <c r="H32" s="127" t="inlineStr">
        <is>
          <t>2ème Primaire</t>
        </is>
      </c>
      <c r="I32" s="133" t="inlineStr">
        <is>
          <t>F</t>
        </is>
      </c>
      <c r="J32" s="134" t="n">
        <v>45913</v>
      </c>
      <c r="K32" s="129">
        <f>IF($E32="","",COUNTIFS(EMP_Membre,$E32,EMP_Retour,""))</f>
        <v/>
      </c>
      <c r="L32" s="129">
        <f>IF($E32="","",COUNTIFS(EMP_Membre,$E32,EMP_Statut,"En retard"))</f>
        <v/>
      </c>
      <c r="M32" s="135">
        <f>IF($E32="","",SUMIFS(EMP_Amende,EMP_Membre,$E32,EMP_Paye,"&lt;&gt;Oui"))</f>
        <v/>
      </c>
      <c r="N32" s="130">
        <f>IF($E32="","",IF($L32&gt;0,"En retard",IF($K32&gt;=P_Max,"Limite atteinte","Actif")))</f>
        <v/>
      </c>
      <c r="P32">
        <f>IF(OR(Q_Rech="",$E32=""),"",IF(ISNUMBER(SEARCH(Q_Rech,$E32&amp;" "&amp;$F32&amp;" "&amp;$H32)),COUNT($P$6:$P31)+1,""))</f>
        <v/>
      </c>
    </row>
    <row r="33" ht="21" customHeight="1">
      <c r="A33" s="1" t="n"/>
      <c r="B33" s="1" t="n"/>
      <c r="C33" s="2" t="n"/>
      <c r="E33" s="127" t="inlineStr">
        <is>
          <t>MEM-027</t>
        </is>
      </c>
      <c r="F33" s="127" t="inlineStr">
        <is>
          <t>Emmanuel Lukogho</t>
        </is>
      </c>
      <c r="G33" s="127" t="inlineStr">
        <is>
          <t>Élève</t>
        </is>
      </c>
      <c r="H33" s="127" t="inlineStr">
        <is>
          <t>3ème Primaire</t>
        </is>
      </c>
      <c r="I33" s="133" t="inlineStr">
        <is>
          <t>M</t>
        </is>
      </c>
      <c r="J33" s="134" t="n">
        <v>45909</v>
      </c>
      <c r="K33" s="129">
        <f>IF($E33="","",COUNTIFS(EMP_Membre,$E33,EMP_Retour,""))</f>
        <v/>
      </c>
      <c r="L33" s="129">
        <f>IF($E33="","",COUNTIFS(EMP_Membre,$E33,EMP_Statut,"En retard"))</f>
        <v/>
      </c>
      <c r="M33" s="135">
        <f>IF($E33="","",SUMIFS(EMP_Amende,EMP_Membre,$E33,EMP_Paye,"&lt;&gt;Oui"))</f>
        <v/>
      </c>
      <c r="N33" s="130">
        <f>IF($E33="","",IF($L33&gt;0,"En retard",IF($K33&gt;=P_Max,"Limite atteinte","Actif")))</f>
        <v/>
      </c>
      <c r="P33">
        <f>IF(OR(Q_Rech="",$E33=""),"",IF(ISNUMBER(SEARCH(Q_Rech,$E33&amp;" "&amp;$F33&amp;" "&amp;$H33)),COUNT($P$6:$P32)+1,""))</f>
        <v/>
      </c>
    </row>
    <row r="34" ht="21" customHeight="1">
      <c r="A34" s="1" t="n"/>
      <c r="B34" s="1" t="n"/>
      <c r="C34" s="2" t="n"/>
      <c r="E34" s="127" t="inlineStr">
        <is>
          <t>MEM-028</t>
        </is>
      </c>
      <c r="F34" s="127" t="inlineStr">
        <is>
          <t>Bahati Mapendo</t>
        </is>
      </c>
      <c r="G34" s="127" t="inlineStr">
        <is>
          <t>Élève</t>
        </is>
      </c>
      <c r="H34" s="127" t="inlineStr">
        <is>
          <t>4ème Primaire</t>
        </is>
      </c>
      <c r="I34" s="133" t="inlineStr">
        <is>
          <t>M</t>
        </is>
      </c>
      <c r="J34" s="134" t="n">
        <v>45914</v>
      </c>
      <c r="K34" s="129">
        <f>IF($E34="","",COUNTIFS(EMP_Membre,$E34,EMP_Retour,""))</f>
        <v/>
      </c>
      <c r="L34" s="129">
        <f>IF($E34="","",COUNTIFS(EMP_Membre,$E34,EMP_Statut,"En retard"))</f>
        <v/>
      </c>
      <c r="M34" s="135">
        <f>IF($E34="","",SUMIFS(EMP_Amende,EMP_Membre,$E34,EMP_Paye,"&lt;&gt;Oui"))</f>
        <v/>
      </c>
      <c r="N34" s="130">
        <f>IF($E34="","",IF($L34&gt;0,"En retard",IF($K34&gt;=P_Max,"Limite atteinte","Actif")))</f>
        <v/>
      </c>
      <c r="P34">
        <f>IF(OR(Q_Rech="",$E34=""),"",IF(ISNUMBER(SEARCH(Q_Rech,$E34&amp;" "&amp;$F34&amp;" "&amp;$H34)),COUNT($P$6:$P33)+1,""))</f>
        <v/>
      </c>
    </row>
    <row r="35" ht="21" customHeight="1">
      <c r="A35" s="1" t="n"/>
      <c r="B35" s="1" t="n"/>
      <c r="C35" s="2" t="n"/>
      <c r="E35" s="127" t="inlineStr">
        <is>
          <t>MEM-029</t>
        </is>
      </c>
      <c r="F35" s="127" t="inlineStr">
        <is>
          <t>Elie Shamavu</t>
        </is>
      </c>
      <c r="G35" s="127" t="inlineStr">
        <is>
          <t>Élève</t>
        </is>
      </c>
      <c r="H35" s="127" t="inlineStr">
        <is>
          <t>5ème Primaire</t>
        </is>
      </c>
      <c r="I35" s="133" t="inlineStr">
        <is>
          <t>M</t>
        </is>
      </c>
      <c r="J35" s="134" t="n">
        <v>45904</v>
      </c>
      <c r="K35" s="129">
        <f>IF($E35="","",COUNTIFS(EMP_Membre,$E35,EMP_Retour,""))</f>
        <v/>
      </c>
      <c r="L35" s="129">
        <f>IF($E35="","",COUNTIFS(EMP_Membre,$E35,EMP_Statut,"En retard"))</f>
        <v/>
      </c>
      <c r="M35" s="135">
        <f>IF($E35="","",SUMIFS(EMP_Amende,EMP_Membre,$E35,EMP_Paye,"&lt;&gt;Oui"))</f>
        <v/>
      </c>
      <c r="N35" s="130">
        <f>IF($E35="","",IF($L35&gt;0,"En retard",IF($K35&gt;=P_Max,"Limite atteinte","Actif")))</f>
        <v/>
      </c>
      <c r="P35">
        <f>IF(OR(Q_Rech="",$E35=""),"",IF(ISNUMBER(SEARCH(Q_Rech,$E35&amp;" "&amp;$F35&amp;" "&amp;$H35)),COUNT($P$6:$P34)+1,""))</f>
        <v/>
      </c>
    </row>
    <row r="36" ht="21" customHeight="1">
      <c r="A36" s="1" t="n"/>
      <c r="B36" s="1" t="n"/>
      <c r="C36" s="2" t="n"/>
      <c r="E36" s="127" t="inlineStr">
        <is>
          <t>MEM-030</t>
        </is>
      </c>
      <c r="F36" s="127" t="inlineStr">
        <is>
          <t>Samuel Wabo</t>
        </is>
      </c>
      <c r="G36" s="127" t="inlineStr">
        <is>
          <t>Élève</t>
        </is>
      </c>
      <c r="H36" s="127" t="inlineStr">
        <is>
          <t>6ème Primaire</t>
        </is>
      </c>
      <c r="I36" s="133" t="inlineStr">
        <is>
          <t>M</t>
        </is>
      </c>
      <c r="J36" s="134" t="n">
        <v>45918</v>
      </c>
      <c r="K36" s="129">
        <f>IF($E36="","",COUNTIFS(EMP_Membre,$E36,EMP_Retour,""))</f>
        <v/>
      </c>
      <c r="L36" s="129">
        <f>IF($E36="","",COUNTIFS(EMP_Membre,$E36,EMP_Statut,"En retard"))</f>
        <v/>
      </c>
      <c r="M36" s="135">
        <f>IF($E36="","",SUMIFS(EMP_Amende,EMP_Membre,$E36,EMP_Paye,"&lt;&gt;Oui"))</f>
        <v/>
      </c>
      <c r="N36" s="130">
        <f>IF($E36="","",IF($L36&gt;0,"En retard",IF($K36&gt;=P_Max,"Limite atteinte","Actif")))</f>
        <v/>
      </c>
      <c r="P36">
        <f>IF(OR(Q_Rech="",$E36=""),"",IF(ISNUMBER(SEARCH(Q_Rech,$E36&amp;" "&amp;$F36&amp;" "&amp;$H36)),COUNT($P$6:$P35)+1,""))</f>
        <v/>
      </c>
    </row>
    <row r="37" ht="21" customHeight="1">
      <c r="A37" s="1" t="n"/>
      <c r="B37" s="1" t="n"/>
      <c r="C37" s="2" t="n"/>
      <c r="E37" s="127" t="inlineStr">
        <is>
          <t>MEM-031</t>
        </is>
      </c>
      <c r="F37" s="127" t="inlineStr">
        <is>
          <t>Moïse Nsimire</t>
        </is>
      </c>
      <c r="G37" s="127" t="inlineStr">
        <is>
          <t>Élève</t>
        </is>
      </c>
      <c r="H37" s="127" t="inlineStr">
        <is>
          <t>7ème EB</t>
        </is>
      </c>
      <c r="I37" s="133" t="inlineStr">
        <is>
          <t>M</t>
        </is>
      </c>
      <c r="J37" s="134" t="n">
        <v>45902</v>
      </c>
      <c r="K37" s="129">
        <f>IF($E37="","",COUNTIFS(EMP_Membre,$E37,EMP_Retour,""))</f>
        <v/>
      </c>
      <c r="L37" s="129">
        <f>IF($E37="","",COUNTIFS(EMP_Membre,$E37,EMP_Statut,"En retard"))</f>
        <v/>
      </c>
      <c r="M37" s="135">
        <f>IF($E37="","",SUMIFS(EMP_Amende,EMP_Membre,$E37,EMP_Paye,"&lt;&gt;Oui"))</f>
        <v/>
      </c>
      <c r="N37" s="130">
        <f>IF($E37="","",IF($L37&gt;0,"En retard",IF($K37&gt;=P_Max,"Limite atteinte","Actif")))</f>
        <v/>
      </c>
      <c r="P37">
        <f>IF(OR(Q_Rech="",$E37=""),"",IF(ISNUMBER(SEARCH(Q_Rech,$E37&amp;" "&amp;$F37&amp;" "&amp;$H37)),COUNT($P$6:$P36)+1,""))</f>
        <v/>
      </c>
    </row>
    <row r="38" ht="21" customHeight="1">
      <c r="A38" s="1" t="n"/>
      <c r="B38" s="1" t="n"/>
      <c r="C38" s="2" t="n"/>
      <c r="E38" s="127" t="inlineStr">
        <is>
          <t>MEM-032</t>
        </is>
      </c>
      <c r="F38" s="127" t="inlineStr">
        <is>
          <t>Jonathan Balume</t>
        </is>
      </c>
      <c r="G38" s="127" t="inlineStr">
        <is>
          <t>Élève</t>
        </is>
      </c>
      <c r="H38" s="127" t="inlineStr">
        <is>
          <t>8ème EB</t>
        </is>
      </c>
      <c r="I38" s="133" t="inlineStr">
        <is>
          <t>M</t>
        </is>
      </c>
      <c r="J38" s="134" t="n">
        <v>45907</v>
      </c>
      <c r="K38" s="129">
        <f>IF($E38="","",COUNTIFS(EMP_Membre,$E38,EMP_Retour,""))</f>
        <v/>
      </c>
      <c r="L38" s="129">
        <f>IF($E38="","",COUNTIFS(EMP_Membre,$E38,EMP_Statut,"En retard"))</f>
        <v/>
      </c>
      <c r="M38" s="135">
        <f>IF($E38="","",SUMIFS(EMP_Amende,EMP_Membre,$E38,EMP_Paye,"&lt;&gt;Oui"))</f>
        <v/>
      </c>
      <c r="N38" s="130">
        <f>IF($E38="","",IF($L38&gt;0,"En retard",IF($K38&gt;=P_Max,"Limite atteinte","Actif")))</f>
        <v/>
      </c>
      <c r="P38">
        <f>IF(OR(Q_Rech="",$E38=""),"",IF(ISNUMBER(SEARCH(Q_Rech,$E38&amp;" "&amp;$F38&amp;" "&amp;$H38)),COUNT($P$6:$P37)+1,""))</f>
        <v/>
      </c>
    </row>
    <row r="39" ht="21" customHeight="1">
      <c r="A39" s="1" t="n"/>
      <c r="B39" s="1" t="n"/>
      <c r="C39" s="2" t="n"/>
      <c r="E39" s="127" t="inlineStr">
        <is>
          <t>MEM-033</t>
        </is>
      </c>
      <c r="F39" s="127" t="inlineStr">
        <is>
          <t>Mme Gloria Masika</t>
        </is>
      </c>
      <c r="G39" s="127" t="inlineStr">
        <is>
          <t>Enseignant</t>
        </is>
      </c>
      <c r="H39" s="127" t="inlineStr">
        <is>
          <t>Personnel</t>
        </is>
      </c>
      <c r="I39" s="133" t="inlineStr">
        <is>
          <t>F</t>
        </is>
      </c>
      <c r="J39" s="134" t="n">
        <v>45905</v>
      </c>
      <c r="K39" s="129">
        <f>IF($E39="","",COUNTIFS(EMP_Membre,$E39,EMP_Retour,""))</f>
        <v/>
      </c>
      <c r="L39" s="129">
        <f>IF($E39="","",COUNTIFS(EMP_Membre,$E39,EMP_Statut,"En retard"))</f>
        <v/>
      </c>
      <c r="M39" s="135">
        <f>IF($E39="","",SUMIFS(EMP_Amende,EMP_Membre,$E39,EMP_Paye,"&lt;&gt;Oui"))</f>
        <v/>
      </c>
      <c r="N39" s="130">
        <f>IF($E39="","",IF($L39&gt;0,"En retard",IF($K39&gt;=P_Max,"Limite atteinte","Actif")))</f>
        <v/>
      </c>
      <c r="P39">
        <f>IF(OR(Q_Rech="",$E39=""),"",IF(ISNUMBER(SEARCH(Q_Rech,$E39&amp;" "&amp;$F39&amp;" "&amp;$H39)),COUNT($P$6:$P38)+1,""))</f>
        <v/>
      </c>
    </row>
    <row r="40" ht="21" customHeight="1">
      <c r="A40" s="1" t="n"/>
      <c r="B40" s="1" t="n"/>
      <c r="C40" s="2" t="n"/>
      <c r="E40" s="127" t="inlineStr">
        <is>
          <t>MEM-034</t>
        </is>
      </c>
      <c r="F40" s="127" t="inlineStr">
        <is>
          <t>M. Isaac Wabo</t>
        </is>
      </c>
      <c r="G40" s="127" t="inlineStr">
        <is>
          <t>Enseignant</t>
        </is>
      </c>
      <c r="H40" s="127" t="inlineStr">
        <is>
          <t>Personnel</t>
        </is>
      </c>
      <c r="I40" s="133" t="inlineStr">
        <is>
          <t>M</t>
        </is>
      </c>
      <c r="J40" s="134" t="n">
        <v>45912</v>
      </c>
      <c r="K40" s="129">
        <f>IF($E40="","",COUNTIFS(EMP_Membre,$E40,EMP_Retour,""))</f>
        <v/>
      </c>
      <c r="L40" s="129">
        <f>IF($E40="","",COUNTIFS(EMP_Membre,$E40,EMP_Statut,"En retard"))</f>
        <v/>
      </c>
      <c r="M40" s="135">
        <f>IF($E40="","",SUMIFS(EMP_Amende,EMP_Membre,$E40,EMP_Paye,"&lt;&gt;Oui"))</f>
        <v/>
      </c>
      <c r="N40" s="130">
        <f>IF($E40="","",IF($L40&gt;0,"En retard",IF($K40&gt;=P_Max,"Limite atteinte","Actif")))</f>
        <v/>
      </c>
      <c r="P40">
        <f>IF(OR(Q_Rech="",$E40=""),"",IF(ISNUMBER(SEARCH(Q_Rech,$E40&amp;" "&amp;$F40&amp;" "&amp;$H40)),COUNT($P$6:$P39)+1,""))</f>
        <v/>
      </c>
    </row>
    <row r="41" ht="21" customHeight="1">
      <c r="A41" s="1" t="n"/>
      <c r="B41" s="1" t="n"/>
      <c r="C41" s="2" t="n"/>
      <c r="E41" s="127" t="inlineStr">
        <is>
          <t>MEM-035</t>
        </is>
      </c>
      <c r="F41" s="127" t="inlineStr">
        <is>
          <t>M. Isaac Kasereka</t>
        </is>
      </c>
      <c r="G41" s="127" t="inlineStr">
        <is>
          <t>Enseignant</t>
        </is>
      </c>
      <c r="H41" s="127" t="inlineStr">
        <is>
          <t>Personnel</t>
        </is>
      </c>
      <c r="I41" s="133" t="inlineStr">
        <is>
          <t>M</t>
        </is>
      </c>
      <c r="J41" s="134" t="n">
        <v>46272</v>
      </c>
      <c r="K41" s="129">
        <f>IF($E41="","",COUNTIFS(EMP_Membre,$E41,EMP_Retour,""))</f>
        <v/>
      </c>
      <c r="L41" s="129">
        <f>IF($E41="","",COUNTIFS(EMP_Membre,$E41,EMP_Statut,"En retard"))</f>
        <v/>
      </c>
      <c r="M41" s="135">
        <f>IF($E41="","",SUMIFS(EMP_Amende,EMP_Membre,$E41,EMP_Paye,"&lt;&gt;Oui"))</f>
        <v/>
      </c>
      <c r="N41" s="130">
        <f>IF($E41="","",IF($L41&gt;0,"En retard",IF($K41&gt;=P_Max,"Limite atteinte","Actif")))</f>
        <v/>
      </c>
      <c r="P41">
        <f>IF(OR(Q_Rech="",$E41=""),"",IF(ISNUMBER(SEARCH(Q_Rech,$E41&amp;" "&amp;$F41&amp;" "&amp;$H41)),COUNT($P$6:$P40)+1,""))</f>
        <v/>
      </c>
    </row>
    <row r="42" ht="21" customHeight="1">
      <c r="A42" s="1" t="n"/>
      <c r="B42" s="1" t="n"/>
      <c r="C42" s="2" t="n"/>
      <c r="E42" s="127" t="inlineStr">
        <is>
          <t>MEM-036</t>
        </is>
      </c>
      <c r="F42" s="127" t="inlineStr">
        <is>
          <t>Mme Divine Balume</t>
        </is>
      </c>
      <c r="G42" s="127" t="inlineStr">
        <is>
          <t>Enseignant</t>
        </is>
      </c>
      <c r="H42" s="127" t="inlineStr">
        <is>
          <t>Personnel</t>
        </is>
      </c>
      <c r="I42" s="133" t="inlineStr">
        <is>
          <t>F</t>
        </is>
      </c>
      <c r="J42" s="134" t="n">
        <v>46266</v>
      </c>
      <c r="K42" s="129">
        <f>IF($E42="","",COUNTIFS(EMP_Membre,$E42,EMP_Retour,""))</f>
        <v/>
      </c>
      <c r="L42" s="129">
        <f>IF($E42="","",COUNTIFS(EMP_Membre,$E42,EMP_Statut,"En retard"))</f>
        <v/>
      </c>
      <c r="M42" s="135">
        <f>IF($E42="","",SUMIFS(EMP_Amende,EMP_Membre,$E42,EMP_Paye,"&lt;&gt;Oui"))</f>
        <v/>
      </c>
      <c r="N42" s="130">
        <f>IF($E42="","",IF($L42&gt;0,"En retard",IF($K42&gt;=P_Max,"Limite atteinte","Actif")))</f>
        <v/>
      </c>
      <c r="P42">
        <f>IF(OR(Q_Rech="",$E42=""),"",IF(ISNUMBER(SEARCH(Q_Rech,$E42&amp;" "&amp;$F42&amp;" "&amp;$H42)),COUNT($P$6:$P41)+1,""))</f>
        <v/>
      </c>
    </row>
    <row r="43" ht="21" customHeight="1">
      <c r="A43" s="1" t="n"/>
      <c r="B43" s="1" t="n"/>
      <c r="C43" s="2" t="n"/>
      <c r="E43" s="127" t="inlineStr">
        <is>
          <t>MEM-037</t>
        </is>
      </c>
      <c r="F43" s="127" t="inlineStr">
        <is>
          <t>Mme Divine Safari</t>
        </is>
      </c>
      <c r="G43" s="127" t="inlineStr">
        <is>
          <t>Enseignant</t>
        </is>
      </c>
      <c r="H43" s="127" t="inlineStr">
        <is>
          <t>Personnel</t>
        </is>
      </c>
      <c r="I43" s="133" t="inlineStr">
        <is>
          <t>F</t>
        </is>
      </c>
      <c r="J43" s="134" t="n">
        <v>46272</v>
      </c>
      <c r="K43" s="129">
        <f>IF($E43="","",COUNTIFS(EMP_Membre,$E43,EMP_Retour,""))</f>
        <v/>
      </c>
      <c r="L43" s="129">
        <f>IF($E43="","",COUNTIFS(EMP_Membre,$E43,EMP_Statut,"En retard"))</f>
        <v/>
      </c>
      <c r="M43" s="135">
        <f>IF($E43="","",SUMIFS(EMP_Amende,EMP_Membre,$E43,EMP_Paye,"&lt;&gt;Oui"))</f>
        <v/>
      </c>
      <c r="N43" s="130">
        <f>IF($E43="","",IF($L43&gt;0,"En retard",IF($K43&gt;=P_Max,"Limite atteinte","Actif")))</f>
        <v/>
      </c>
      <c r="P43">
        <f>IF(OR(Q_Rech="",$E43=""),"",IF(ISNUMBER(SEARCH(Q_Rech,$E43&amp;" "&amp;$F43&amp;" "&amp;$H43)),COUNT($P$6:$P42)+1,""))</f>
        <v/>
      </c>
    </row>
    <row r="44" ht="21" customHeight="1">
      <c r="A44" s="1" t="n"/>
      <c r="B44" s="1" t="n"/>
      <c r="C44" s="2" t="n"/>
      <c r="E44" s="127" t="inlineStr">
        <is>
          <t>MEM-038</t>
        </is>
      </c>
      <c r="F44" s="127" t="inlineStr">
        <is>
          <t>Mme Grâce Nsimire</t>
        </is>
      </c>
      <c r="G44" s="127" t="inlineStr">
        <is>
          <t>Enseignant</t>
        </is>
      </c>
      <c r="H44" s="127" t="inlineStr">
        <is>
          <t>Personnel</t>
        </is>
      </c>
      <c r="I44" s="133" t="inlineStr">
        <is>
          <t>F</t>
        </is>
      </c>
      <c r="J44" s="134" t="n">
        <v>46301</v>
      </c>
      <c r="K44" s="129">
        <f>IF($E44="","",COUNTIFS(EMP_Membre,$E44,EMP_Retour,""))</f>
        <v/>
      </c>
      <c r="L44" s="129">
        <f>IF($E44="","",COUNTIFS(EMP_Membre,$E44,EMP_Statut,"En retard"))</f>
        <v/>
      </c>
      <c r="M44" s="135">
        <f>IF($E44="","",SUMIFS(EMP_Amende,EMP_Membre,$E44,EMP_Paye,"&lt;&gt;Oui"))</f>
        <v/>
      </c>
      <c r="N44" s="130">
        <f>IF($E44="","",IF($L44&gt;0,"En retard",IF($K44&gt;=P_Max,"Limite atteinte","Actif")))</f>
        <v/>
      </c>
      <c r="P44">
        <f>IF(OR(Q_Rech="",$E44=""),"",IF(ISNUMBER(SEARCH(Q_Rech,$E44&amp;" "&amp;$F44&amp;" "&amp;$H44)),COUNT($P$6:$P43)+1,""))</f>
        <v/>
      </c>
    </row>
    <row r="45" ht="21" customHeight="1">
      <c r="A45" s="1" t="n"/>
      <c r="B45" s="1" t="n"/>
      <c r="C45" s="2" t="n"/>
      <c r="E45" s="127" t="inlineStr">
        <is>
          <t>MEM-039</t>
        </is>
      </c>
      <c r="F45" s="127" t="inlineStr">
        <is>
          <t>Jonathan Mirindi</t>
        </is>
      </c>
      <c r="G45" s="127" t="inlineStr">
        <is>
          <t>Personnel</t>
        </is>
      </c>
      <c r="H45" s="127" t="inlineStr">
        <is>
          <t>Personnel</t>
        </is>
      </c>
      <c r="I45" s="133" t="inlineStr">
        <is>
          <t>M</t>
        </is>
      </c>
      <c r="J45" s="134" t="n">
        <v>46300</v>
      </c>
      <c r="K45" s="129">
        <f>IF($E45="","",COUNTIFS(EMP_Membre,$E45,EMP_Retour,""))</f>
        <v/>
      </c>
      <c r="L45" s="129">
        <f>IF($E45="","",COUNTIFS(EMP_Membre,$E45,EMP_Statut,"En retard"))</f>
        <v/>
      </c>
      <c r="M45" s="135">
        <f>IF($E45="","",SUMIFS(EMP_Amende,EMP_Membre,$E45,EMP_Paye,"&lt;&gt;Oui"))</f>
        <v/>
      </c>
      <c r="N45" s="130">
        <f>IF($E45="","",IF($L45&gt;0,"En retard",IF($K45&gt;=P_Max,"Limite atteinte","Actif")))</f>
        <v/>
      </c>
      <c r="P45">
        <f>IF(OR(Q_Rech="",$E45=""),"",IF(ISNUMBER(SEARCH(Q_Rech,$E45&amp;" "&amp;$F45&amp;" "&amp;$H45)),COUNT($P$6:$P44)+1,""))</f>
        <v/>
      </c>
    </row>
    <row r="46" ht="21" customHeight="1">
      <c r="A46" s="1" t="n"/>
      <c r="B46" s="1" t="n"/>
      <c r="C46" s="2" t="n"/>
      <c r="E46" s="127" t="inlineStr">
        <is>
          <t>MEM-040</t>
        </is>
      </c>
      <c r="F46" s="127" t="inlineStr">
        <is>
          <t>Ornella Kalume</t>
        </is>
      </c>
      <c r="G46" s="127" t="inlineStr">
        <is>
          <t>Personnel</t>
        </is>
      </c>
      <c r="H46" s="127" t="inlineStr">
        <is>
          <t>Personnel</t>
        </is>
      </c>
      <c r="I46" s="133" t="inlineStr">
        <is>
          <t>F</t>
        </is>
      </c>
      <c r="J46" s="134" t="n">
        <v>46302</v>
      </c>
      <c r="K46" s="129">
        <f>IF($E46="","",COUNTIFS(EMP_Membre,$E46,EMP_Retour,""))</f>
        <v/>
      </c>
      <c r="L46" s="129">
        <f>IF($E46="","",COUNTIFS(EMP_Membre,$E46,EMP_Statut,"En retard"))</f>
        <v/>
      </c>
      <c r="M46" s="135">
        <f>IF($E46="","",SUMIFS(EMP_Amende,EMP_Membre,$E46,EMP_Paye,"&lt;&gt;Oui"))</f>
        <v/>
      </c>
      <c r="N46" s="130">
        <f>IF($E46="","",IF($L46&gt;0,"En retard",IF($K46&gt;=P_Max,"Limite atteinte","Actif")))</f>
        <v/>
      </c>
      <c r="P46">
        <f>IF(OR(Q_Rech="",$E46=""),"",IF(ISNUMBER(SEARCH(Q_Rech,$E46&amp;" "&amp;$F46&amp;" "&amp;$H46)),COUNT($P$6:$P45)+1,""))</f>
        <v/>
      </c>
    </row>
    <row r="47" ht="21" customHeight="1">
      <c r="A47" s="1" t="n"/>
      <c r="B47" s="1" t="n"/>
      <c r="C47" s="2" t="n"/>
      <c r="E47" s="127" t="n"/>
      <c r="F47" s="127" t="n"/>
      <c r="G47" s="127" t="n"/>
      <c r="H47" s="127" t="n"/>
      <c r="I47" s="133" t="n"/>
      <c r="J47" s="134" t="n"/>
      <c r="K47" s="129">
        <f>IF($E47="","",COUNTIFS(EMP_Membre,$E47,EMP_Retour,""))</f>
        <v/>
      </c>
      <c r="L47" s="129">
        <f>IF($E47="","",COUNTIFS(EMP_Membre,$E47,EMP_Statut,"En retard"))</f>
        <v/>
      </c>
      <c r="M47" s="135">
        <f>IF($E47="","",SUMIFS(EMP_Amende,EMP_Membre,$E47,EMP_Paye,"&lt;&gt;Oui"))</f>
        <v/>
      </c>
      <c r="N47" s="130">
        <f>IF($E47="","",IF($L47&gt;0,"En retard",IF($K47&gt;=P_Max,"Limite atteinte","Actif")))</f>
        <v/>
      </c>
      <c r="P47">
        <f>IF(OR(Q_Rech="",$E47=""),"",IF(ISNUMBER(SEARCH(Q_Rech,$E47&amp;" "&amp;$F47&amp;" "&amp;$H47)),COUNT($P$6:$P46)+1,""))</f>
        <v/>
      </c>
    </row>
    <row r="48" ht="21" customHeight="1">
      <c r="A48" s="1" t="n"/>
      <c r="B48" s="1" t="n"/>
      <c r="C48" s="2" t="n"/>
      <c r="E48" s="127" t="n"/>
      <c r="F48" s="127" t="n"/>
      <c r="G48" s="127" t="n"/>
      <c r="H48" s="127" t="n"/>
      <c r="I48" s="133" t="n"/>
      <c r="J48" s="134" t="n"/>
      <c r="K48" s="129">
        <f>IF($E48="","",COUNTIFS(EMP_Membre,$E48,EMP_Retour,""))</f>
        <v/>
      </c>
      <c r="L48" s="129">
        <f>IF($E48="","",COUNTIFS(EMP_Membre,$E48,EMP_Statut,"En retard"))</f>
        <v/>
      </c>
      <c r="M48" s="135">
        <f>IF($E48="","",SUMIFS(EMP_Amende,EMP_Membre,$E48,EMP_Paye,"&lt;&gt;Oui"))</f>
        <v/>
      </c>
      <c r="N48" s="130">
        <f>IF($E48="","",IF($L48&gt;0,"En retard",IF($K48&gt;=P_Max,"Limite atteinte","Actif")))</f>
        <v/>
      </c>
      <c r="P48">
        <f>IF(OR(Q_Rech="",$E48=""),"",IF(ISNUMBER(SEARCH(Q_Rech,$E48&amp;" "&amp;$F48&amp;" "&amp;$H48)),COUNT($P$6:$P47)+1,""))</f>
        <v/>
      </c>
    </row>
    <row r="49" ht="21" customHeight="1">
      <c r="A49" s="1" t="n"/>
      <c r="B49" s="1" t="n"/>
      <c r="C49" s="2" t="n"/>
      <c r="E49" s="127" t="n"/>
      <c r="F49" s="127" t="n"/>
      <c r="G49" s="127" t="n"/>
      <c r="H49" s="127" t="n"/>
      <c r="I49" s="133" t="n"/>
      <c r="J49" s="134" t="n"/>
      <c r="K49" s="129">
        <f>IF($E49="","",COUNTIFS(EMP_Membre,$E49,EMP_Retour,""))</f>
        <v/>
      </c>
      <c r="L49" s="129">
        <f>IF($E49="","",COUNTIFS(EMP_Membre,$E49,EMP_Statut,"En retard"))</f>
        <v/>
      </c>
      <c r="M49" s="135">
        <f>IF($E49="","",SUMIFS(EMP_Amende,EMP_Membre,$E49,EMP_Paye,"&lt;&gt;Oui"))</f>
        <v/>
      </c>
      <c r="N49" s="130">
        <f>IF($E49="","",IF($L49&gt;0,"En retard",IF($K49&gt;=P_Max,"Limite atteinte","Actif")))</f>
        <v/>
      </c>
      <c r="P49">
        <f>IF(OR(Q_Rech="",$E49=""),"",IF(ISNUMBER(SEARCH(Q_Rech,$E49&amp;" "&amp;$F49&amp;" "&amp;$H49)),COUNT($P$6:$P48)+1,""))</f>
        <v/>
      </c>
    </row>
    <row r="50" ht="21" customHeight="1">
      <c r="A50" s="1" t="n"/>
      <c r="B50" s="1" t="n"/>
      <c r="C50" s="2" t="n"/>
      <c r="E50" s="127" t="n"/>
      <c r="F50" s="127" t="n"/>
      <c r="G50" s="127" t="n"/>
      <c r="H50" s="127" t="n"/>
      <c r="I50" s="133" t="n"/>
      <c r="J50" s="134" t="n"/>
      <c r="K50" s="129">
        <f>IF($E50="","",COUNTIFS(EMP_Membre,$E50,EMP_Retour,""))</f>
        <v/>
      </c>
      <c r="L50" s="129">
        <f>IF($E50="","",COUNTIFS(EMP_Membre,$E50,EMP_Statut,"En retard"))</f>
        <v/>
      </c>
      <c r="M50" s="135">
        <f>IF($E50="","",SUMIFS(EMP_Amende,EMP_Membre,$E50,EMP_Paye,"&lt;&gt;Oui"))</f>
        <v/>
      </c>
      <c r="N50" s="130">
        <f>IF($E50="","",IF($L50&gt;0,"En retard",IF($K50&gt;=P_Max,"Limite atteinte","Actif")))</f>
        <v/>
      </c>
      <c r="P50">
        <f>IF(OR(Q_Rech="",$E50=""),"",IF(ISNUMBER(SEARCH(Q_Rech,$E50&amp;" "&amp;$F50&amp;" "&amp;$H50)),COUNT($P$6:$P49)+1,""))</f>
        <v/>
      </c>
    </row>
    <row r="51" ht="21" customHeight="1">
      <c r="A51" s="1" t="n"/>
      <c r="B51" s="1" t="n"/>
      <c r="C51" s="2" t="n"/>
      <c r="E51" s="127" t="n"/>
      <c r="F51" s="127" t="n"/>
      <c r="G51" s="127" t="n"/>
      <c r="H51" s="127" t="n"/>
      <c r="I51" s="133" t="n"/>
      <c r="J51" s="134" t="n"/>
      <c r="K51" s="129">
        <f>IF($E51="","",COUNTIFS(EMP_Membre,$E51,EMP_Retour,""))</f>
        <v/>
      </c>
      <c r="L51" s="129">
        <f>IF($E51="","",COUNTIFS(EMP_Membre,$E51,EMP_Statut,"En retard"))</f>
        <v/>
      </c>
      <c r="M51" s="135">
        <f>IF($E51="","",SUMIFS(EMP_Amende,EMP_Membre,$E51,EMP_Paye,"&lt;&gt;Oui"))</f>
        <v/>
      </c>
      <c r="N51" s="130">
        <f>IF($E51="","",IF($L51&gt;0,"En retard",IF($K51&gt;=P_Max,"Limite atteinte","Actif")))</f>
        <v/>
      </c>
      <c r="P51">
        <f>IF(OR(Q_Rech="",$E51=""),"",IF(ISNUMBER(SEARCH(Q_Rech,$E51&amp;" "&amp;$F51&amp;" "&amp;$H51)),COUNT($P$6:$P50)+1,""))</f>
        <v/>
      </c>
    </row>
    <row r="52" ht="21" customHeight="1">
      <c r="A52" s="1" t="n"/>
      <c r="B52" s="1" t="n"/>
      <c r="C52" s="2" t="n"/>
      <c r="E52" s="127" t="n"/>
      <c r="F52" s="127" t="n"/>
      <c r="G52" s="127" t="n"/>
      <c r="H52" s="127" t="n"/>
      <c r="I52" s="133" t="n"/>
      <c r="J52" s="134" t="n"/>
      <c r="K52" s="129">
        <f>IF($E52="","",COUNTIFS(EMP_Membre,$E52,EMP_Retour,""))</f>
        <v/>
      </c>
      <c r="L52" s="129">
        <f>IF($E52="","",COUNTIFS(EMP_Membre,$E52,EMP_Statut,"En retard"))</f>
        <v/>
      </c>
      <c r="M52" s="135">
        <f>IF($E52="","",SUMIFS(EMP_Amende,EMP_Membre,$E52,EMP_Paye,"&lt;&gt;Oui"))</f>
        <v/>
      </c>
      <c r="N52" s="130">
        <f>IF($E52="","",IF($L52&gt;0,"En retard",IF($K52&gt;=P_Max,"Limite atteinte","Actif")))</f>
        <v/>
      </c>
      <c r="P52">
        <f>IF(OR(Q_Rech="",$E52=""),"",IF(ISNUMBER(SEARCH(Q_Rech,$E52&amp;" "&amp;$F52&amp;" "&amp;$H52)),COUNT($P$6:$P51)+1,""))</f>
        <v/>
      </c>
    </row>
    <row r="53" ht="21" customHeight="1">
      <c r="A53" s="1" t="n"/>
      <c r="B53" s="1" t="n"/>
      <c r="C53" s="2" t="n"/>
      <c r="E53" s="127" t="n"/>
      <c r="F53" s="127" t="n"/>
      <c r="G53" s="127" t="n"/>
      <c r="H53" s="127" t="n"/>
      <c r="I53" s="133" t="n"/>
      <c r="J53" s="134" t="n"/>
      <c r="K53" s="129">
        <f>IF($E53="","",COUNTIFS(EMP_Membre,$E53,EMP_Retour,""))</f>
        <v/>
      </c>
      <c r="L53" s="129">
        <f>IF($E53="","",COUNTIFS(EMP_Membre,$E53,EMP_Statut,"En retard"))</f>
        <v/>
      </c>
      <c r="M53" s="135">
        <f>IF($E53="","",SUMIFS(EMP_Amende,EMP_Membre,$E53,EMP_Paye,"&lt;&gt;Oui"))</f>
        <v/>
      </c>
      <c r="N53" s="130">
        <f>IF($E53="","",IF($L53&gt;0,"En retard",IF($K53&gt;=P_Max,"Limite atteinte","Actif")))</f>
        <v/>
      </c>
      <c r="P53">
        <f>IF(OR(Q_Rech="",$E53=""),"",IF(ISNUMBER(SEARCH(Q_Rech,$E53&amp;" "&amp;$F53&amp;" "&amp;$H53)),COUNT($P$6:$P52)+1,""))</f>
        <v/>
      </c>
    </row>
    <row r="54" ht="21" customHeight="1">
      <c r="A54" s="1" t="n"/>
      <c r="B54" s="1" t="n"/>
      <c r="C54" s="2" t="n"/>
      <c r="E54" s="127" t="n"/>
      <c r="F54" s="127" t="n"/>
      <c r="G54" s="127" t="n"/>
      <c r="H54" s="127" t="n"/>
      <c r="I54" s="133" t="n"/>
      <c r="J54" s="134" t="n"/>
      <c r="K54" s="129">
        <f>IF($E54="","",COUNTIFS(EMP_Membre,$E54,EMP_Retour,""))</f>
        <v/>
      </c>
      <c r="L54" s="129">
        <f>IF($E54="","",COUNTIFS(EMP_Membre,$E54,EMP_Statut,"En retard"))</f>
        <v/>
      </c>
      <c r="M54" s="135">
        <f>IF($E54="","",SUMIFS(EMP_Amende,EMP_Membre,$E54,EMP_Paye,"&lt;&gt;Oui"))</f>
        <v/>
      </c>
      <c r="N54" s="130">
        <f>IF($E54="","",IF($L54&gt;0,"En retard",IF($K54&gt;=P_Max,"Limite atteinte","Actif")))</f>
        <v/>
      </c>
      <c r="P54">
        <f>IF(OR(Q_Rech="",$E54=""),"",IF(ISNUMBER(SEARCH(Q_Rech,$E54&amp;" "&amp;$F54&amp;" "&amp;$H54)),COUNT($P$6:$P53)+1,""))</f>
        <v/>
      </c>
    </row>
    <row r="55" ht="21" customHeight="1">
      <c r="A55" s="1" t="n"/>
      <c r="B55" s="1" t="n"/>
      <c r="C55" s="2" t="n"/>
      <c r="E55" s="127" t="n"/>
      <c r="F55" s="127" t="n"/>
      <c r="G55" s="127" t="n"/>
      <c r="H55" s="127" t="n"/>
      <c r="I55" s="133" t="n"/>
      <c r="J55" s="134" t="n"/>
      <c r="K55" s="129">
        <f>IF($E55="","",COUNTIFS(EMP_Membre,$E55,EMP_Retour,""))</f>
        <v/>
      </c>
      <c r="L55" s="129">
        <f>IF($E55="","",COUNTIFS(EMP_Membre,$E55,EMP_Statut,"En retard"))</f>
        <v/>
      </c>
      <c r="M55" s="135">
        <f>IF($E55="","",SUMIFS(EMP_Amende,EMP_Membre,$E55,EMP_Paye,"&lt;&gt;Oui"))</f>
        <v/>
      </c>
      <c r="N55" s="130">
        <f>IF($E55="","",IF($L55&gt;0,"En retard",IF($K55&gt;=P_Max,"Limite atteinte","Actif")))</f>
        <v/>
      </c>
      <c r="P55">
        <f>IF(OR(Q_Rech="",$E55=""),"",IF(ISNUMBER(SEARCH(Q_Rech,$E55&amp;" "&amp;$F55&amp;" "&amp;$H55)),COUNT($P$6:$P54)+1,""))</f>
        <v/>
      </c>
    </row>
    <row r="56" ht="21" customHeight="1">
      <c r="A56" s="1" t="n"/>
      <c r="B56" s="1" t="n"/>
      <c r="C56" s="2" t="n"/>
      <c r="E56" s="127" t="n"/>
      <c r="F56" s="127" t="n"/>
      <c r="G56" s="127" t="n"/>
      <c r="H56" s="127" t="n"/>
      <c r="I56" s="133" t="n"/>
      <c r="J56" s="134" t="n"/>
      <c r="K56" s="129">
        <f>IF($E56="","",COUNTIFS(EMP_Membre,$E56,EMP_Retour,""))</f>
        <v/>
      </c>
      <c r="L56" s="129">
        <f>IF($E56="","",COUNTIFS(EMP_Membre,$E56,EMP_Statut,"En retard"))</f>
        <v/>
      </c>
      <c r="M56" s="135">
        <f>IF($E56="","",SUMIFS(EMP_Amende,EMP_Membre,$E56,EMP_Paye,"&lt;&gt;Oui"))</f>
        <v/>
      </c>
      <c r="N56" s="130">
        <f>IF($E56="","",IF($L56&gt;0,"En retard",IF($K56&gt;=P_Max,"Limite atteinte","Actif")))</f>
        <v/>
      </c>
      <c r="P56">
        <f>IF(OR(Q_Rech="",$E56=""),"",IF(ISNUMBER(SEARCH(Q_Rech,$E56&amp;" "&amp;$F56&amp;" "&amp;$H56)),COUNT($P$6:$P55)+1,""))</f>
        <v/>
      </c>
    </row>
    <row r="57" ht="21" customHeight="1">
      <c r="A57" s="1" t="n"/>
      <c r="B57" s="1" t="n"/>
      <c r="C57" s="2" t="n"/>
      <c r="E57" s="127" t="n"/>
      <c r="F57" s="127" t="n"/>
      <c r="G57" s="127" t="n"/>
      <c r="H57" s="127" t="n"/>
      <c r="I57" s="133" t="n"/>
      <c r="J57" s="134" t="n"/>
      <c r="K57" s="129">
        <f>IF($E57="","",COUNTIFS(EMP_Membre,$E57,EMP_Retour,""))</f>
        <v/>
      </c>
      <c r="L57" s="129">
        <f>IF($E57="","",COUNTIFS(EMP_Membre,$E57,EMP_Statut,"En retard"))</f>
        <v/>
      </c>
      <c r="M57" s="135">
        <f>IF($E57="","",SUMIFS(EMP_Amende,EMP_Membre,$E57,EMP_Paye,"&lt;&gt;Oui"))</f>
        <v/>
      </c>
      <c r="N57" s="130">
        <f>IF($E57="","",IF($L57&gt;0,"En retard",IF($K57&gt;=P_Max,"Limite atteinte","Actif")))</f>
        <v/>
      </c>
      <c r="P57">
        <f>IF(OR(Q_Rech="",$E57=""),"",IF(ISNUMBER(SEARCH(Q_Rech,$E57&amp;" "&amp;$F57&amp;" "&amp;$H57)),COUNT($P$6:$P56)+1,""))</f>
        <v/>
      </c>
    </row>
    <row r="58" ht="21" customHeight="1">
      <c r="A58" s="1" t="n"/>
      <c r="B58" s="1" t="n"/>
      <c r="C58" s="2" t="n"/>
      <c r="E58" s="127" t="n"/>
      <c r="F58" s="127" t="n"/>
      <c r="G58" s="127" t="n"/>
      <c r="H58" s="127" t="n"/>
      <c r="I58" s="133" t="n"/>
      <c r="J58" s="134" t="n"/>
      <c r="K58" s="129">
        <f>IF($E58="","",COUNTIFS(EMP_Membre,$E58,EMP_Retour,""))</f>
        <v/>
      </c>
      <c r="L58" s="129">
        <f>IF($E58="","",COUNTIFS(EMP_Membre,$E58,EMP_Statut,"En retard"))</f>
        <v/>
      </c>
      <c r="M58" s="135">
        <f>IF($E58="","",SUMIFS(EMP_Amende,EMP_Membre,$E58,EMP_Paye,"&lt;&gt;Oui"))</f>
        <v/>
      </c>
      <c r="N58" s="130">
        <f>IF($E58="","",IF($L58&gt;0,"En retard",IF($K58&gt;=P_Max,"Limite atteinte","Actif")))</f>
        <v/>
      </c>
      <c r="P58">
        <f>IF(OR(Q_Rech="",$E58=""),"",IF(ISNUMBER(SEARCH(Q_Rech,$E58&amp;" "&amp;$F58&amp;" "&amp;$H58)),COUNT($P$6:$P57)+1,""))</f>
        <v/>
      </c>
    </row>
    <row r="59" ht="21" customHeight="1">
      <c r="A59" s="1" t="n"/>
      <c r="B59" s="1" t="n"/>
      <c r="C59" s="2" t="n"/>
      <c r="E59" s="127" t="n"/>
      <c r="F59" s="127" t="n"/>
      <c r="G59" s="127" t="n"/>
      <c r="H59" s="127" t="n"/>
      <c r="I59" s="133" t="n"/>
      <c r="J59" s="134" t="n"/>
      <c r="K59" s="129">
        <f>IF($E59="","",COUNTIFS(EMP_Membre,$E59,EMP_Retour,""))</f>
        <v/>
      </c>
      <c r="L59" s="129">
        <f>IF($E59="","",COUNTIFS(EMP_Membre,$E59,EMP_Statut,"En retard"))</f>
        <v/>
      </c>
      <c r="M59" s="135">
        <f>IF($E59="","",SUMIFS(EMP_Amende,EMP_Membre,$E59,EMP_Paye,"&lt;&gt;Oui"))</f>
        <v/>
      </c>
      <c r="N59" s="130">
        <f>IF($E59="","",IF($L59&gt;0,"En retard",IF($K59&gt;=P_Max,"Limite atteinte","Actif")))</f>
        <v/>
      </c>
      <c r="P59">
        <f>IF(OR(Q_Rech="",$E59=""),"",IF(ISNUMBER(SEARCH(Q_Rech,$E59&amp;" "&amp;$F59&amp;" "&amp;$H59)),COUNT($P$6:$P58)+1,""))</f>
        <v/>
      </c>
    </row>
    <row r="60" ht="21" customHeight="1">
      <c r="A60" s="1" t="n"/>
      <c r="B60" s="1" t="n"/>
      <c r="C60" s="2" t="n"/>
      <c r="E60" s="127" t="n"/>
      <c r="F60" s="127" t="n"/>
      <c r="G60" s="127" t="n"/>
      <c r="H60" s="127" t="n"/>
      <c r="I60" s="133" t="n"/>
      <c r="J60" s="134" t="n"/>
      <c r="K60" s="129">
        <f>IF($E60="","",COUNTIFS(EMP_Membre,$E60,EMP_Retour,""))</f>
        <v/>
      </c>
      <c r="L60" s="129">
        <f>IF($E60="","",COUNTIFS(EMP_Membre,$E60,EMP_Statut,"En retard"))</f>
        <v/>
      </c>
      <c r="M60" s="135">
        <f>IF($E60="","",SUMIFS(EMP_Amende,EMP_Membre,$E60,EMP_Paye,"&lt;&gt;Oui"))</f>
        <v/>
      </c>
      <c r="N60" s="130">
        <f>IF($E60="","",IF($L60&gt;0,"En retard",IF($K60&gt;=P_Max,"Limite atteinte","Actif")))</f>
        <v/>
      </c>
      <c r="P60">
        <f>IF(OR(Q_Rech="",$E60=""),"",IF(ISNUMBER(SEARCH(Q_Rech,$E60&amp;" "&amp;$F60&amp;" "&amp;$H60)),COUNT($P$6:$P59)+1,""))</f>
        <v/>
      </c>
    </row>
    <row r="61" ht="21" customHeight="1">
      <c r="A61" s="1" t="n"/>
      <c r="B61" s="1" t="n"/>
      <c r="C61" s="2" t="n"/>
      <c r="E61" s="127" t="n"/>
      <c r="F61" s="127" t="n"/>
      <c r="G61" s="127" t="n"/>
      <c r="H61" s="127" t="n"/>
      <c r="I61" s="133" t="n"/>
      <c r="J61" s="134" t="n"/>
      <c r="K61" s="129">
        <f>IF($E61="","",COUNTIFS(EMP_Membre,$E61,EMP_Retour,""))</f>
        <v/>
      </c>
      <c r="L61" s="129">
        <f>IF($E61="","",COUNTIFS(EMP_Membre,$E61,EMP_Statut,"En retard"))</f>
        <v/>
      </c>
      <c r="M61" s="135">
        <f>IF($E61="","",SUMIFS(EMP_Amende,EMP_Membre,$E61,EMP_Paye,"&lt;&gt;Oui"))</f>
        <v/>
      </c>
      <c r="N61" s="130">
        <f>IF($E61="","",IF($L61&gt;0,"En retard",IF($K61&gt;=P_Max,"Limite atteinte","Actif")))</f>
        <v/>
      </c>
      <c r="P61">
        <f>IF(OR(Q_Rech="",$E61=""),"",IF(ISNUMBER(SEARCH(Q_Rech,$E61&amp;" "&amp;$F61&amp;" "&amp;$H61)),COUNT($P$6:$P60)+1,""))</f>
        <v/>
      </c>
    </row>
    <row r="62" ht="21" customHeight="1">
      <c r="A62" s="1" t="n"/>
      <c r="B62" s="1" t="n"/>
      <c r="C62" s="2" t="n"/>
      <c r="E62" s="127" t="n"/>
      <c r="F62" s="127" t="n"/>
      <c r="G62" s="127" t="n"/>
      <c r="H62" s="127" t="n"/>
      <c r="I62" s="133" t="n"/>
      <c r="J62" s="134" t="n"/>
      <c r="K62" s="129">
        <f>IF($E62="","",COUNTIFS(EMP_Membre,$E62,EMP_Retour,""))</f>
        <v/>
      </c>
      <c r="L62" s="129">
        <f>IF($E62="","",COUNTIFS(EMP_Membre,$E62,EMP_Statut,"En retard"))</f>
        <v/>
      </c>
      <c r="M62" s="135">
        <f>IF($E62="","",SUMIFS(EMP_Amende,EMP_Membre,$E62,EMP_Paye,"&lt;&gt;Oui"))</f>
        <v/>
      </c>
      <c r="N62" s="130">
        <f>IF($E62="","",IF($L62&gt;0,"En retard",IF($K62&gt;=P_Max,"Limite atteinte","Actif")))</f>
        <v/>
      </c>
      <c r="P62">
        <f>IF(OR(Q_Rech="",$E62=""),"",IF(ISNUMBER(SEARCH(Q_Rech,$E62&amp;" "&amp;$F62&amp;" "&amp;$H62)),COUNT($P$6:$P61)+1,""))</f>
        <v/>
      </c>
    </row>
    <row r="63" ht="21" customHeight="1">
      <c r="A63" s="1" t="n"/>
      <c r="B63" s="1" t="n"/>
      <c r="C63" s="2" t="n"/>
      <c r="E63" s="127" t="n"/>
      <c r="F63" s="127" t="n"/>
      <c r="G63" s="127" t="n"/>
      <c r="H63" s="127" t="n"/>
      <c r="I63" s="133" t="n"/>
      <c r="J63" s="134" t="n"/>
      <c r="K63" s="129">
        <f>IF($E63="","",COUNTIFS(EMP_Membre,$E63,EMP_Retour,""))</f>
        <v/>
      </c>
      <c r="L63" s="129">
        <f>IF($E63="","",COUNTIFS(EMP_Membre,$E63,EMP_Statut,"En retard"))</f>
        <v/>
      </c>
      <c r="M63" s="135">
        <f>IF($E63="","",SUMIFS(EMP_Amende,EMP_Membre,$E63,EMP_Paye,"&lt;&gt;Oui"))</f>
        <v/>
      </c>
      <c r="N63" s="130">
        <f>IF($E63="","",IF($L63&gt;0,"En retard",IF($K63&gt;=P_Max,"Limite atteinte","Actif")))</f>
        <v/>
      </c>
      <c r="P63">
        <f>IF(OR(Q_Rech="",$E63=""),"",IF(ISNUMBER(SEARCH(Q_Rech,$E63&amp;" "&amp;$F63&amp;" "&amp;$H63)),COUNT($P$6:$P62)+1,""))</f>
        <v/>
      </c>
    </row>
    <row r="64" ht="21" customHeight="1">
      <c r="A64" s="1" t="n"/>
      <c r="B64" s="1" t="n"/>
      <c r="C64" s="2" t="n"/>
      <c r="E64" s="127" t="n"/>
      <c r="F64" s="127" t="n"/>
      <c r="G64" s="127" t="n"/>
      <c r="H64" s="127" t="n"/>
      <c r="I64" s="133" t="n"/>
      <c r="J64" s="134" t="n"/>
      <c r="K64" s="129">
        <f>IF($E64="","",COUNTIFS(EMP_Membre,$E64,EMP_Retour,""))</f>
        <v/>
      </c>
      <c r="L64" s="129">
        <f>IF($E64="","",COUNTIFS(EMP_Membre,$E64,EMP_Statut,"En retard"))</f>
        <v/>
      </c>
      <c r="M64" s="135">
        <f>IF($E64="","",SUMIFS(EMP_Amende,EMP_Membre,$E64,EMP_Paye,"&lt;&gt;Oui"))</f>
        <v/>
      </c>
      <c r="N64" s="130">
        <f>IF($E64="","",IF($L64&gt;0,"En retard",IF($K64&gt;=P_Max,"Limite atteinte","Actif")))</f>
        <v/>
      </c>
      <c r="P64">
        <f>IF(OR(Q_Rech="",$E64=""),"",IF(ISNUMBER(SEARCH(Q_Rech,$E64&amp;" "&amp;$F64&amp;" "&amp;$H64)),COUNT($P$6:$P63)+1,""))</f>
        <v/>
      </c>
    </row>
    <row r="65" ht="21" customHeight="1">
      <c r="A65" s="1" t="n"/>
      <c r="B65" s="1" t="n"/>
      <c r="C65" s="2" t="n"/>
      <c r="E65" s="127" t="n"/>
      <c r="F65" s="127" t="n"/>
      <c r="G65" s="127" t="n"/>
      <c r="H65" s="127" t="n"/>
      <c r="I65" s="133" t="n"/>
      <c r="J65" s="134" t="n"/>
      <c r="K65" s="129">
        <f>IF($E65="","",COUNTIFS(EMP_Membre,$E65,EMP_Retour,""))</f>
        <v/>
      </c>
      <c r="L65" s="129">
        <f>IF($E65="","",COUNTIFS(EMP_Membre,$E65,EMP_Statut,"En retard"))</f>
        <v/>
      </c>
      <c r="M65" s="135">
        <f>IF($E65="","",SUMIFS(EMP_Amende,EMP_Membre,$E65,EMP_Paye,"&lt;&gt;Oui"))</f>
        <v/>
      </c>
      <c r="N65" s="130">
        <f>IF($E65="","",IF($L65&gt;0,"En retard",IF($K65&gt;=P_Max,"Limite atteinte","Actif")))</f>
        <v/>
      </c>
      <c r="P65">
        <f>IF(OR(Q_Rech="",$E65=""),"",IF(ISNUMBER(SEARCH(Q_Rech,$E65&amp;" "&amp;$F65&amp;" "&amp;$H65)),COUNT($P$6:$P64)+1,""))</f>
        <v/>
      </c>
    </row>
    <row r="66" ht="21" customHeight="1">
      <c r="A66" s="1" t="n"/>
      <c r="B66" s="1" t="n"/>
      <c r="C66" s="2" t="n"/>
      <c r="E66" s="127" t="n"/>
      <c r="F66" s="127" t="n"/>
      <c r="G66" s="127" t="n"/>
      <c r="H66" s="127" t="n"/>
      <c r="I66" s="133" t="n"/>
      <c r="J66" s="134" t="n"/>
      <c r="K66" s="129">
        <f>IF($E66="","",COUNTIFS(EMP_Membre,$E66,EMP_Retour,""))</f>
        <v/>
      </c>
      <c r="L66" s="129">
        <f>IF($E66="","",COUNTIFS(EMP_Membre,$E66,EMP_Statut,"En retard"))</f>
        <v/>
      </c>
      <c r="M66" s="135">
        <f>IF($E66="","",SUMIFS(EMP_Amende,EMP_Membre,$E66,EMP_Paye,"&lt;&gt;Oui"))</f>
        <v/>
      </c>
      <c r="N66" s="130">
        <f>IF($E66="","",IF($L66&gt;0,"En retard",IF($K66&gt;=P_Max,"Limite atteinte","Actif")))</f>
        <v/>
      </c>
      <c r="P66">
        <f>IF(OR(Q_Rech="",$E66=""),"",IF(ISNUMBER(SEARCH(Q_Rech,$E66&amp;" "&amp;$F66&amp;" "&amp;$H66)),COUNT($P$6:$P65)+1,""))</f>
        <v/>
      </c>
    </row>
    <row r="67" ht="21" customHeight="1">
      <c r="A67" s="1" t="n"/>
      <c r="B67" s="1" t="n"/>
      <c r="C67" s="2" t="n"/>
      <c r="E67" s="127" t="n"/>
      <c r="F67" s="127" t="n"/>
      <c r="G67" s="127" t="n"/>
      <c r="H67" s="127" t="n"/>
      <c r="I67" s="133" t="n"/>
      <c r="J67" s="134" t="n"/>
      <c r="K67" s="129">
        <f>IF($E67="","",COUNTIFS(EMP_Membre,$E67,EMP_Retour,""))</f>
        <v/>
      </c>
      <c r="L67" s="129">
        <f>IF($E67="","",COUNTIFS(EMP_Membre,$E67,EMP_Statut,"En retard"))</f>
        <v/>
      </c>
      <c r="M67" s="135">
        <f>IF($E67="","",SUMIFS(EMP_Amende,EMP_Membre,$E67,EMP_Paye,"&lt;&gt;Oui"))</f>
        <v/>
      </c>
      <c r="N67" s="130">
        <f>IF($E67="","",IF($L67&gt;0,"En retard",IF($K67&gt;=P_Max,"Limite atteinte","Actif")))</f>
        <v/>
      </c>
      <c r="P67">
        <f>IF(OR(Q_Rech="",$E67=""),"",IF(ISNUMBER(SEARCH(Q_Rech,$E67&amp;" "&amp;$F67&amp;" "&amp;$H67)),COUNT($P$6:$P66)+1,""))</f>
        <v/>
      </c>
    </row>
    <row r="68" ht="21" customHeight="1">
      <c r="A68" s="1" t="n"/>
      <c r="B68" s="1" t="n"/>
      <c r="C68" s="2" t="n"/>
      <c r="E68" s="127" t="n"/>
      <c r="F68" s="127" t="n"/>
      <c r="G68" s="127" t="n"/>
      <c r="H68" s="127" t="n"/>
      <c r="I68" s="133" t="n"/>
      <c r="J68" s="134" t="n"/>
      <c r="K68" s="129">
        <f>IF($E68="","",COUNTIFS(EMP_Membre,$E68,EMP_Retour,""))</f>
        <v/>
      </c>
      <c r="L68" s="129">
        <f>IF($E68="","",COUNTIFS(EMP_Membre,$E68,EMP_Statut,"En retard"))</f>
        <v/>
      </c>
      <c r="M68" s="135">
        <f>IF($E68="","",SUMIFS(EMP_Amende,EMP_Membre,$E68,EMP_Paye,"&lt;&gt;Oui"))</f>
        <v/>
      </c>
      <c r="N68" s="130">
        <f>IF($E68="","",IF($L68&gt;0,"En retard",IF($K68&gt;=P_Max,"Limite atteinte","Actif")))</f>
        <v/>
      </c>
      <c r="P68">
        <f>IF(OR(Q_Rech="",$E68=""),"",IF(ISNUMBER(SEARCH(Q_Rech,$E68&amp;" "&amp;$F68&amp;" "&amp;$H68)),COUNT($P$6:$P67)+1,""))</f>
        <v/>
      </c>
    </row>
    <row r="69" ht="21" customHeight="1">
      <c r="A69" s="1" t="n"/>
      <c r="B69" s="1" t="n"/>
      <c r="C69" s="2" t="n"/>
      <c r="E69" s="127" t="n"/>
      <c r="F69" s="127" t="n"/>
      <c r="G69" s="127" t="n"/>
      <c r="H69" s="127" t="n"/>
      <c r="I69" s="133" t="n"/>
      <c r="J69" s="134" t="n"/>
      <c r="K69" s="129">
        <f>IF($E69="","",COUNTIFS(EMP_Membre,$E69,EMP_Retour,""))</f>
        <v/>
      </c>
      <c r="L69" s="129">
        <f>IF($E69="","",COUNTIFS(EMP_Membre,$E69,EMP_Statut,"En retard"))</f>
        <v/>
      </c>
      <c r="M69" s="135">
        <f>IF($E69="","",SUMIFS(EMP_Amende,EMP_Membre,$E69,EMP_Paye,"&lt;&gt;Oui"))</f>
        <v/>
      </c>
      <c r="N69" s="130">
        <f>IF($E69="","",IF($L69&gt;0,"En retard",IF($K69&gt;=P_Max,"Limite atteinte","Actif")))</f>
        <v/>
      </c>
      <c r="P69">
        <f>IF(OR(Q_Rech="",$E69=""),"",IF(ISNUMBER(SEARCH(Q_Rech,$E69&amp;" "&amp;$F69&amp;" "&amp;$H69)),COUNT($P$6:$P68)+1,""))</f>
        <v/>
      </c>
    </row>
    <row r="70" ht="21" customHeight="1">
      <c r="A70" s="1" t="n"/>
      <c r="B70" s="1" t="n"/>
      <c r="C70" s="2" t="n"/>
      <c r="E70" s="127" t="n"/>
      <c r="F70" s="127" t="n"/>
      <c r="G70" s="127" t="n"/>
      <c r="H70" s="127" t="n"/>
      <c r="I70" s="133" t="n"/>
      <c r="J70" s="134" t="n"/>
      <c r="K70" s="129">
        <f>IF($E70="","",COUNTIFS(EMP_Membre,$E70,EMP_Retour,""))</f>
        <v/>
      </c>
      <c r="L70" s="129">
        <f>IF($E70="","",COUNTIFS(EMP_Membre,$E70,EMP_Statut,"En retard"))</f>
        <v/>
      </c>
      <c r="M70" s="135">
        <f>IF($E70="","",SUMIFS(EMP_Amende,EMP_Membre,$E70,EMP_Paye,"&lt;&gt;Oui"))</f>
        <v/>
      </c>
      <c r="N70" s="130">
        <f>IF($E70="","",IF($L70&gt;0,"En retard",IF($K70&gt;=P_Max,"Limite atteinte","Actif")))</f>
        <v/>
      </c>
      <c r="P70">
        <f>IF(OR(Q_Rech="",$E70=""),"",IF(ISNUMBER(SEARCH(Q_Rech,$E70&amp;" "&amp;$F70&amp;" "&amp;$H70)),COUNT($P$6:$P69)+1,""))</f>
        <v/>
      </c>
    </row>
    <row r="71" ht="21" customHeight="1">
      <c r="A71" s="1" t="n"/>
      <c r="B71" s="1" t="n"/>
      <c r="C71" s="2" t="n"/>
      <c r="E71" s="127" t="n"/>
      <c r="F71" s="127" t="n"/>
      <c r="G71" s="127" t="n"/>
      <c r="H71" s="127" t="n"/>
      <c r="I71" s="133" t="n"/>
      <c r="J71" s="134" t="n"/>
      <c r="K71" s="129">
        <f>IF($E71="","",COUNTIFS(EMP_Membre,$E71,EMP_Retour,""))</f>
        <v/>
      </c>
      <c r="L71" s="129">
        <f>IF($E71="","",COUNTIFS(EMP_Membre,$E71,EMP_Statut,"En retard"))</f>
        <v/>
      </c>
      <c r="M71" s="135">
        <f>IF($E71="","",SUMIFS(EMP_Amende,EMP_Membre,$E71,EMP_Paye,"&lt;&gt;Oui"))</f>
        <v/>
      </c>
      <c r="N71" s="130">
        <f>IF($E71="","",IF($L71&gt;0,"En retard",IF($K71&gt;=P_Max,"Limite atteinte","Actif")))</f>
        <v/>
      </c>
      <c r="P71">
        <f>IF(OR(Q_Rech="",$E71=""),"",IF(ISNUMBER(SEARCH(Q_Rech,$E71&amp;" "&amp;$F71&amp;" "&amp;$H71)),COUNT($P$6:$P70)+1,""))</f>
        <v/>
      </c>
    </row>
    <row r="72" ht="21" customHeight="1">
      <c r="A72" s="1" t="n"/>
      <c r="B72" s="1" t="n"/>
      <c r="C72" s="2" t="n"/>
      <c r="E72" s="127" t="n"/>
      <c r="F72" s="127" t="n"/>
      <c r="G72" s="127" t="n"/>
      <c r="H72" s="127" t="n"/>
      <c r="I72" s="133" t="n"/>
      <c r="J72" s="134" t="n"/>
      <c r="K72" s="129">
        <f>IF($E72="","",COUNTIFS(EMP_Membre,$E72,EMP_Retour,""))</f>
        <v/>
      </c>
      <c r="L72" s="129">
        <f>IF($E72="","",COUNTIFS(EMP_Membre,$E72,EMP_Statut,"En retard"))</f>
        <v/>
      </c>
      <c r="M72" s="135">
        <f>IF($E72="","",SUMIFS(EMP_Amende,EMP_Membre,$E72,EMP_Paye,"&lt;&gt;Oui"))</f>
        <v/>
      </c>
      <c r="N72" s="130">
        <f>IF($E72="","",IF($L72&gt;0,"En retard",IF($K72&gt;=P_Max,"Limite atteinte","Actif")))</f>
        <v/>
      </c>
      <c r="P72">
        <f>IF(OR(Q_Rech="",$E72=""),"",IF(ISNUMBER(SEARCH(Q_Rech,$E72&amp;" "&amp;$F72&amp;" "&amp;$H72)),COUNT($P$6:$P71)+1,""))</f>
        <v/>
      </c>
    </row>
    <row r="73" ht="21" customHeight="1">
      <c r="A73" s="1" t="n"/>
      <c r="B73" s="1" t="n"/>
      <c r="C73" s="2" t="n"/>
      <c r="E73" s="127" t="n"/>
      <c r="F73" s="127" t="n"/>
      <c r="G73" s="127" t="n"/>
      <c r="H73" s="127" t="n"/>
      <c r="I73" s="133" t="n"/>
      <c r="J73" s="134" t="n"/>
      <c r="K73" s="129">
        <f>IF($E73="","",COUNTIFS(EMP_Membre,$E73,EMP_Retour,""))</f>
        <v/>
      </c>
      <c r="L73" s="129">
        <f>IF($E73="","",COUNTIFS(EMP_Membre,$E73,EMP_Statut,"En retard"))</f>
        <v/>
      </c>
      <c r="M73" s="135">
        <f>IF($E73="","",SUMIFS(EMP_Amende,EMP_Membre,$E73,EMP_Paye,"&lt;&gt;Oui"))</f>
        <v/>
      </c>
      <c r="N73" s="130">
        <f>IF($E73="","",IF($L73&gt;0,"En retard",IF($K73&gt;=P_Max,"Limite atteinte","Actif")))</f>
        <v/>
      </c>
      <c r="P73">
        <f>IF(OR(Q_Rech="",$E73=""),"",IF(ISNUMBER(SEARCH(Q_Rech,$E73&amp;" "&amp;$F73&amp;" "&amp;$H73)),COUNT($P$6:$P72)+1,""))</f>
        <v/>
      </c>
    </row>
    <row r="74" ht="21" customHeight="1">
      <c r="A74" s="1" t="n"/>
      <c r="B74" s="1" t="n"/>
      <c r="C74" s="2" t="n"/>
      <c r="E74" s="127" t="n"/>
      <c r="F74" s="127" t="n"/>
      <c r="G74" s="127" t="n"/>
      <c r="H74" s="127" t="n"/>
      <c r="I74" s="133" t="n"/>
      <c r="J74" s="134" t="n"/>
      <c r="K74" s="129">
        <f>IF($E74="","",COUNTIFS(EMP_Membre,$E74,EMP_Retour,""))</f>
        <v/>
      </c>
      <c r="L74" s="129">
        <f>IF($E74="","",COUNTIFS(EMP_Membre,$E74,EMP_Statut,"En retard"))</f>
        <v/>
      </c>
      <c r="M74" s="135">
        <f>IF($E74="","",SUMIFS(EMP_Amende,EMP_Membre,$E74,EMP_Paye,"&lt;&gt;Oui"))</f>
        <v/>
      </c>
      <c r="N74" s="130">
        <f>IF($E74="","",IF($L74&gt;0,"En retard",IF($K74&gt;=P_Max,"Limite atteinte","Actif")))</f>
        <v/>
      </c>
      <c r="P74">
        <f>IF(OR(Q_Rech="",$E74=""),"",IF(ISNUMBER(SEARCH(Q_Rech,$E74&amp;" "&amp;$F74&amp;" "&amp;$H74)),COUNT($P$6:$P73)+1,""))</f>
        <v/>
      </c>
    </row>
    <row r="75" ht="21" customHeight="1">
      <c r="A75" s="1" t="n"/>
      <c r="B75" s="1" t="n"/>
      <c r="C75" s="2" t="n"/>
      <c r="E75" s="127" t="n"/>
      <c r="F75" s="127" t="n"/>
      <c r="G75" s="127" t="n"/>
      <c r="H75" s="127" t="n"/>
      <c r="I75" s="133" t="n"/>
      <c r="J75" s="134" t="n"/>
      <c r="K75" s="129">
        <f>IF($E75="","",COUNTIFS(EMP_Membre,$E75,EMP_Retour,""))</f>
        <v/>
      </c>
      <c r="L75" s="129">
        <f>IF($E75="","",COUNTIFS(EMP_Membre,$E75,EMP_Statut,"En retard"))</f>
        <v/>
      </c>
      <c r="M75" s="135">
        <f>IF($E75="","",SUMIFS(EMP_Amende,EMP_Membre,$E75,EMP_Paye,"&lt;&gt;Oui"))</f>
        <v/>
      </c>
      <c r="N75" s="130">
        <f>IF($E75="","",IF($L75&gt;0,"En retard",IF($K75&gt;=P_Max,"Limite atteinte","Actif")))</f>
        <v/>
      </c>
      <c r="P75">
        <f>IF(OR(Q_Rech="",$E75=""),"",IF(ISNUMBER(SEARCH(Q_Rech,$E75&amp;" "&amp;$F75&amp;" "&amp;$H75)),COUNT($P$6:$P74)+1,""))</f>
        <v/>
      </c>
    </row>
    <row r="76" ht="21" customHeight="1">
      <c r="A76" s="1" t="n"/>
      <c r="B76" s="1" t="n"/>
      <c r="C76" s="2" t="n"/>
      <c r="E76" s="127" t="n"/>
      <c r="F76" s="127" t="n"/>
      <c r="G76" s="127" t="n"/>
      <c r="H76" s="127" t="n"/>
      <c r="I76" s="133" t="n"/>
      <c r="J76" s="134" t="n"/>
      <c r="K76" s="129">
        <f>IF($E76="","",COUNTIFS(EMP_Membre,$E76,EMP_Retour,""))</f>
        <v/>
      </c>
      <c r="L76" s="129">
        <f>IF($E76="","",COUNTIFS(EMP_Membre,$E76,EMP_Statut,"En retard"))</f>
        <v/>
      </c>
      <c r="M76" s="135">
        <f>IF($E76="","",SUMIFS(EMP_Amende,EMP_Membre,$E76,EMP_Paye,"&lt;&gt;Oui"))</f>
        <v/>
      </c>
      <c r="N76" s="130">
        <f>IF($E76="","",IF($L76&gt;0,"En retard",IF($K76&gt;=P_Max,"Limite atteinte","Actif")))</f>
        <v/>
      </c>
      <c r="P76">
        <f>IF(OR(Q_Rech="",$E76=""),"",IF(ISNUMBER(SEARCH(Q_Rech,$E76&amp;" "&amp;$F76&amp;" "&amp;$H76)),COUNT($P$6:$P75)+1,""))</f>
        <v/>
      </c>
    </row>
    <row r="77" ht="21" customHeight="1">
      <c r="A77" s="1" t="n"/>
      <c r="B77" s="1" t="n"/>
      <c r="C77" s="2" t="n"/>
      <c r="E77" s="127" t="n"/>
      <c r="F77" s="127" t="n"/>
      <c r="G77" s="127" t="n"/>
      <c r="H77" s="127" t="n"/>
      <c r="I77" s="133" t="n"/>
      <c r="J77" s="134" t="n"/>
      <c r="K77" s="129">
        <f>IF($E77="","",COUNTIFS(EMP_Membre,$E77,EMP_Retour,""))</f>
        <v/>
      </c>
      <c r="L77" s="129">
        <f>IF($E77="","",COUNTIFS(EMP_Membre,$E77,EMP_Statut,"En retard"))</f>
        <v/>
      </c>
      <c r="M77" s="135">
        <f>IF($E77="","",SUMIFS(EMP_Amende,EMP_Membre,$E77,EMP_Paye,"&lt;&gt;Oui"))</f>
        <v/>
      </c>
      <c r="N77" s="130">
        <f>IF($E77="","",IF($L77&gt;0,"En retard",IF($K77&gt;=P_Max,"Limite atteinte","Actif")))</f>
        <v/>
      </c>
      <c r="P77">
        <f>IF(OR(Q_Rech="",$E77=""),"",IF(ISNUMBER(SEARCH(Q_Rech,$E77&amp;" "&amp;$F77&amp;" "&amp;$H77)),COUNT($P$6:$P76)+1,""))</f>
        <v/>
      </c>
    </row>
    <row r="78" ht="21" customHeight="1">
      <c r="A78" s="1" t="n"/>
      <c r="B78" s="1" t="n"/>
      <c r="C78" s="2" t="n"/>
      <c r="E78" s="127" t="n"/>
      <c r="F78" s="127" t="n"/>
      <c r="G78" s="127" t="n"/>
      <c r="H78" s="127" t="n"/>
      <c r="I78" s="133" t="n"/>
      <c r="J78" s="134" t="n"/>
      <c r="K78" s="129">
        <f>IF($E78="","",COUNTIFS(EMP_Membre,$E78,EMP_Retour,""))</f>
        <v/>
      </c>
      <c r="L78" s="129">
        <f>IF($E78="","",COUNTIFS(EMP_Membre,$E78,EMP_Statut,"En retard"))</f>
        <v/>
      </c>
      <c r="M78" s="135">
        <f>IF($E78="","",SUMIFS(EMP_Amende,EMP_Membre,$E78,EMP_Paye,"&lt;&gt;Oui"))</f>
        <v/>
      </c>
      <c r="N78" s="130">
        <f>IF($E78="","",IF($L78&gt;0,"En retard",IF($K78&gt;=P_Max,"Limite atteinte","Actif")))</f>
        <v/>
      </c>
      <c r="P78">
        <f>IF(OR(Q_Rech="",$E78=""),"",IF(ISNUMBER(SEARCH(Q_Rech,$E78&amp;" "&amp;$F78&amp;" "&amp;$H78)),COUNT($P$6:$P77)+1,""))</f>
        <v/>
      </c>
    </row>
    <row r="79" ht="21" customHeight="1">
      <c r="A79" s="1" t="n"/>
      <c r="B79" s="1" t="n"/>
      <c r="C79" s="2" t="n"/>
      <c r="E79" s="127" t="n"/>
      <c r="F79" s="127" t="n"/>
      <c r="G79" s="127" t="n"/>
      <c r="H79" s="127" t="n"/>
      <c r="I79" s="133" t="n"/>
      <c r="J79" s="134" t="n"/>
      <c r="K79" s="129">
        <f>IF($E79="","",COUNTIFS(EMP_Membre,$E79,EMP_Retour,""))</f>
        <v/>
      </c>
      <c r="L79" s="129">
        <f>IF($E79="","",COUNTIFS(EMP_Membre,$E79,EMP_Statut,"En retard"))</f>
        <v/>
      </c>
      <c r="M79" s="135">
        <f>IF($E79="","",SUMIFS(EMP_Amende,EMP_Membre,$E79,EMP_Paye,"&lt;&gt;Oui"))</f>
        <v/>
      </c>
      <c r="N79" s="130">
        <f>IF($E79="","",IF($L79&gt;0,"En retard",IF($K79&gt;=P_Max,"Limite atteinte","Actif")))</f>
        <v/>
      </c>
      <c r="P79">
        <f>IF(OR(Q_Rech="",$E79=""),"",IF(ISNUMBER(SEARCH(Q_Rech,$E79&amp;" "&amp;$F79&amp;" "&amp;$H79)),COUNT($P$6:$P78)+1,""))</f>
        <v/>
      </c>
    </row>
    <row r="80" ht="21" customHeight="1">
      <c r="A80" s="1" t="n"/>
      <c r="B80" s="1" t="n"/>
      <c r="C80" s="2" t="n"/>
      <c r="E80" s="127" t="n"/>
      <c r="F80" s="127" t="n"/>
      <c r="G80" s="127" t="n"/>
      <c r="H80" s="127" t="n"/>
      <c r="I80" s="133" t="n"/>
      <c r="J80" s="134" t="n"/>
      <c r="K80" s="129">
        <f>IF($E80="","",COUNTIFS(EMP_Membre,$E80,EMP_Retour,""))</f>
        <v/>
      </c>
      <c r="L80" s="129">
        <f>IF($E80="","",COUNTIFS(EMP_Membre,$E80,EMP_Statut,"En retard"))</f>
        <v/>
      </c>
      <c r="M80" s="135">
        <f>IF($E80="","",SUMIFS(EMP_Amende,EMP_Membre,$E80,EMP_Paye,"&lt;&gt;Oui"))</f>
        <v/>
      </c>
      <c r="N80" s="130">
        <f>IF($E80="","",IF($L80&gt;0,"En retard",IF($K80&gt;=P_Max,"Limite atteinte","Actif")))</f>
        <v/>
      </c>
      <c r="P80">
        <f>IF(OR(Q_Rech="",$E80=""),"",IF(ISNUMBER(SEARCH(Q_Rech,$E80&amp;" "&amp;$F80&amp;" "&amp;$H80)),COUNT($P$6:$P79)+1,""))</f>
        <v/>
      </c>
    </row>
    <row r="81" ht="21" customHeight="1">
      <c r="A81" s="1" t="n"/>
      <c r="B81" s="1" t="n"/>
      <c r="C81" s="2" t="n"/>
      <c r="E81" s="127" t="n"/>
      <c r="F81" s="127" t="n"/>
      <c r="G81" s="127" t="n"/>
      <c r="H81" s="127" t="n"/>
      <c r="I81" s="133" t="n"/>
      <c r="J81" s="134" t="n"/>
      <c r="K81" s="129">
        <f>IF($E81="","",COUNTIFS(EMP_Membre,$E81,EMP_Retour,""))</f>
        <v/>
      </c>
      <c r="L81" s="129">
        <f>IF($E81="","",COUNTIFS(EMP_Membre,$E81,EMP_Statut,"En retard"))</f>
        <v/>
      </c>
      <c r="M81" s="135">
        <f>IF($E81="","",SUMIFS(EMP_Amende,EMP_Membre,$E81,EMP_Paye,"&lt;&gt;Oui"))</f>
        <v/>
      </c>
      <c r="N81" s="130">
        <f>IF($E81="","",IF($L81&gt;0,"En retard",IF($K81&gt;=P_Max,"Limite atteinte","Actif")))</f>
        <v/>
      </c>
      <c r="P81">
        <f>IF(OR(Q_Rech="",$E81=""),"",IF(ISNUMBER(SEARCH(Q_Rech,$E81&amp;" "&amp;$F81&amp;" "&amp;$H81)),COUNT($P$6:$P80)+1,""))</f>
        <v/>
      </c>
    </row>
    <row r="82" ht="21" customHeight="1">
      <c r="A82" s="1" t="n"/>
      <c r="B82" s="1" t="n"/>
      <c r="C82" s="2" t="n"/>
      <c r="E82" s="127" t="n"/>
      <c r="F82" s="127" t="n"/>
      <c r="G82" s="127" t="n"/>
      <c r="H82" s="127" t="n"/>
      <c r="I82" s="133" t="n"/>
      <c r="J82" s="134" t="n"/>
      <c r="K82" s="129">
        <f>IF($E82="","",COUNTIFS(EMP_Membre,$E82,EMP_Retour,""))</f>
        <v/>
      </c>
      <c r="L82" s="129">
        <f>IF($E82="","",COUNTIFS(EMP_Membre,$E82,EMP_Statut,"En retard"))</f>
        <v/>
      </c>
      <c r="M82" s="135">
        <f>IF($E82="","",SUMIFS(EMP_Amende,EMP_Membre,$E82,EMP_Paye,"&lt;&gt;Oui"))</f>
        <v/>
      </c>
      <c r="N82" s="130">
        <f>IF($E82="","",IF($L82&gt;0,"En retard",IF($K82&gt;=P_Max,"Limite atteinte","Actif")))</f>
        <v/>
      </c>
      <c r="P82">
        <f>IF(OR(Q_Rech="",$E82=""),"",IF(ISNUMBER(SEARCH(Q_Rech,$E82&amp;" "&amp;$F82&amp;" "&amp;$H82)),COUNT($P$6:$P81)+1,""))</f>
        <v/>
      </c>
    </row>
    <row r="83" ht="21" customHeight="1">
      <c r="A83" s="1" t="n"/>
      <c r="B83" s="1" t="n"/>
      <c r="C83" s="2" t="n"/>
      <c r="E83" s="127" t="n"/>
      <c r="F83" s="127" t="n"/>
      <c r="G83" s="127" t="n"/>
      <c r="H83" s="127" t="n"/>
      <c r="I83" s="133" t="n"/>
      <c r="J83" s="134" t="n"/>
      <c r="K83" s="129">
        <f>IF($E83="","",COUNTIFS(EMP_Membre,$E83,EMP_Retour,""))</f>
        <v/>
      </c>
      <c r="L83" s="129">
        <f>IF($E83="","",COUNTIFS(EMP_Membre,$E83,EMP_Statut,"En retard"))</f>
        <v/>
      </c>
      <c r="M83" s="135">
        <f>IF($E83="","",SUMIFS(EMP_Amende,EMP_Membre,$E83,EMP_Paye,"&lt;&gt;Oui"))</f>
        <v/>
      </c>
      <c r="N83" s="130">
        <f>IF($E83="","",IF($L83&gt;0,"En retard",IF($K83&gt;=P_Max,"Limite atteinte","Actif")))</f>
        <v/>
      </c>
      <c r="P83">
        <f>IF(OR(Q_Rech="",$E83=""),"",IF(ISNUMBER(SEARCH(Q_Rech,$E83&amp;" "&amp;$F83&amp;" "&amp;$H83)),COUNT($P$6:$P82)+1,""))</f>
        <v/>
      </c>
    </row>
    <row r="84" ht="21" customHeight="1">
      <c r="A84" s="1" t="n"/>
      <c r="B84" s="1" t="n"/>
      <c r="C84" s="2" t="n"/>
      <c r="E84" s="127" t="n"/>
      <c r="F84" s="127" t="n"/>
      <c r="G84" s="127" t="n"/>
      <c r="H84" s="127" t="n"/>
      <c r="I84" s="133" t="n"/>
      <c r="J84" s="134" t="n"/>
      <c r="K84" s="129">
        <f>IF($E84="","",COUNTIFS(EMP_Membre,$E84,EMP_Retour,""))</f>
        <v/>
      </c>
      <c r="L84" s="129">
        <f>IF($E84="","",COUNTIFS(EMP_Membre,$E84,EMP_Statut,"En retard"))</f>
        <v/>
      </c>
      <c r="M84" s="135">
        <f>IF($E84="","",SUMIFS(EMP_Amende,EMP_Membre,$E84,EMP_Paye,"&lt;&gt;Oui"))</f>
        <v/>
      </c>
      <c r="N84" s="130">
        <f>IF($E84="","",IF($L84&gt;0,"En retard",IF($K84&gt;=P_Max,"Limite atteinte","Actif")))</f>
        <v/>
      </c>
      <c r="P84">
        <f>IF(OR(Q_Rech="",$E84=""),"",IF(ISNUMBER(SEARCH(Q_Rech,$E84&amp;" "&amp;$F84&amp;" "&amp;$H84)),COUNT($P$6:$P83)+1,""))</f>
        <v/>
      </c>
    </row>
    <row r="85" ht="21" customHeight="1">
      <c r="A85" s="1" t="n"/>
      <c r="B85" s="1" t="n"/>
      <c r="C85" s="2" t="n"/>
      <c r="E85" s="127" t="n"/>
      <c r="F85" s="127" t="n"/>
      <c r="G85" s="127" t="n"/>
      <c r="H85" s="127" t="n"/>
      <c r="I85" s="133" t="n"/>
      <c r="J85" s="134" t="n"/>
      <c r="K85" s="129">
        <f>IF($E85="","",COUNTIFS(EMP_Membre,$E85,EMP_Retour,""))</f>
        <v/>
      </c>
      <c r="L85" s="129">
        <f>IF($E85="","",COUNTIFS(EMP_Membre,$E85,EMP_Statut,"En retard"))</f>
        <v/>
      </c>
      <c r="M85" s="135">
        <f>IF($E85="","",SUMIFS(EMP_Amende,EMP_Membre,$E85,EMP_Paye,"&lt;&gt;Oui"))</f>
        <v/>
      </c>
      <c r="N85" s="130">
        <f>IF($E85="","",IF($L85&gt;0,"En retard",IF($K85&gt;=P_Max,"Limite atteinte","Actif")))</f>
        <v/>
      </c>
      <c r="P85">
        <f>IF(OR(Q_Rech="",$E85=""),"",IF(ISNUMBER(SEARCH(Q_Rech,$E85&amp;" "&amp;$F85&amp;" "&amp;$H85)),COUNT($P$6:$P84)+1,""))</f>
        <v/>
      </c>
    </row>
    <row r="86" ht="21" customHeight="1">
      <c r="A86" s="1" t="n"/>
      <c r="B86" s="1" t="n"/>
      <c r="C86" s="2" t="n"/>
      <c r="E86" s="127" t="n"/>
      <c r="F86" s="127" t="n"/>
      <c r="G86" s="127" t="n"/>
      <c r="H86" s="127" t="n"/>
      <c r="I86" s="133" t="n"/>
      <c r="J86" s="134" t="n"/>
      <c r="K86" s="129">
        <f>IF($E86="","",COUNTIFS(EMP_Membre,$E86,EMP_Retour,""))</f>
        <v/>
      </c>
      <c r="L86" s="129">
        <f>IF($E86="","",COUNTIFS(EMP_Membre,$E86,EMP_Statut,"En retard"))</f>
        <v/>
      </c>
      <c r="M86" s="135">
        <f>IF($E86="","",SUMIFS(EMP_Amende,EMP_Membre,$E86,EMP_Paye,"&lt;&gt;Oui"))</f>
        <v/>
      </c>
      <c r="N86" s="130">
        <f>IF($E86="","",IF($L86&gt;0,"En retard",IF($K86&gt;=P_Max,"Limite atteinte","Actif")))</f>
        <v/>
      </c>
      <c r="P86">
        <f>IF(OR(Q_Rech="",$E86=""),"",IF(ISNUMBER(SEARCH(Q_Rech,$E86&amp;" "&amp;$F86&amp;" "&amp;$H86)),COUNT($P$6:$P85)+1,""))</f>
        <v/>
      </c>
    </row>
    <row r="87" ht="21" customHeight="1">
      <c r="A87" s="1" t="n"/>
      <c r="B87" s="1" t="n"/>
      <c r="C87" s="2" t="n"/>
      <c r="E87" s="127" t="n"/>
      <c r="F87" s="127" t="n"/>
      <c r="G87" s="127" t="n"/>
      <c r="H87" s="127" t="n"/>
      <c r="I87" s="133" t="n"/>
      <c r="J87" s="134" t="n"/>
      <c r="K87" s="129">
        <f>IF($E87="","",COUNTIFS(EMP_Membre,$E87,EMP_Retour,""))</f>
        <v/>
      </c>
      <c r="L87" s="129">
        <f>IF($E87="","",COUNTIFS(EMP_Membre,$E87,EMP_Statut,"En retard"))</f>
        <v/>
      </c>
      <c r="M87" s="135">
        <f>IF($E87="","",SUMIFS(EMP_Amende,EMP_Membre,$E87,EMP_Paye,"&lt;&gt;Oui"))</f>
        <v/>
      </c>
      <c r="N87" s="130">
        <f>IF($E87="","",IF($L87&gt;0,"En retard",IF($K87&gt;=P_Max,"Limite atteinte","Actif")))</f>
        <v/>
      </c>
      <c r="P87">
        <f>IF(OR(Q_Rech="",$E87=""),"",IF(ISNUMBER(SEARCH(Q_Rech,$E87&amp;" "&amp;$F87&amp;" "&amp;$H87)),COUNT($P$6:$P86)+1,""))</f>
        <v/>
      </c>
    </row>
    <row r="88" ht="21" customHeight="1">
      <c r="A88" s="1" t="n"/>
      <c r="B88" s="1" t="n"/>
      <c r="C88" s="2" t="n"/>
      <c r="E88" s="127" t="n"/>
      <c r="F88" s="127" t="n"/>
      <c r="G88" s="127" t="n"/>
      <c r="H88" s="127" t="n"/>
      <c r="I88" s="133" t="n"/>
      <c r="J88" s="134" t="n"/>
      <c r="K88" s="129">
        <f>IF($E88="","",COUNTIFS(EMP_Membre,$E88,EMP_Retour,""))</f>
        <v/>
      </c>
      <c r="L88" s="129">
        <f>IF($E88="","",COUNTIFS(EMP_Membre,$E88,EMP_Statut,"En retard"))</f>
        <v/>
      </c>
      <c r="M88" s="135">
        <f>IF($E88="","",SUMIFS(EMP_Amende,EMP_Membre,$E88,EMP_Paye,"&lt;&gt;Oui"))</f>
        <v/>
      </c>
      <c r="N88" s="130">
        <f>IF($E88="","",IF($L88&gt;0,"En retard",IF($K88&gt;=P_Max,"Limite atteinte","Actif")))</f>
        <v/>
      </c>
      <c r="P88">
        <f>IF(OR(Q_Rech="",$E88=""),"",IF(ISNUMBER(SEARCH(Q_Rech,$E88&amp;" "&amp;$F88&amp;" "&amp;$H88)),COUNT($P$6:$P87)+1,""))</f>
        <v/>
      </c>
    </row>
    <row r="89" ht="21" customHeight="1">
      <c r="A89" s="1" t="n"/>
      <c r="B89" s="1" t="n"/>
      <c r="C89" s="2" t="n"/>
      <c r="E89" s="127" t="n"/>
      <c r="F89" s="127" t="n"/>
      <c r="G89" s="127" t="n"/>
      <c r="H89" s="127" t="n"/>
      <c r="I89" s="133" t="n"/>
      <c r="J89" s="134" t="n"/>
      <c r="K89" s="129">
        <f>IF($E89="","",COUNTIFS(EMP_Membre,$E89,EMP_Retour,""))</f>
        <v/>
      </c>
      <c r="L89" s="129">
        <f>IF($E89="","",COUNTIFS(EMP_Membre,$E89,EMP_Statut,"En retard"))</f>
        <v/>
      </c>
      <c r="M89" s="135">
        <f>IF($E89="","",SUMIFS(EMP_Amende,EMP_Membre,$E89,EMP_Paye,"&lt;&gt;Oui"))</f>
        <v/>
      </c>
      <c r="N89" s="130">
        <f>IF($E89="","",IF($L89&gt;0,"En retard",IF($K89&gt;=P_Max,"Limite atteinte","Actif")))</f>
        <v/>
      </c>
      <c r="P89">
        <f>IF(OR(Q_Rech="",$E89=""),"",IF(ISNUMBER(SEARCH(Q_Rech,$E89&amp;" "&amp;$F89&amp;" "&amp;$H89)),COUNT($P$6:$P88)+1,""))</f>
        <v/>
      </c>
    </row>
    <row r="90" ht="21" customHeight="1">
      <c r="A90" s="1" t="n"/>
      <c r="B90" s="1" t="n"/>
      <c r="C90" s="2" t="n"/>
      <c r="E90" s="127" t="n"/>
      <c r="F90" s="127" t="n"/>
      <c r="G90" s="127" t="n"/>
      <c r="H90" s="127" t="n"/>
      <c r="I90" s="133" t="n"/>
      <c r="J90" s="134" t="n"/>
      <c r="K90" s="129">
        <f>IF($E90="","",COUNTIFS(EMP_Membre,$E90,EMP_Retour,""))</f>
        <v/>
      </c>
      <c r="L90" s="129">
        <f>IF($E90="","",COUNTIFS(EMP_Membre,$E90,EMP_Statut,"En retard"))</f>
        <v/>
      </c>
      <c r="M90" s="135">
        <f>IF($E90="","",SUMIFS(EMP_Amende,EMP_Membre,$E90,EMP_Paye,"&lt;&gt;Oui"))</f>
        <v/>
      </c>
      <c r="N90" s="130">
        <f>IF($E90="","",IF($L90&gt;0,"En retard",IF($K90&gt;=P_Max,"Limite atteinte","Actif")))</f>
        <v/>
      </c>
      <c r="P90">
        <f>IF(OR(Q_Rech="",$E90=""),"",IF(ISNUMBER(SEARCH(Q_Rech,$E90&amp;" "&amp;$F90&amp;" "&amp;$H90)),COUNT($P$6:$P89)+1,""))</f>
        <v/>
      </c>
    </row>
    <row r="91" ht="21" customHeight="1">
      <c r="A91" s="1" t="n"/>
      <c r="B91" s="1" t="n"/>
      <c r="C91" s="2" t="n"/>
      <c r="E91" s="127" t="n"/>
      <c r="F91" s="127" t="n"/>
      <c r="G91" s="127" t="n"/>
      <c r="H91" s="127" t="n"/>
      <c r="I91" s="133" t="n"/>
      <c r="J91" s="134" t="n"/>
      <c r="K91" s="129">
        <f>IF($E91="","",COUNTIFS(EMP_Membre,$E91,EMP_Retour,""))</f>
        <v/>
      </c>
      <c r="L91" s="129">
        <f>IF($E91="","",COUNTIFS(EMP_Membre,$E91,EMP_Statut,"En retard"))</f>
        <v/>
      </c>
      <c r="M91" s="135">
        <f>IF($E91="","",SUMIFS(EMP_Amende,EMP_Membre,$E91,EMP_Paye,"&lt;&gt;Oui"))</f>
        <v/>
      </c>
      <c r="N91" s="130">
        <f>IF($E91="","",IF($L91&gt;0,"En retard",IF($K91&gt;=P_Max,"Limite atteinte","Actif")))</f>
        <v/>
      </c>
      <c r="P91">
        <f>IF(OR(Q_Rech="",$E91=""),"",IF(ISNUMBER(SEARCH(Q_Rech,$E91&amp;" "&amp;$F91&amp;" "&amp;$H91)),COUNT($P$6:$P90)+1,""))</f>
        <v/>
      </c>
    </row>
    <row r="92" ht="21" customHeight="1">
      <c r="A92" s="1" t="n"/>
      <c r="B92" s="1" t="n"/>
      <c r="C92" s="2" t="n"/>
      <c r="E92" s="127" t="n"/>
      <c r="F92" s="127" t="n"/>
      <c r="G92" s="127" t="n"/>
      <c r="H92" s="127" t="n"/>
      <c r="I92" s="133" t="n"/>
      <c r="J92" s="134" t="n"/>
      <c r="K92" s="129">
        <f>IF($E92="","",COUNTIFS(EMP_Membre,$E92,EMP_Retour,""))</f>
        <v/>
      </c>
      <c r="L92" s="129">
        <f>IF($E92="","",COUNTIFS(EMP_Membre,$E92,EMP_Statut,"En retard"))</f>
        <v/>
      </c>
      <c r="M92" s="135">
        <f>IF($E92="","",SUMIFS(EMP_Amende,EMP_Membre,$E92,EMP_Paye,"&lt;&gt;Oui"))</f>
        <v/>
      </c>
      <c r="N92" s="130">
        <f>IF($E92="","",IF($L92&gt;0,"En retard",IF($K92&gt;=P_Max,"Limite atteinte","Actif")))</f>
        <v/>
      </c>
      <c r="P92">
        <f>IF(OR(Q_Rech="",$E92=""),"",IF(ISNUMBER(SEARCH(Q_Rech,$E92&amp;" "&amp;$F92&amp;" "&amp;$H92)),COUNT($P$6:$P91)+1,""))</f>
        <v/>
      </c>
    </row>
    <row r="93" ht="21" customHeight="1">
      <c r="A93" s="1" t="n"/>
      <c r="B93" s="1" t="n"/>
      <c r="C93" s="2" t="n"/>
      <c r="E93" s="127" t="n"/>
      <c r="F93" s="127" t="n"/>
      <c r="G93" s="127" t="n"/>
      <c r="H93" s="127" t="n"/>
      <c r="I93" s="133" t="n"/>
      <c r="J93" s="134" t="n"/>
      <c r="K93" s="129">
        <f>IF($E93="","",COUNTIFS(EMP_Membre,$E93,EMP_Retour,""))</f>
        <v/>
      </c>
      <c r="L93" s="129">
        <f>IF($E93="","",COUNTIFS(EMP_Membre,$E93,EMP_Statut,"En retard"))</f>
        <v/>
      </c>
      <c r="M93" s="135">
        <f>IF($E93="","",SUMIFS(EMP_Amende,EMP_Membre,$E93,EMP_Paye,"&lt;&gt;Oui"))</f>
        <v/>
      </c>
      <c r="N93" s="130">
        <f>IF($E93="","",IF($L93&gt;0,"En retard",IF($K93&gt;=P_Max,"Limite atteinte","Actif")))</f>
        <v/>
      </c>
      <c r="P93">
        <f>IF(OR(Q_Rech="",$E93=""),"",IF(ISNUMBER(SEARCH(Q_Rech,$E93&amp;" "&amp;$F93&amp;" "&amp;$H93)),COUNT($P$6:$P92)+1,""))</f>
        <v/>
      </c>
    </row>
    <row r="94" ht="21" customHeight="1">
      <c r="A94" s="1" t="n"/>
      <c r="B94" s="1" t="n"/>
      <c r="C94" s="2" t="n"/>
      <c r="E94" s="127" t="n"/>
      <c r="F94" s="127" t="n"/>
      <c r="G94" s="127" t="n"/>
      <c r="H94" s="127" t="n"/>
      <c r="I94" s="133" t="n"/>
      <c r="J94" s="134" t="n"/>
      <c r="K94" s="129">
        <f>IF($E94="","",COUNTIFS(EMP_Membre,$E94,EMP_Retour,""))</f>
        <v/>
      </c>
      <c r="L94" s="129">
        <f>IF($E94="","",COUNTIFS(EMP_Membre,$E94,EMP_Statut,"En retard"))</f>
        <v/>
      </c>
      <c r="M94" s="135">
        <f>IF($E94="","",SUMIFS(EMP_Amende,EMP_Membre,$E94,EMP_Paye,"&lt;&gt;Oui"))</f>
        <v/>
      </c>
      <c r="N94" s="130">
        <f>IF($E94="","",IF($L94&gt;0,"En retard",IF($K94&gt;=P_Max,"Limite atteinte","Actif")))</f>
        <v/>
      </c>
      <c r="P94">
        <f>IF(OR(Q_Rech="",$E94=""),"",IF(ISNUMBER(SEARCH(Q_Rech,$E94&amp;" "&amp;$F94&amp;" "&amp;$H94)),COUNT($P$6:$P93)+1,""))</f>
        <v/>
      </c>
    </row>
    <row r="95" ht="21" customHeight="1">
      <c r="A95" s="1" t="n"/>
      <c r="B95" s="1" t="n"/>
      <c r="C95" s="2" t="n"/>
      <c r="E95" s="127" t="n"/>
      <c r="F95" s="127" t="n"/>
      <c r="G95" s="127" t="n"/>
      <c r="H95" s="127" t="n"/>
      <c r="I95" s="133" t="n"/>
      <c r="J95" s="134" t="n"/>
      <c r="K95" s="129">
        <f>IF($E95="","",COUNTIFS(EMP_Membre,$E95,EMP_Retour,""))</f>
        <v/>
      </c>
      <c r="L95" s="129">
        <f>IF($E95="","",COUNTIFS(EMP_Membre,$E95,EMP_Statut,"En retard"))</f>
        <v/>
      </c>
      <c r="M95" s="135">
        <f>IF($E95="","",SUMIFS(EMP_Amende,EMP_Membre,$E95,EMP_Paye,"&lt;&gt;Oui"))</f>
        <v/>
      </c>
      <c r="N95" s="130">
        <f>IF($E95="","",IF($L95&gt;0,"En retard",IF($K95&gt;=P_Max,"Limite atteinte","Actif")))</f>
        <v/>
      </c>
      <c r="P95">
        <f>IF(OR(Q_Rech="",$E95=""),"",IF(ISNUMBER(SEARCH(Q_Rech,$E95&amp;" "&amp;$F95&amp;" "&amp;$H95)),COUNT($P$6:$P94)+1,""))</f>
        <v/>
      </c>
    </row>
    <row r="96" ht="21" customHeight="1">
      <c r="A96" s="1" t="n"/>
      <c r="B96" s="1" t="n"/>
      <c r="C96" s="2" t="n"/>
      <c r="E96" s="127" t="n"/>
      <c r="F96" s="127" t="n"/>
      <c r="G96" s="127" t="n"/>
      <c r="H96" s="127" t="n"/>
      <c r="I96" s="133" t="n"/>
      <c r="J96" s="134" t="n"/>
      <c r="K96" s="129">
        <f>IF($E96="","",COUNTIFS(EMP_Membre,$E96,EMP_Retour,""))</f>
        <v/>
      </c>
      <c r="L96" s="129">
        <f>IF($E96="","",COUNTIFS(EMP_Membre,$E96,EMP_Statut,"En retard"))</f>
        <v/>
      </c>
      <c r="M96" s="135">
        <f>IF($E96="","",SUMIFS(EMP_Amende,EMP_Membre,$E96,EMP_Paye,"&lt;&gt;Oui"))</f>
        <v/>
      </c>
      <c r="N96" s="130">
        <f>IF($E96="","",IF($L96&gt;0,"En retard",IF($K96&gt;=P_Max,"Limite atteinte","Actif")))</f>
        <v/>
      </c>
      <c r="P96">
        <f>IF(OR(Q_Rech="",$E96=""),"",IF(ISNUMBER(SEARCH(Q_Rech,$E96&amp;" "&amp;$F96&amp;" "&amp;$H96)),COUNT($P$6:$P95)+1,""))</f>
        <v/>
      </c>
    </row>
    <row r="97" ht="21" customHeight="1">
      <c r="A97" s="1" t="n"/>
      <c r="B97" s="1" t="n"/>
      <c r="C97" s="2" t="n"/>
      <c r="E97" s="127" t="n"/>
      <c r="F97" s="127" t="n"/>
      <c r="G97" s="127" t="n"/>
      <c r="H97" s="127" t="n"/>
      <c r="I97" s="133" t="n"/>
      <c r="J97" s="134" t="n"/>
      <c r="K97" s="129">
        <f>IF($E97="","",COUNTIFS(EMP_Membre,$E97,EMP_Retour,""))</f>
        <v/>
      </c>
      <c r="L97" s="129">
        <f>IF($E97="","",COUNTIFS(EMP_Membre,$E97,EMP_Statut,"En retard"))</f>
        <v/>
      </c>
      <c r="M97" s="135">
        <f>IF($E97="","",SUMIFS(EMP_Amende,EMP_Membre,$E97,EMP_Paye,"&lt;&gt;Oui"))</f>
        <v/>
      </c>
      <c r="N97" s="130">
        <f>IF($E97="","",IF($L97&gt;0,"En retard",IF($K97&gt;=P_Max,"Limite atteinte","Actif")))</f>
        <v/>
      </c>
      <c r="P97">
        <f>IF(OR(Q_Rech="",$E97=""),"",IF(ISNUMBER(SEARCH(Q_Rech,$E97&amp;" "&amp;$F97&amp;" "&amp;$H97)),COUNT($P$6:$P96)+1,""))</f>
        <v/>
      </c>
    </row>
    <row r="98" ht="21" customHeight="1">
      <c r="A98" s="1" t="n"/>
      <c r="B98" s="1" t="n"/>
      <c r="C98" s="2" t="n"/>
      <c r="E98" s="127" t="n"/>
      <c r="F98" s="127" t="n"/>
      <c r="G98" s="127" t="n"/>
      <c r="H98" s="127" t="n"/>
      <c r="I98" s="133" t="n"/>
      <c r="J98" s="134" t="n"/>
      <c r="K98" s="129">
        <f>IF($E98="","",COUNTIFS(EMP_Membre,$E98,EMP_Retour,""))</f>
        <v/>
      </c>
      <c r="L98" s="129">
        <f>IF($E98="","",COUNTIFS(EMP_Membre,$E98,EMP_Statut,"En retard"))</f>
        <v/>
      </c>
      <c r="M98" s="135">
        <f>IF($E98="","",SUMIFS(EMP_Amende,EMP_Membre,$E98,EMP_Paye,"&lt;&gt;Oui"))</f>
        <v/>
      </c>
      <c r="N98" s="130">
        <f>IF($E98="","",IF($L98&gt;0,"En retard",IF($K98&gt;=P_Max,"Limite atteinte","Actif")))</f>
        <v/>
      </c>
      <c r="P98">
        <f>IF(OR(Q_Rech="",$E98=""),"",IF(ISNUMBER(SEARCH(Q_Rech,$E98&amp;" "&amp;$F98&amp;" "&amp;$H98)),COUNT($P$6:$P97)+1,""))</f>
        <v/>
      </c>
    </row>
    <row r="99" ht="21" customHeight="1">
      <c r="A99" s="1" t="n"/>
      <c r="B99" s="1" t="n"/>
      <c r="C99" s="2" t="n"/>
      <c r="E99" s="127" t="n"/>
      <c r="F99" s="127" t="n"/>
      <c r="G99" s="127" t="n"/>
      <c r="H99" s="127" t="n"/>
      <c r="I99" s="133" t="n"/>
      <c r="J99" s="134" t="n"/>
      <c r="K99" s="129">
        <f>IF($E99="","",COUNTIFS(EMP_Membre,$E99,EMP_Retour,""))</f>
        <v/>
      </c>
      <c r="L99" s="129">
        <f>IF($E99="","",COUNTIFS(EMP_Membre,$E99,EMP_Statut,"En retard"))</f>
        <v/>
      </c>
      <c r="M99" s="135">
        <f>IF($E99="","",SUMIFS(EMP_Amende,EMP_Membre,$E99,EMP_Paye,"&lt;&gt;Oui"))</f>
        <v/>
      </c>
      <c r="N99" s="130">
        <f>IF($E99="","",IF($L99&gt;0,"En retard",IF($K99&gt;=P_Max,"Limite atteinte","Actif")))</f>
        <v/>
      </c>
      <c r="P99">
        <f>IF(OR(Q_Rech="",$E99=""),"",IF(ISNUMBER(SEARCH(Q_Rech,$E99&amp;" "&amp;$F99&amp;" "&amp;$H99)),COUNT($P$6:$P98)+1,""))</f>
        <v/>
      </c>
    </row>
    <row r="100" ht="21" customHeight="1">
      <c r="A100" s="1" t="n"/>
      <c r="B100" s="1" t="n"/>
      <c r="C100" s="2" t="n"/>
      <c r="E100" s="127" t="n"/>
      <c r="F100" s="127" t="n"/>
      <c r="G100" s="127" t="n"/>
      <c r="H100" s="127" t="n"/>
      <c r="I100" s="133" t="n"/>
      <c r="J100" s="134" t="n"/>
      <c r="K100" s="129">
        <f>IF($E100="","",COUNTIFS(EMP_Membre,$E100,EMP_Retour,""))</f>
        <v/>
      </c>
      <c r="L100" s="129">
        <f>IF($E100="","",COUNTIFS(EMP_Membre,$E100,EMP_Statut,"En retard"))</f>
        <v/>
      </c>
      <c r="M100" s="135">
        <f>IF($E100="","",SUMIFS(EMP_Amende,EMP_Membre,$E100,EMP_Paye,"&lt;&gt;Oui"))</f>
        <v/>
      </c>
      <c r="N100" s="130">
        <f>IF($E100="","",IF($L100&gt;0,"En retard",IF($K100&gt;=P_Max,"Limite atteinte","Actif")))</f>
        <v/>
      </c>
      <c r="P100">
        <f>IF(OR(Q_Rech="",$E100=""),"",IF(ISNUMBER(SEARCH(Q_Rech,$E100&amp;" "&amp;$F100&amp;" "&amp;$H100)),COUNT($P$6:$P99)+1,""))</f>
        <v/>
      </c>
    </row>
    <row r="101" ht="21" customHeight="1">
      <c r="A101" s="1" t="n"/>
      <c r="B101" s="1" t="n"/>
      <c r="C101" s="2" t="n"/>
      <c r="E101" s="127" t="n"/>
      <c r="F101" s="127" t="n"/>
      <c r="G101" s="127" t="n"/>
      <c r="H101" s="127" t="n"/>
      <c r="I101" s="133" t="n"/>
      <c r="J101" s="134" t="n"/>
      <c r="K101" s="129">
        <f>IF($E101="","",COUNTIFS(EMP_Membre,$E101,EMP_Retour,""))</f>
        <v/>
      </c>
      <c r="L101" s="129">
        <f>IF($E101="","",COUNTIFS(EMP_Membre,$E101,EMP_Statut,"En retard"))</f>
        <v/>
      </c>
      <c r="M101" s="135">
        <f>IF($E101="","",SUMIFS(EMP_Amende,EMP_Membre,$E101,EMP_Paye,"&lt;&gt;Oui"))</f>
        <v/>
      </c>
      <c r="N101" s="130">
        <f>IF($E101="","",IF($L101&gt;0,"En retard",IF($K101&gt;=P_Max,"Limite atteinte","Actif")))</f>
        <v/>
      </c>
      <c r="P101">
        <f>IF(OR(Q_Rech="",$E101=""),"",IF(ISNUMBER(SEARCH(Q_Rech,$E101&amp;" "&amp;$F101&amp;" "&amp;$H101)),COUNT($P$6:$P100)+1,""))</f>
        <v/>
      </c>
    </row>
    <row r="102" ht="21" customHeight="1">
      <c r="A102" s="1" t="n"/>
      <c r="B102" s="1" t="n"/>
      <c r="C102" s="2" t="n"/>
      <c r="E102" s="127" t="n"/>
      <c r="F102" s="127" t="n"/>
      <c r="G102" s="127" t="n"/>
      <c r="H102" s="127" t="n"/>
      <c r="I102" s="133" t="n"/>
      <c r="J102" s="134" t="n"/>
      <c r="K102" s="129">
        <f>IF($E102="","",COUNTIFS(EMP_Membre,$E102,EMP_Retour,""))</f>
        <v/>
      </c>
      <c r="L102" s="129">
        <f>IF($E102="","",COUNTIFS(EMP_Membre,$E102,EMP_Statut,"En retard"))</f>
        <v/>
      </c>
      <c r="M102" s="135">
        <f>IF($E102="","",SUMIFS(EMP_Amende,EMP_Membre,$E102,EMP_Paye,"&lt;&gt;Oui"))</f>
        <v/>
      </c>
      <c r="N102" s="130">
        <f>IF($E102="","",IF($L102&gt;0,"En retard",IF($K102&gt;=P_Max,"Limite atteinte","Actif")))</f>
        <v/>
      </c>
      <c r="P102">
        <f>IF(OR(Q_Rech="",$E102=""),"",IF(ISNUMBER(SEARCH(Q_Rech,$E102&amp;" "&amp;$F102&amp;" "&amp;$H102)),COUNT($P$6:$P101)+1,""))</f>
        <v/>
      </c>
    </row>
    <row r="103" ht="21" customHeight="1">
      <c r="A103" s="1" t="n"/>
      <c r="B103" s="1" t="n"/>
      <c r="C103" s="2" t="n"/>
      <c r="E103" s="127" t="n"/>
      <c r="F103" s="127" t="n"/>
      <c r="G103" s="127" t="n"/>
      <c r="H103" s="127" t="n"/>
      <c r="I103" s="133" t="n"/>
      <c r="J103" s="134" t="n"/>
      <c r="K103" s="129">
        <f>IF($E103="","",COUNTIFS(EMP_Membre,$E103,EMP_Retour,""))</f>
        <v/>
      </c>
      <c r="L103" s="129">
        <f>IF($E103="","",COUNTIFS(EMP_Membre,$E103,EMP_Statut,"En retard"))</f>
        <v/>
      </c>
      <c r="M103" s="135">
        <f>IF($E103="","",SUMIFS(EMP_Amende,EMP_Membre,$E103,EMP_Paye,"&lt;&gt;Oui"))</f>
        <v/>
      </c>
      <c r="N103" s="130">
        <f>IF($E103="","",IF($L103&gt;0,"En retard",IF($K103&gt;=P_Max,"Limite atteinte","Actif")))</f>
        <v/>
      </c>
      <c r="P103">
        <f>IF(OR(Q_Rech="",$E103=""),"",IF(ISNUMBER(SEARCH(Q_Rech,$E103&amp;" "&amp;$F103&amp;" "&amp;$H103)),COUNT($P$6:$P102)+1,""))</f>
        <v/>
      </c>
    </row>
    <row r="104" ht="21" customHeight="1">
      <c r="A104" s="1" t="n"/>
      <c r="B104" s="1" t="n"/>
      <c r="C104" s="2" t="n"/>
      <c r="E104" s="127" t="n"/>
      <c r="F104" s="127" t="n"/>
      <c r="G104" s="127" t="n"/>
      <c r="H104" s="127" t="n"/>
      <c r="I104" s="133" t="n"/>
      <c r="J104" s="134" t="n"/>
      <c r="K104" s="129">
        <f>IF($E104="","",COUNTIFS(EMP_Membre,$E104,EMP_Retour,""))</f>
        <v/>
      </c>
      <c r="L104" s="129">
        <f>IF($E104="","",COUNTIFS(EMP_Membre,$E104,EMP_Statut,"En retard"))</f>
        <v/>
      </c>
      <c r="M104" s="135">
        <f>IF($E104="","",SUMIFS(EMP_Amende,EMP_Membre,$E104,EMP_Paye,"&lt;&gt;Oui"))</f>
        <v/>
      </c>
      <c r="N104" s="130">
        <f>IF($E104="","",IF($L104&gt;0,"En retard",IF($K104&gt;=P_Max,"Limite atteinte","Actif")))</f>
        <v/>
      </c>
      <c r="P104">
        <f>IF(OR(Q_Rech="",$E104=""),"",IF(ISNUMBER(SEARCH(Q_Rech,$E104&amp;" "&amp;$F104&amp;" "&amp;$H104)),COUNT($P$6:$P103)+1,""))</f>
        <v/>
      </c>
    </row>
    <row r="105" ht="21" customHeight="1">
      <c r="A105" s="1" t="n"/>
      <c r="B105" s="1" t="n"/>
      <c r="C105" s="2" t="n"/>
      <c r="E105" s="127" t="n"/>
      <c r="F105" s="127" t="n"/>
      <c r="G105" s="127" t="n"/>
      <c r="H105" s="127" t="n"/>
      <c r="I105" s="133" t="n"/>
      <c r="J105" s="134" t="n"/>
      <c r="K105" s="129">
        <f>IF($E105="","",COUNTIFS(EMP_Membre,$E105,EMP_Retour,""))</f>
        <v/>
      </c>
      <c r="L105" s="129">
        <f>IF($E105="","",COUNTIFS(EMP_Membre,$E105,EMP_Statut,"En retard"))</f>
        <v/>
      </c>
      <c r="M105" s="135">
        <f>IF($E105="","",SUMIFS(EMP_Amende,EMP_Membre,$E105,EMP_Paye,"&lt;&gt;Oui"))</f>
        <v/>
      </c>
      <c r="N105" s="130">
        <f>IF($E105="","",IF($L105&gt;0,"En retard",IF($K105&gt;=P_Max,"Limite atteinte","Actif")))</f>
        <v/>
      </c>
      <c r="P105">
        <f>IF(OR(Q_Rech="",$E105=""),"",IF(ISNUMBER(SEARCH(Q_Rech,$E105&amp;" "&amp;$F105&amp;" "&amp;$H105)),COUNT($P$6:$P104)+1,""))</f>
        <v/>
      </c>
    </row>
    <row r="106" ht="21" customHeight="1">
      <c r="A106" s="1" t="n"/>
      <c r="B106" s="1" t="n"/>
      <c r="C106" s="2" t="n"/>
      <c r="E106" s="127" t="n"/>
      <c r="F106" s="127" t="n"/>
      <c r="G106" s="127" t="n"/>
      <c r="H106" s="127" t="n"/>
      <c r="I106" s="133" t="n"/>
      <c r="J106" s="134" t="n"/>
      <c r="K106" s="129">
        <f>IF($E106="","",COUNTIFS(EMP_Membre,$E106,EMP_Retour,""))</f>
        <v/>
      </c>
      <c r="L106" s="129">
        <f>IF($E106="","",COUNTIFS(EMP_Membre,$E106,EMP_Statut,"En retard"))</f>
        <v/>
      </c>
      <c r="M106" s="135">
        <f>IF($E106="","",SUMIFS(EMP_Amende,EMP_Membre,$E106,EMP_Paye,"&lt;&gt;Oui"))</f>
        <v/>
      </c>
      <c r="N106" s="130">
        <f>IF($E106="","",IF($L106&gt;0,"En retard",IF($K106&gt;=P_Max,"Limite atteinte","Actif")))</f>
        <v/>
      </c>
      <c r="P106">
        <f>IF(OR(Q_Rech="",$E106=""),"",IF(ISNUMBER(SEARCH(Q_Rech,$E106&amp;" "&amp;$F106&amp;" "&amp;$H106)),COUNT($P$6:$P105)+1,""))</f>
        <v/>
      </c>
    </row>
    <row r="107" ht="21" customHeight="1">
      <c r="A107" s="1" t="n"/>
      <c r="B107" s="1" t="n"/>
      <c r="C107" s="2" t="n"/>
      <c r="E107" s="127" t="n"/>
      <c r="F107" s="127" t="n"/>
      <c r="G107" s="127" t="n"/>
      <c r="H107" s="127" t="n"/>
      <c r="I107" s="133" t="n"/>
      <c r="J107" s="134" t="n"/>
      <c r="K107" s="129">
        <f>IF($E107="","",COUNTIFS(EMP_Membre,$E107,EMP_Retour,""))</f>
        <v/>
      </c>
      <c r="L107" s="129">
        <f>IF($E107="","",COUNTIFS(EMP_Membre,$E107,EMP_Statut,"En retard"))</f>
        <v/>
      </c>
      <c r="M107" s="135">
        <f>IF($E107="","",SUMIFS(EMP_Amende,EMP_Membre,$E107,EMP_Paye,"&lt;&gt;Oui"))</f>
        <v/>
      </c>
      <c r="N107" s="130">
        <f>IF($E107="","",IF($L107&gt;0,"En retard",IF($K107&gt;=P_Max,"Limite atteinte","Actif")))</f>
        <v/>
      </c>
      <c r="P107">
        <f>IF(OR(Q_Rech="",$E107=""),"",IF(ISNUMBER(SEARCH(Q_Rech,$E107&amp;" "&amp;$F107&amp;" "&amp;$H107)),COUNT($P$6:$P106)+1,""))</f>
        <v/>
      </c>
    </row>
    <row r="108" ht="21" customHeight="1">
      <c r="A108" s="1" t="n"/>
      <c r="B108" s="1" t="n"/>
      <c r="C108" s="2" t="n"/>
      <c r="E108" s="127" t="n"/>
      <c r="F108" s="127" t="n"/>
      <c r="G108" s="127" t="n"/>
      <c r="H108" s="127" t="n"/>
      <c r="I108" s="133" t="n"/>
      <c r="J108" s="134" t="n"/>
      <c r="K108" s="129">
        <f>IF($E108="","",COUNTIFS(EMP_Membre,$E108,EMP_Retour,""))</f>
        <v/>
      </c>
      <c r="L108" s="129">
        <f>IF($E108="","",COUNTIFS(EMP_Membre,$E108,EMP_Statut,"En retard"))</f>
        <v/>
      </c>
      <c r="M108" s="135">
        <f>IF($E108="","",SUMIFS(EMP_Amende,EMP_Membre,$E108,EMP_Paye,"&lt;&gt;Oui"))</f>
        <v/>
      </c>
      <c r="N108" s="130">
        <f>IF($E108="","",IF($L108&gt;0,"En retard",IF($K108&gt;=P_Max,"Limite atteinte","Actif")))</f>
        <v/>
      </c>
      <c r="P108">
        <f>IF(OR(Q_Rech="",$E108=""),"",IF(ISNUMBER(SEARCH(Q_Rech,$E108&amp;" "&amp;$F108&amp;" "&amp;$H108)),COUNT($P$6:$P107)+1,""))</f>
        <v/>
      </c>
    </row>
    <row r="109" ht="21" customHeight="1">
      <c r="A109" s="1" t="n"/>
      <c r="B109" s="1" t="n"/>
      <c r="C109" s="2" t="n"/>
      <c r="E109" s="127" t="n"/>
      <c r="F109" s="127" t="n"/>
      <c r="G109" s="127" t="n"/>
      <c r="H109" s="127" t="n"/>
      <c r="I109" s="133" t="n"/>
      <c r="J109" s="134" t="n"/>
      <c r="K109" s="129">
        <f>IF($E109="","",COUNTIFS(EMP_Membre,$E109,EMP_Retour,""))</f>
        <v/>
      </c>
      <c r="L109" s="129">
        <f>IF($E109="","",COUNTIFS(EMP_Membre,$E109,EMP_Statut,"En retard"))</f>
        <v/>
      </c>
      <c r="M109" s="135">
        <f>IF($E109="","",SUMIFS(EMP_Amende,EMP_Membre,$E109,EMP_Paye,"&lt;&gt;Oui"))</f>
        <v/>
      </c>
      <c r="N109" s="130">
        <f>IF($E109="","",IF($L109&gt;0,"En retard",IF($K109&gt;=P_Max,"Limite atteinte","Actif")))</f>
        <v/>
      </c>
      <c r="P109">
        <f>IF(OR(Q_Rech="",$E109=""),"",IF(ISNUMBER(SEARCH(Q_Rech,$E109&amp;" "&amp;$F109&amp;" "&amp;$H109)),COUNT($P$6:$P108)+1,""))</f>
        <v/>
      </c>
    </row>
    <row r="110" ht="21" customHeight="1">
      <c r="A110" s="1" t="n"/>
      <c r="B110" s="1" t="n"/>
      <c r="C110" s="2" t="n"/>
      <c r="E110" s="127" t="n"/>
      <c r="F110" s="127" t="n"/>
      <c r="G110" s="127" t="n"/>
      <c r="H110" s="127" t="n"/>
      <c r="I110" s="133" t="n"/>
      <c r="J110" s="134" t="n"/>
      <c r="K110" s="129">
        <f>IF($E110="","",COUNTIFS(EMP_Membre,$E110,EMP_Retour,""))</f>
        <v/>
      </c>
      <c r="L110" s="129">
        <f>IF($E110="","",COUNTIFS(EMP_Membre,$E110,EMP_Statut,"En retard"))</f>
        <v/>
      </c>
      <c r="M110" s="135">
        <f>IF($E110="","",SUMIFS(EMP_Amende,EMP_Membre,$E110,EMP_Paye,"&lt;&gt;Oui"))</f>
        <v/>
      </c>
      <c r="N110" s="130">
        <f>IF($E110="","",IF($L110&gt;0,"En retard",IF($K110&gt;=P_Max,"Limite atteinte","Actif")))</f>
        <v/>
      </c>
      <c r="P110">
        <f>IF(OR(Q_Rech="",$E110=""),"",IF(ISNUMBER(SEARCH(Q_Rech,$E110&amp;" "&amp;$F110&amp;" "&amp;$H110)),COUNT($P$6:$P109)+1,""))</f>
        <v/>
      </c>
    </row>
    <row r="111" ht="21" customHeight="1">
      <c r="A111" s="1" t="n"/>
      <c r="B111" s="1" t="n"/>
      <c r="C111" s="2" t="n"/>
      <c r="E111" s="127" t="n"/>
      <c r="F111" s="127" t="n"/>
      <c r="G111" s="127" t="n"/>
      <c r="H111" s="127" t="n"/>
      <c r="I111" s="133" t="n"/>
      <c r="J111" s="134" t="n"/>
      <c r="K111" s="129">
        <f>IF($E111="","",COUNTIFS(EMP_Membre,$E111,EMP_Retour,""))</f>
        <v/>
      </c>
      <c r="L111" s="129">
        <f>IF($E111="","",COUNTIFS(EMP_Membre,$E111,EMP_Statut,"En retard"))</f>
        <v/>
      </c>
      <c r="M111" s="135">
        <f>IF($E111="","",SUMIFS(EMP_Amende,EMP_Membre,$E111,EMP_Paye,"&lt;&gt;Oui"))</f>
        <v/>
      </c>
      <c r="N111" s="130">
        <f>IF($E111="","",IF($L111&gt;0,"En retard",IF($K111&gt;=P_Max,"Limite atteinte","Actif")))</f>
        <v/>
      </c>
      <c r="P111">
        <f>IF(OR(Q_Rech="",$E111=""),"",IF(ISNUMBER(SEARCH(Q_Rech,$E111&amp;" "&amp;$F111&amp;" "&amp;$H111)),COUNT($P$6:$P110)+1,""))</f>
        <v/>
      </c>
    </row>
    <row r="112" ht="21" customHeight="1">
      <c r="A112" s="1" t="n"/>
      <c r="B112" s="1" t="n"/>
      <c r="C112" s="2" t="n"/>
      <c r="E112" s="127" t="n"/>
      <c r="F112" s="127" t="n"/>
      <c r="G112" s="127" t="n"/>
      <c r="H112" s="127" t="n"/>
      <c r="I112" s="133" t="n"/>
      <c r="J112" s="134" t="n"/>
      <c r="K112" s="129">
        <f>IF($E112="","",COUNTIFS(EMP_Membre,$E112,EMP_Retour,""))</f>
        <v/>
      </c>
      <c r="L112" s="129">
        <f>IF($E112="","",COUNTIFS(EMP_Membre,$E112,EMP_Statut,"En retard"))</f>
        <v/>
      </c>
      <c r="M112" s="135">
        <f>IF($E112="","",SUMIFS(EMP_Amende,EMP_Membre,$E112,EMP_Paye,"&lt;&gt;Oui"))</f>
        <v/>
      </c>
      <c r="N112" s="130">
        <f>IF($E112="","",IF($L112&gt;0,"En retard",IF($K112&gt;=P_Max,"Limite atteinte","Actif")))</f>
        <v/>
      </c>
      <c r="P112">
        <f>IF(OR(Q_Rech="",$E112=""),"",IF(ISNUMBER(SEARCH(Q_Rech,$E112&amp;" "&amp;$F112&amp;" "&amp;$H112)),COUNT($P$6:$P111)+1,""))</f>
        <v/>
      </c>
    </row>
    <row r="113" ht="21" customHeight="1">
      <c r="A113" s="1" t="n"/>
      <c r="B113" s="1" t="n"/>
      <c r="C113" s="2" t="n"/>
      <c r="E113" s="127" t="n"/>
      <c r="F113" s="127" t="n"/>
      <c r="G113" s="127" t="n"/>
      <c r="H113" s="127" t="n"/>
      <c r="I113" s="133" t="n"/>
      <c r="J113" s="134" t="n"/>
      <c r="K113" s="129">
        <f>IF($E113="","",COUNTIFS(EMP_Membre,$E113,EMP_Retour,""))</f>
        <v/>
      </c>
      <c r="L113" s="129">
        <f>IF($E113="","",COUNTIFS(EMP_Membre,$E113,EMP_Statut,"En retard"))</f>
        <v/>
      </c>
      <c r="M113" s="135">
        <f>IF($E113="","",SUMIFS(EMP_Amende,EMP_Membre,$E113,EMP_Paye,"&lt;&gt;Oui"))</f>
        <v/>
      </c>
      <c r="N113" s="130">
        <f>IF($E113="","",IF($L113&gt;0,"En retard",IF($K113&gt;=P_Max,"Limite atteinte","Actif")))</f>
        <v/>
      </c>
      <c r="P113">
        <f>IF(OR(Q_Rech="",$E113=""),"",IF(ISNUMBER(SEARCH(Q_Rech,$E113&amp;" "&amp;$F113&amp;" "&amp;$H113)),COUNT($P$6:$P112)+1,""))</f>
        <v/>
      </c>
    </row>
    <row r="114" ht="21" customHeight="1">
      <c r="A114" s="1" t="n"/>
      <c r="B114" s="1" t="n"/>
      <c r="C114" s="2" t="n"/>
      <c r="E114" s="127" t="n"/>
      <c r="F114" s="127" t="n"/>
      <c r="G114" s="127" t="n"/>
      <c r="H114" s="127" t="n"/>
      <c r="I114" s="133" t="n"/>
      <c r="J114" s="134" t="n"/>
      <c r="K114" s="129">
        <f>IF($E114="","",COUNTIFS(EMP_Membre,$E114,EMP_Retour,""))</f>
        <v/>
      </c>
      <c r="L114" s="129">
        <f>IF($E114="","",COUNTIFS(EMP_Membre,$E114,EMP_Statut,"En retard"))</f>
        <v/>
      </c>
      <c r="M114" s="135">
        <f>IF($E114="","",SUMIFS(EMP_Amende,EMP_Membre,$E114,EMP_Paye,"&lt;&gt;Oui"))</f>
        <v/>
      </c>
      <c r="N114" s="130">
        <f>IF($E114="","",IF($L114&gt;0,"En retard",IF($K114&gt;=P_Max,"Limite atteinte","Actif")))</f>
        <v/>
      </c>
      <c r="P114">
        <f>IF(OR(Q_Rech="",$E114=""),"",IF(ISNUMBER(SEARCH(Q_Rech,$E114&amp;" "&amp;$F114&amp;" "&amp;$H114)),COUNT($P$6:$P113)+1,""))</f>
        <v/>
      </c>
    </row>
    <row r="115" ht="21" customHeight="1">
      <c r="A115" s="1" t="n"/>
      <c r="B115" s="1" t="n"/>
      <c r="C115" s="2" t="n"/>
      <c r="E115" s="127" t="n"/>
      <c r="F115" s="127" t="n"/>
      <c r="G115" s="127" t="n"/>
      <c r="H115" s="127" t="n"/>
      <c r="I115" s="133" t="n"/>
      <c r="J115" s="134" t="n"/>
      <c r="K115" s="129">
        <f>IF($E115="","",COUNTIFS(EMP_Membre,$E115,EMP_Retour,""))</f>
        <v/>
      </c>
      <c r="L115" s="129">
        <f>IF($E115="","",COUNTIFS(EMP_Membre,$E115,EMP_Statut,"En retard"))</f>
        <v/>
      </c>
      <c r="M115" s="135">
        <f>IF($E115="","",SUMIFS(EMP_Amende,EMP_Membre,$E115,EMP_Paye,"&lt;&gt;Oui"))</f>
        <v/>
      </c>
      <c r="N115" s="130">
        <f>IF($E115="","",IF($L115&gt;0,"En retard",IF($K115&gt;=P_Max,"Limite atteinte","Actif")))</f>
        <v/>
      </c>
      <c r="P115">
        <f>IF(OR(Q_Rech="",$E115=""),"",IF(ISNUMBER(SEARCH(Q_Rech,$E115&amp;" "&amp;$F115&amp;" "&amp;$H115)),COUNT($P$6:$P114)+1,""))</f>
        <v/>
      </c>
    </row>
    <row r="116" ht="21" customHeight="1">
      <c r="A116" s="1" t="n"/>
      <c r="B116" s="1" t="n"/>
      <c r="C116" s="2" t="n"/>
      <c r="E116" s="127" t="n"/>
      <c r="F116" s="127" t="n"/>
      <c r="G116" s="127" t="n"/>
      <c r="H116" s="127" t="n"/>
      <c r="I116" s="133" t="n"/>
      <c r="J116" s="134" t="n"/>
      <c r="K116" s="129">
        <f>IF($E116="","",COUNTIFS(EMP_Membre,$E116,EMP_Retour,""))</f>
        <v/>
      </c>
      <c r="L116" s="129">
        <f>IF($E116="","",COUNTIFS(EMP_Membre,$E116,EMP_Statut,"En retard"))</f>
        <v/>
      </c>
      <c r="M116" s="135">
        <f>IF($E116="","",SUMIFS(EMP_Amende,EMP_Membre,$E116,EMP_Paye,"&lt;&gt;Oui"))</f>
        <v/>
      </c>
      <c r="N116" s="130">
        <f>IF($E116="","",IF($L116&gt;0,"En retard",IF($K116&gt;=P_Max,"Limite atteinte","Actif")))</f>
        <v/>
      </c>
      <c r="P116">
        <f>IF(OR(Q_Rech="",$E116=""),"",IF(ISNUMBER(SEARCH(Q_Rech,$E116&amp;" "&amp;$F116&amp;" "&amp;$H116)),COUNT($P$6:$P115)+1,""))</f>
        <v/>
      </c>
    </row>
    <row r="117" ht="21" customHeight="1">
      <c r="A117" s="1" t="n"/>
      <c r="B117" s="1" t="n"/>
      <c r="C117" s="2" t="n"/>
      <c r="E117" s="127" t="n"/>
      <c r="F117" s="127" t="n"/>
      <c r="G117" s="127" t="n"/>
      <c r="H117" s="127" t="n"/>
      <c r="I117" s="133" t="n"/>
      <c r="J117" s="134" t="n"/>
      <c r="K117" s="129">
        <f>IF($E117="","",COUNTIFS(EMP_Membre,$E117,EMP_Retour,""))</f>
        <v/>
      </c>
      <c r="L117" s="129">
        <f>IF($E117="","",COUNTIFS(EMP_Membre,$E117,EMP_Statut,"En retard"))</f>
        <v/>
      </c>
      <c r="M117" s="135">
        <f>IF($E117="","",SUMIFS(EMP_Amende,EMP_Membre,$E117,EMP_Paye,"&lt;&gt;Oui"))</f>
        <v/>
      </c>
      <c r="N117" s="130">
        <f>IF($E117="","",IF($L117&gt;0,"En retard",IF($K117&gt;=P_Max,"Limite atteinte","Actif")))</f>
        <v/>
      </c>
      <c r="P117">
        <f>IF(OR(Q_Rech="",$E117=""),"",IF(ISNUMBER(SEARCH(Q_Rech,$E117&amp;" "&amp;$F117&amp;" "&amp;$H117)),COUNT($P$6:$P116)+1,""))</f>
        <v/>
      </c>
    </row>
    <row r="118" ht="21" customHeight="1">
      <c r="A118" s="1" t="n"/>
      <c r="B118" s="1" t="n"/>
      <c r="C118" s="2" t="n"/>
      <c r="E118" s="127" t="n"/>
      <c r="F118" s="127" t="n"/>
      <c r="G118" s="127" t="n"/>
      <c r="H118" s="127" t="n"/>
      <c r="I118" s="133" t="n"/>
      <c r="J118" s="134" t="n"/>
      <c r="K118" s="129">
        <f>IF($E118="","",COUNTIFS(EMP_Membre,$E118,EMP_Retour,""))</f>
        <v/>
      </c>
      <c r="L118" s="129">
        <f>IF($E118="","",COUNTIFS(EMP_Membre,$E118,EMP_Statut,"En retard"))</f>
        <v/>
      </c>
      <c r="M118" s="135">
        <f>IF($E118="","",SUMIFS(EMP_Amende,EMP_Membre,$E118,EMP_Paye,"&lt;&gt;Oui"))</f>
        <v/>
      </c>
      <c r="N118" s="130">
        <f>IF($E118="","",IF($L118&gt;0,"En retard",IF($K118&gt;=P_Max,"Limite atteinte","Actif")))</f>
        <v/>
      </c>
      <c r="P118">
        <f>IF(OR(Q_Rech="",$E118=""),"",IF(ISNUMBER(SEARCH(Q_Rech,$E118&amp;" "&amp;$F118&amp;" "&amp;$H118)),COUNT($P$6:$P117)+1,""))</f>
        <v/>
      </c>
    </row>
    <row r="119" ht="21" customHeight="1">
      <c r="A119" s="1" t="n"/>
      <c r="B119" s="1" t="n"/>
      <c r="C119" s="2" t="n"/>
      <c r="E119" s="127" t="n"/>
      <c r="F119" s="127" t="n"/>
      <c r="G119" s="127" t="n"/>
      <c r="H119" s="127" t="n"/>
      <c r="I119" s="133" t="n"/>
      <c r="J119" s="134" t="n"/>
      <c r="K119" s="129">
        <f>IF($E119="","",COUNTIFS(EMP_Membre,$E119,EMP_Retour,""))</f>
        <v/>
      </c>
      <c r="L119" s="129">
        <f>IF($E119="","",COUNTIFS(EMP_Membre,$E119,EMP_Statut,"En retard"))</f>
        <v/>
      </c>
      <c r="M119" s="135">
        <f>IF($E119="","",SUMIFS(EMP_Amende,EMP_Membre,$E119,EMP_Paye,"&lt;&gt;Oui"))</f>
        <v/>
      </c>
      <c r="N119" s="130">
        <f>IF($E119="","",IF($L119&gt;0,"En retard",IF($K119&gt;=P_Max,"Limite atteinte","Actif")))</f>
        <v/>
      </c>
      <c r="P119">
        <f>IF(OR(Q_Rech="",$E119=""),"",IF(ISNUMBER(SEARCH(Q_Rech,$E119&amp;" "&amp;$F119&amp;" "&amp;$H119)),COUNT($P$6:$P118)+1,""))</f>
        <v/>
      </c>
    </row>
    <row r="120" ht="21" customHeight="1">
      <c r="A120" s="1" t="n"/>
      <c r="B120" s="1" t="n"/>
      <c r="C120" s="2" t="n"/>
      <c r="E120" s="127" t="n"/>
      <c r="F120" s="127" t="n"/>
      <c r="G120" s="127" t="n"/>
      <c r="H120" s="127" t="n"/>
      <c r="I120" s="133" t="n"/>
      <c r="J120" s="134" t="n"/>
      <c r="K120" s="129">
        <f>IF($E120="","",COUNTIFS(EMP_Membre,$E120,EMP_Retour,""))</f>
        <v/>
      </c>
      <c r="L120" s="129">
        <f>IF($E120="","",COUNTIFS(EMP_Membre,$E120,EMP_Statut,"En retard"))</f>
        <v/>
      </c>
      <c r="M120" s="135">
        <f>IF($E120="","",SUMIFS(EMP_Amende,EMP_Membre,$E120,EMP_Paye,"&lt;&gt;Oui"))</f>
        <v/>
      </c>
      <c r="N120" s="130">
        <f>IF($E120="","",IF($L120&gt;0,"En retard",IF($K120&gt;=P_Max,"Limite atteinte","Actif")))</f>
        <v/>
      </c>
      <c r="P120">
        <f>IF(OR(Q_Rech="",$E120=""),"",IF(ISNUMBER(SEARCH(Q_Rech,$E120&amp;" "&amp;$F120&amp;" "&amp;$H120)),COUNT($P$6:$P119)+1,""))</f>
        <v/>
      </c>
    </row>
    <row r="121" ht="21" customHeight="1">
      <c r="A121" s="1" t="n"/>
      <c r="B121" s="1" t="n"/>
      <c r="C121" s="2" t="n"/>
      <c r="E121" s="127" t="n"/>
      <c r="F121" s="127" t="n"/>
      <c r="G121" s="127" t="n"/>
      <c r="H121" s="127" t="n"/>
      <c r="I121" s="133" t="n"/>
      <c r="J121" s="134" t="n"/>
      <c r="K121" s="129">
        <f>IF($E121="","",COUNTIFS(EMP_Membre,$E121,EMP_Retour,""))</f>
        <v/>
      </c>
      <c r="L121" s="129">
        <f>IF($E121="","",COUNTIFS(EMP_Membre,$E121,EMP_Statut,"En retard"))</f>
        <v/>
      </c>
      <c r="M121" s="135">
        <f>IF($E121="","",SUMIFS(EMP_Amende,EMP_Membre,$E121,EMP_Paye,"&lt;&gt;Oui"))</f>
        <v/>
      </c>
      <c r="N121" s="130">
        <f>IF($E121="","",IF($L121&gt;0,"En retard",IF($K121&gt;=P_Max,"Limite atteinte","Actif")))</f>
        <v/>
      </c>
      <c r="P121">
        <f>IF(OR(Q_Rech="",$E121=""),"",IF(ISNUMBER(SEARCH(Q_Rech,$E121&amp;" "&amp;$F121&amp;" "&amp;$H121)),COUNT($P$6:$P120)+1,""))</f>
        <v/>
      </c>
    </row>
    <row r="122" ht="21" customHeight="1">
      <c r="A122" s="1" t="n"/>
      <c r="B122" s="1" t="n"/>
      <c r="C122" s="2" t="n"/>
      <c r="E122" s="127" t="n"/>
      <c r="F122" s="127" t="n"/>
      <c r="G122" s="127" t="n"/>
      <c r="H122" s="127" t="n"/>
      <c r="I122" s="133" t="n"/>
      <c r="J122" s="134" t="n"/>
      <c r="K122" s="129">
        <f>IF($E122="","",COUNTIFS(EMP_Membre,$E122,EMP_Retour,""))</f>
        <v/>
      </c>
      <c r="L122" s="129">
        <f>IF($E122="","",COUNTIFS(EMP_Membre,$E122,EMP_Statut,"En retard"))</f>
        <v/>
      </c>
      <c r="M122" s="135">
        <f>IF($E122="","",SUMIFS(EMP_Amende,EMP_Membre,$E122,EMP_Paye,"&lt;&gt;Oui"))</f>
        <v/>
      </c>
      <c r="N122" s="130">
        <f>IF($E122="","",IF($L122&gt;0,"En retard",IF($K122&gt;=P_Max,"Limite atteinte","Actif")))</f>
        <v/>
      </c>
      <c r="P122">
        <f>IF(OR(Q_Rech="",$E122=""),"",IF(ISNUMBER(SEARCH(Q_Rech,$E122&amp;" "&amp;$F122&amp;" "&amp;$H122)),COUNT($P$6:$P121)+1,""))</f>
        <v/>
      </c>
    </row>
    <row r="123" ht="21" customHeight="1">
      <c r="A123" s="1" t="n"/>
      <c r="B123" s="1" t="n"/>
      <c r="C123" s="2" t="n"/>
      <c r="E123" s="127" t="n"/>
      <c r="F123" s="127" t="n"/>
      <c r="G123" s="127" t="n"/>
      <c r="H123" s="127" t="n"/>
      <c r="I123" s="133" t="n"/>
      <c r="J123" s="134" t="n"/>
      <c r="K123" s="129">
        <f>IF($E123="","",COUNTIFS(EMP_Membre,$E123,EMP_Retour,""))</f>
        <v/>
      </c>
      <c r="L123" s="129">
        <f>IF($E123="","",COUNTIFS(EMP_Membre,$E123,EMP_Statut,"En retard"))</f>
        <v/>
      </c>
      <c r="M123" s="135">
        <f>IF($E123="","",SUMIFS(EMP_Amende,EMP_Membre,$E123,EMP_Paye,"&lt;&gt;Oui"))</f>
        <v/>
      </c>
      <c r="N123" s="130">
        <f>IF($E123="","",IF($L123&gt;0,"En retard",IF($K123&gt;=P_Max,"Limite atteinte","Actif")))</f>
        <v/>
      </c>
      <c r="P123">
        <f>IF(OR(Q_Rech="",$E123=""),"",IF(ISNUMBER(SEARCH(Q_Rech,$E123&amp;" "&amp;$F123&amp;" "&amp;$H123)),COUNT($P$6:$P122)+1,""))</f>
        <v/>
      </c>
    </row>
    <row r="124" ht="21" customHeight="1">
      <c r="A124" s="1" t="n"/>
      <c r="B124" s="1" t="n"/>
      <c r="C124" s="2" t="n"/>
      <c r="E124" s="127" t="n"/>
      <c r="F124" s="127" t="n"/>
      <c r="G124" s="127" t="n"/>
      <c r="H124" s="127" t="n"/>
      <c r="I124" s="133" t="n"/>
      <c r="J124" s="134" t="n"/>
      <c r="K124" s="129">
        <f>IF($E124="","",COUNTIFS(EMP_Membre,$E124,EMP_Retour,""))</f>
        <v/>
      </c>
      <c r="L124" s="129">
        <f>IF($E124="","",COUNTIFS(EMP_Membre,$E124,EMP_Statut,"En retard"))</f>
        <v/>
      </c>
      <c r="M124" s="135">
        <f>IF($E124="","",SUMIFS(EMP_Amende,EMP_Membre,$E124,EMP_Paye,"&lt;&gt;Oui"))</f>
        <v/>
      </c>
      <c r="N124" s="130">
        <f>IF($E124="","",IF($L124&gt;0,"En retard",IF($K124&gt;=P_Max,"Limite atteinte","Actif")))</f>
        <v/>
      </c>
      <c r="P124">
        <f>IF(OR(Q_Rech="",$E124=""),"",IF(ISNUMBER(SEARCH(Q_Rech,$E124&amp;" "&amp;$F124&amp;" "&amp;$H124)),COUNT($P$6:$P123)+1,""))</f>
        <v/>
      </c>
    </row>
    <row r="125" ht="21" customHeight="1">
      <c r="A125" s="1" t="n"/>
      <c r="B125" s="1" t="n"/>
      <c r="C125" s="2" t="n"/>
      <c r="E125" s="127" t="n"/>
      <c r="F125" s="127" t="n"/>
      <c r="G125" s="127" t="n"/>
      <c r="H125" s="127" t="n"/>
      <c r="I125" s="133" t="n"/>
      <c r="J125" s="134" t="n"/>
      <c r="K125" s="129">
        <f>IF($E125="","",COUNTIFS(EMP_Membre,$E125,EMP_Retour,""))</f>
        <v/>
      </c>
      <c r="L125" s="129">
        <f>IF($E125="","",COUNTIFS(EMP_Membre,$E125,EMP_Statut,"En retard"))</f>
        <v/>
      </c>
      <c r="M125" s="135">
        <f>IF($E125="","",SUMIFS(EMP_Amende,EMP_Membre,$E125,EMP_Paye,"&lt;&gt;Oui"))</f>
        <v/>
      </c>
      <c r="N125" s="130">
        <f>IF($E125="","",IF($L125&gt;0,"En retard",IF($K125&gt;=P_Max,"Limite atteinte","Actif")))</f>
        <v/>
      </c>
      <c r="P125">
        <f>IF(OR(Q_Rech="",$E125=""),"",IF(ISNUMBER(SEARCH(Q_Rech,$E125&amp;" "&amp;$F125&amp;" "&amp;$H125)),COUNT($P$6:$P124)+1,""))</f>
        <v/>
      </c>
    </row>
    <row r="126" ht="21" customHeight="1">
      <c r="A126" s="1" t="n"/>
      <c r="B126" s="1" t="n"/>
      <c r="C126" s="2" t="n"/>
      <c r="E126" s="127" t="n"/>
      <c r="F126" s="127" t="n"/>
      <c r="G126" s="127" t="n"/>
      <c r="H126" s="127" t="n"/>
      <c r="I126" s="133" t="n"/>
      <c r="J126" s="134" t="n"/>
      <c r="K126" s="129">
        <f>IF($E126="","",COUNTIFS(EMP_Membre,$E126,EMP_Retour,""))</f>
        <v/>
      </c>
      <c r="L126" s="129">
        <f>IF($E126="","",COUNTIFS(EMP_Membre,$E126,EMP_Statut,"En retard"))</f>
        <v/>
      </c>
      <c r="M126" s="135">
        <f>IF($E126="","",SUMIFS(EMP_Amende,EMP_Membre,$E126,EMP_Paye,"&lt;&gt;Oui"))</f>
        <v/>
      </c>
      <c r="N126" s="130">
        <f>IF($E126="","",IF($L126&gt;0,"En retard",IF($K126&gt;=P_Max,"Limite atteinte","Actif")))</f>
        <v/>
      </c>
      <c r="P126">
        <f>IF(OR(Q_Rech="",$E126=""),"",IF(ISNUMBER(SEARCH(Q_Rech,$E126&amp;" "&amp;$F126&amp;" "&amp;$H126)),COUNT($P$6:$P125)+1,""))</f>
        <v/>
      </c>
    </row>
    <row r="127" ht="21" customHeight="1">
      <c r="A127" s="1" t="n"/>
      <c r="B127" s="1" t="n"/>
      <c r="C127" s="2" t="n"/>
      <c r="E127" s="127" t="n"/>
      <c r="F127" s="127" t="n"/>
      <c r="G127" s="127" t="n"/>
      <c r="H127" s="127" t="n"/>
      <c r="I127" s="133" t="n"/>
      <c r="J127" s="134" t="n"/>
      <c r="K127" s="129">
        <f>IF($E127="","",COUNTIFS(EMP_Membre,$E127,EMP_Retour,""))</f>
        <v/>
      </c>
      <c r="L127" s="129">
        <f>IF($E127="","",COUNTIFS(EMP_Membre,$E127,EMP_Statut,"En retard"))</f>
        <v/>
      </c>
      <c r="M127" s="135">
        <f>IF($E127="","",SUMIFS(EMP_Amende,EMP_Membre,$E127,EMP_Paye,"&lt;&gt;Oui"))</f>
        <v/>
      </c>
      <c r="N127" s="130">
        <f>IF($E127="","",IF($L127&gt;0,"En retard",IF($K127&gt;=P_Max,"Limite atteinte","Actif")))</f>
        <v/>
      </c>
      <c r="P127">
        <f>IF(OR(Q_Rech="",$E127=""),"",IF(ISNUMBER(SEARCH(Q_Rech,$E127&amp;" "&amp;$F127&amp;" "&amp;$H127)),COUNT($P$6:$P126)+1,""))</f>
        <v/>
      </c>
    </row>
    <row r="128" ht="21" customHeight="1">
      <c r="A128" s="1" t="n"/>
      <c r="B128" s="1" t="n"/>
      <c r="C128" s="2" t="n"/>
      <c r="E128" s="127" t="n"/>
      <c r="F128" s="127" t="n"/>
      <c r="G128" s="127" t="n"/>
      <c r="H128" s="127" t="n"/>
      <c r="I128" s="133" t="n"/>
      <c r="J128" s="134" t="n"/>
      <c r="K128" s="129">
        <f>IF($E128="","",COUNTIFS(EMP_Membre,$E128,EMP_Retour,""))</f>
        <v/>
      </c>
      <c r="L128" s="129">
        <f>IF($E128="","",COUNTIFS(EMP_Membre,$E128,EMP_Statut,"En retard"))</f>
        <v/>
      </c>
      <c r="M128" s="135">
        <f>IF($E128="","",SUMIFS(EMP_Amende,EMP_Membre,$E128,EMP_Paye,"&lt;&gt;Oui"))</f>
        <v/>
      </c>
      <c r="N128" s="130">
        <f>IF($E128="","",IF($L128&gt;0,"En retard",IF($K128&gt;=P_Max,"Limite atteinte","Actif")))</f>
        <v/>
      </c>
      <c r="P128">
        <f>IF(OR(Q_Rech="",$E128=""),"",IF(ISNUMBER(SEARCH(Q_Rech,$E128&amp;" "&amp;$F128&amp;" "&amp;$H128)),COUNT($P$6:$P127)+1,""))</f>
        <v/>
      </c>
    </row>
    <row r="129" ht="21" customHeight="1">
      <c r="A129" s="1" t="n"/>
      <c r="B129" s="1" t="n"/>
      <c r="C129" s="2" t="n"/>
      <c r="E129" s="127" t="n"/>
      <c r="F129" s="127" t="n"/>
      <c r="G129" s="127" t="n"/>
      <c r="H129" s="127" t="n"/>
      <c r="I129" s="133" t="n"/>
      <c r="J129" s="134" t="n"/>
      <c r="K129" s="129">
        <f>IF($E129="","",COUNTIFS(EMP_Membre,$E129,EMP_Retour,""))</f>
        <v/>
      </c>
      <c r="L129" s="129">
        <f>IF($E129="","",COUNTIFS(EMP_Membre,$E129,EMP_Statut,"En retard"))</f>
        <v/>
      </c>
      <c r="M129" s="135">
        <f>IF($E129="","",SUMIFS(EMP_Amende,EMP_Membre,$E129,EMP_Paye,"&lt;&gt;Oui"))</f>
        <v/>
      </c>
      <c r="N129" s="130">
        <f>IF($E129="","",IF($L129&gt;0,"En retard",IF($K129&gt;=P_Max,"Limite atteinte","Actif")))</f>
        <v/>
      </c>
      <c r="P129">
        <f>IF(OR(Q_Rech="",$E129=""),"",IF(ISNUMBER(SEARCH(Q_Rech,$E129&amp;" "&amp;$F129&amp;" "&amp;$H129)),COUNT($P$6:$P128)+1,""))</f>
        <v/>
      </c>
    </row>
    <row r="130" ht="21" customHeight="1">
      <c r="A130" s="1" t="n"/>
      <c r="B130" s="1" t="n"/>
      <c r="C130" s="2" t="n"/>
      <c r="E130" s="127" t="n"/>
      <c r="F130" s="127" t="n"/>
      <c r="G130" s="127" t="n"/>
      <c r="H130" s="127" t="n"/>
      <c r="I130" s="133" t="n"/>
      <c r="J130" s="134" t="n"/>
      <c r="K130" s="129">
        <f>IF($E130="","",COUNTIFS(EMP_Membre,$E130,EMP_Retour,""))</f>
        <v/>
      </c>
      <c r="L130" s="129">
        <f>IF($E130="","",COUNTIFS(EMP_Membre,$E130,EMP_Statut,"En retard"))</f>
        <v/>
      </c>
      <c r="M130" s="135">
        <f>IF($E130="","",SUMIFS(EMP_Amende,EMP_Membre,$E130,EMP_Paye,"&lt;&gt;Oui"))</f>
        <v/>
      </c>
      <c r="N130" s="130">
        <f>IF($E130="","",IF($L130&gt;0,"En retard",IF($K130&gt;=P_Max,"Limite atteinte","Actif")))</f>
        <v/>
      </c>
      <c r="P130">
        <f>IF(OR(Q_Rech="",$E130=""),"",IF(ISNUMBER(SEARCH(Q_Rech,$E130&amp;" "&amp;$F130&amp;" "&amp;$H130)),COUNT($P$6:$P129)+1,""))</f>
        <v/>
      </c>
    </row>
    <row r="131" ht="21" customHeight="1">
      <c r="A131" s="1" t="n"/>
      <c r="B131" s="1" t="n"/>
      <c r="C131" s="2" t="n"/>
      <c r="E131" s="127" t="n"/>
      <c r="F131" s="127" t="n"/>
      <c r="G131" s="127" t="n"/>
      <c r="H131" s="127" t="n"/>
      <c r="I131" s="133" t="n"/>
      <c r="J131" s="134" t="n"/>
      <c r="K131" s="129">
        <f>IF($E131="","",COUNTIFS(EMP_Membre,$E131,EMP_Retour,""))</f>
        <v/>
      </c>
      <c r="L131" s="129">
        <f>IF($E131="","",COUNTIFS(EMP_Membre,$E131,EMP_Statut,"En retard"))</f>
        <v/>
      </c>
      <c r="M131" s="135">
        <f>IF($E131="","",SUMIFS(EMP_Amende,EMP_Membre,$E131,EMP_Paye,"&lt;&gt;Oui"))</f>
        <v/>
      </c>
      <c r="N131" s="130">
        <f>IF($E131="","",IF($L131&gt;0,"En retard",IF($K131&gt;=P_Max,"Limite atteinte","Actif")))</f>
        <v/>
      </c>
      <c r="P131">
        <f>IF(OR(Q_Rech="",$E131=""),"",IF(ISNUMBER(SEARCH(Q_Rech,$E131&amp;" "&amp;$F131&amp;" "&amp;$H131)),COUNT($P$6:$P130)+1,""))</f>
        <v/>
      </c>
    </row>
    <row r="132" ht="21" customHeight="1">
      <c r="A132" s="1" t="n"/>
      <c r="B132" s="1" t="n"/>
      <c r="C132" s="2" t="n"/>
      <c r="E132" s="127" t="n"/>
      <c r="F132" s="127" t="n"/>
      <c r="G132" s="127" t="n"/>
      <c r="H132" s="127" t="n"/>
      <c r="I132" s="133" t="n"/>
      <c r="J132" s="134" t="n"/>
      <c r="K132" s="129">
        <f>IF($E132="","",COUNTIFS(EMP_Membre,$E132,EMP_Retour,""))</f>
        <v/>
      </c>
      <c r="L132" s="129">
        <f>IF($E132="","",COUNTIFS(EMP_Membre,$E132,EMP_Statut,"En retard"))</f>
        <v/>
      </c>
      <c r="M132" s="135">
        <f>IF($E132="","",SUMIFS(EMP_Amende,EMP_Membre,$E132,EMP_Paye,"&lt;&gt;Oui"))</f>
        <v/>
      </c>
      <c r="N132" s="130">
        <f>IF($E132="","",IF($L132&gt;0,"En retard",IF($K132&gt;=P_Max,"Limite atteinte","Actif")))</f>
        <v/>
      </c>
      <c r="P132">
        <f>IF(OR(Q_Rech="",$E132=""),"",IF(ISNUMBER(SEARCH(Q_Rech,$E132&amp;" "&amp;$F132&amp;" "&amp;$H132)),COUNT($P$6:$P131)+1,""))</f>
        <v/>
      </c>
    </row>
    <row r="133" ht="21" customHeight="1">
      <c r="A133" s="1" t="n"/>
      <c r="B133" s="1" t="n"/>
      <c r="C133" s="2" t="n"/>
      <c r="E133" s="127" t="n"/>
      <c r="F133" s="127" t="n"/>
      <c r="G133" s="127" t="n"/>
      <c r="H133" s="127" t="n"/>
      <c r="I133" s="133" t="n"/>
      <c r="J133" s="134" t="n"/>
      <c r="K133" s="129">
        <f>IF($E133="","",COUNTIFS(EMP_Membre,$E133,EMP_Retour,""))</f>
        <v/>
      </c>
      <c r="L133" s="129">
        <f>IF($E133="","",COUNTIFS(EMP_Membre,$E133,EMP_Statut,"En retard"))</f>
        <v/>
      </c>
      <c r="M133" s="135">
        <f>IF($E133="","",SUMIFS(EMP_Amende,EMP_Membre,$E133,EMP_Paye,"&lt;&gt;Oui"))</f>
        <v/>
      </c>
      <c r="N133" s="130">
        <f>IF($E133="","",IF($L133&gt;0,"En retard",IF($K133&gt;=P_Max,"Limite atteinte","Actif")))</f>
        <v/>
      </c>
      <c r="P133">
        <f>IF(OR(Q_Rech="",$E133=""),"",IF(ISNUMBER(SEARCH(Q_Rech,$E133&amp;" "&amp;$F133&amp;" "&amp;$H133)),COUNT($P$6:$P132)+1,""))</f>
        <v/>
      </c>
    </row>
    <row r="134" ht="21" customHeight="1">
      <c r="A134" s="1" t="n"/>
      <c r="B134" s="1" t="n"/>
      <c r="C134" s="2" t="n"/>
      <c r="E134" s="127" t="n"/>
      <c r="F134" s="127" t="n"/>
      <c r="G134" s="127" t="n"/>
      <c r="H134" s="127" t="n"/>
      <c r="I134" s="133" t="n"/>
      <c r="J134" s="134" t="n"/>
      <c r="K134" s="129">
        <f>IF($E134="","",COUNTIFS(EMP_Membre,$E134,EMP_Retour,""))</f>
        <v/>
      </c>
      <c r="L134" s="129">
        <f>IF($E134="","",COUNTIFS(EMP_Membre,$E134,EMP_Statut,"En retard"))</f>
        <v/>
      </c>
      <c r="M134" s="135">
        <f>IF($E134="","",SUMIFS(EMP_Amende,EMP_Membre,$E134,EMP_Paye,"&lt;&gt;Oui"))</f>
        <v/>
      </c>
      <c r="N134" s="130">
        <f>IF($E134="","",IF($L134&gt;0,"En retard",IF($K134&gt;=P_Max,"Limite atteinte","Actif")))</f>
        <v/>
      </c>
      <c r="P134">
        <f>IF(OR(Q_Rech="",$E134=""),"",IF(ISNUMBER(SEARCH(Q_Rech,$E134&amp;" "&amp;$F134&amp;" "&amp;$H134)),COUNT($P$6:$P133)+1,""))</f>
        <v/>
      </c>
    </row>
    <row r="135" ht="21" customHeight="1">
      <c r="A135" s="1" t="n"/>
      <c r="B135" s="1" t="n"/>
      <c r="C135" s="2" t="n"/>
      <c r="E135" s="127" t="n"/>
      <c r="F135" s="127" t="n"/>
      <c r="G135" s="127" t="n"/>
      <c r="H135" s="127" t="n"/>
      <c r="I135" s="133" t="n"/>
      <c r="J135" s="134" t="n"/>
      <c r="K135" s="129">
        <f>IF($E135="","",COUNTIFS(EMP_Membre,$E135,EMP_Retour,""))</f>
        <v/>
      </c>
      <c r="L135" s="129">
        <f>IF($E135="","",COUNTIFS(EMP_Membre,$E135,EMP_Statut,"En retard"))</f>
        <v/>
      </c>
      <c r="M135" s="135">
        <f>IF($E135="","",SUMIFS(EMP_Amende,EMP_Membre,$E135,EMP_Paye,"&lt;&gt;Oui"))</f>
        <v/>
      </c>
      <c r="N135" s="130">
        <f>IF($E135="","",IF($L135&gt;0,"En retard",IF($K135&gt;=P_Max,"Limite atteinte","Actif")))</f>
        <v/>
      </c>
      <c r="P135">
        <f>IF(OR(Q_Rech="",$E135=""),"",IF(ISNUMBER(SEARCH(Q_Rech,$E135&amp;" "&amp;$F135&amp;" "&amp;$H135)),COUNT($P$6:$P134)+1,""))</f>
        <v/>
      </c>
    </row>
    <row r="136" ht="21" customHeight="1">
      <c r="A136" s="1" t="n"/>
      <c r="B136" s="1" t="n"/>
      <c r="C136" s="2" t="n"/>
      <c r="E136" s="127" t="n"/>
      <c r="F136" s="127" t="n"/>
      <c r="G136" s="127" t="n"/>
      <c r="H136" s="127" t="n"/>
      <c r="I136" s="133" t="n"/>
      <c r="J136" s="134" t="n"/>
      <c r="K136" s="129">
        <f>IF($E136="","",COUNTIFS(EMP_Membre,$E136,EMP_Retour,""))</f>
        <v/>
      </c>
      <c r="L136" s="129">
        <f>IF($E136="","",COUNTIFS(EMP_Membre,$E136,EMP_Statut,"En retard"))</f>
        <v/>
      </c>
      <c r="M136" s="135">
        <f>IF($E136="","",SUMIFS(EMP_Amende,EMP_Membre,$E136,EMP_Paye,"&lt;&gt;Oui"))</f>
        <v/>
      </c>
      <c r="N136" s="130">
        <f>IF($E136="","",IF($L136&gt;0,"En retard",IF($K136&gt;=P_Max,"Limite atteinte","Actif")))</f>
        <v/>
      </c>
      <c r="P136">
        <f>IF(OR(Q_Rech="",$E136=""),"",IF(ISNUMBER(SEARCH(Q_Rech,$E136&amp;" "&amp;$F136&amp;" "&amp;$H136)),COUNT($P$6:$P135)+1,""))</f>
        <v/>
      </c>
    </row>
    <row r="137" ht="21" customHeight="1">
      <c r="A137" s="1" t="n"/>
      <c r="B137" s="1" t="n"/>
      <c r="C137" s="2" t="n"/>
      <c r="E137" s="127" t="n"/>
      <c r="F137" s="127" t="n"/>
      <c r="G137" s="127" t="n"/>
      <c r="H137" s="127" t="n"/>
      <c r="I137" s="133" t="n"/>
      <c r="J137" s="134" t="n"/>
      <c r="K137" s="129">
        <f>IF($E137="","",COUNTIFS(EMP_Membre,$E137,EMP_Retour,""))</f>
        <v/>
      </c>
      <c r="L137" s="129">
        <f>IF($E137="","",COUNTIFS(EMP_Membre,$E137,EMP_Statut,"En retard"))</f>
        <v/>
      </c>
      <c r="M137" s="135">
        <f>IF($E137="","",SUMIFS(EMP_Amende,EMP_Membre,$E137,EMP_Paye,"&lt;&gt;Oui"))</f>
        <v/>
      </c>
      <c r="N137" s="130">
        <f>IF($E137="","",IF($L137&gt;0,"En retard",IF($K137&gt;=P_Max,"Limite atteinte","Actif")))</f>
        <v/>
      </c>
      <c r="P137">
        <f>IF(OR(Q_Rech="",$E137=""),"",IF(ISNUMBER(SEARCH(Q_Rech,$E137&amp;" "&amp;$F137&amp;" "&amp;$H137)),COUNT($P$6:$P136)+1,""))</f>
        <v/>
      </c>
    </row>
    <row r="138" ht="21" customHeight="1">
      <c r="A138" s="1" t="n"/>
      <c r="B138" s="1" t="n"/>
      <c r="C138" s="2" t="n"/>
      <c r="E138" s="127" t="n"/>
      <c r="F138" s="127" t="n"/>
      <c r="G138" s="127" t="n"/>
      <c r="H138" s="127" t="n"/>
      <c r="I138" s="133" t="n"/>
      <c r="J138" s="134" t="n"/>
      <c r="K138" s="129">
        <f>IF($E138="","",COUNTIFS(EMP_Membre,$E138,EMP_Retour,""))</f>
        <v/>
      </c>
      <c r="L138" s="129">
        <f>IF($E138="","",COUNTIFS(EMP_Membre,$E138,EMP_Statut,"En retard"))</f>
        <v/>
      </c>
      <c r="M138" s="135">
        <f>IF($E138="","",SUMIFS(EMP_Amende,EMP_Membre,$E138,EMP_Paye,"&lt;&gt;Oui"))</f>
        <v/>
      </c>
      <c r="N138" s="130">
        <f>IF($E138="","",IF($L138&gt;0,"En retard",IF($K138&gt;=P_Max,"Limite atteinte","Actif")))</f>
        <v/>
      </c>
      <c r="P138">
        <f>IF(OR(Q_Rech="",$E138=""),"",IF(ISNUMBER(SEARCH(Q_Rech,$E138&amp;" "&amp;$F138&amp;" "&amp;$H138)),COUNT($P$6:$P137)+1,""))</f>
        <v/>
      </c>
    </row>
    <row r="139" ht="21" customHeight="1">
      <c r="A139" s="1" t="n"/>
      <c r="B139" s="1" t="n"/>
      <c r="C139" s="2" t="n"/>
      <c r="E139" s="127" t="n"/>
      <c r="F139" s="127" t="n"/>
      <c r="G139" s="127" t="n"/>
      <c r="H139" s="127" t="n"/>
      <c r="I139" s="133" t="n"/>
      <c r="J139" s="134" t="n"/>
      <c r="K139" s="129">
        <f>IF($E139="","",COUNTIFS(EMP_Membre,$E139,EMP_Retour,""))</f>
        <v/>
      </c>
      <c r="L139" s="129">
        <f>IF($E139="","",COUNTIFS(EMP_Membre,$E139,EMP_Statut,"En retard"))</f>
        <v/>
      </c>
      <c r="M139" s="135">
        <f>IF($E139="","",SUMIFS(EMP_Amende,EMP_Membre,$E139,EMP_Paye,"&lt;&gt;Oui"))</f>
        <v/>
      </c>
      <c r="N139" s="130">
        <f>IF($E139="","",IF($L139&gt;0,"En retard",IF($K139&gt;=P_Max,"Limite atteinte","Actif")))</f>
        <v/>
      </c>
      <c r="P139">
        <f>IF(OR(Q_Rech="",$E139=""),"",IF(ISNUMBER(SEARCH(Q_Rech,$E139&amp;" "&amp;$F139&amp;" "&amp;$H139)),COUNT($P$6:$P138)+1,""))</f>
        <v/>
      </c>
    </row>
    <row r="140" ht="21" customHeight="1">
      <c r="A140" s="1" t="n"/>
      <c r="B140" s="1" t="n"/>
      <c r="C140" s="2" t="n"/>
      <c r="E140" s="127" t="n"/>
      <c r="F140" s="127" t="n"/>
      <c r="G140" s="127" t="n"/>
      <c r="H140" s="127" t="n"/>
      <c r="I140" s="133" t="n"/>
      <c r="J140" s="134" t="n"/>
      <c r="K140" s="129">
        <f>IF($E140="","",COUNTIFS(EMP_Membre,$E140,EMP_Retour,""))</f>
        <v/>
      </c>
      <c r="L140" s="129">
        <f>IF($E140="","",COUNTIFS(EMP_Membre,$E140,EMP_Statut,"En retard"))</f>
        <v/>
      </c>
      <c r="M140" s="135">
        <f>IF($E140="","",SUMIFS(EMP_Amende,EMP_Membre,$E140,EMP_Paye,"&lt;&gt;Oui"))</f>
        <v/>
      </c>
      <c r="N140" s="130">
        <f>IF($E140="","",IF($L140&gt;0,"En retard",IF($K140&gt;=P_Max,"Limite atteinte","Actif")))</f>
        <v/>
      </c>
      <c r="P140">
        <f>IF(OR(Q_Rech="",$E140=""),"",IF(ISNUMBER(SEARCH(Q_Rech,$E140&amp;" "&amp;$F140&amp;" "&amp;$H140)),COUNT($P$6:$P139)+1,""))</f>
        <v/>
      </c>
    </row>
    <row r="141" ht="21" customHeight="1">
      <c r="A141" s="1" t="n"/>
      <c r="B141" s="1" t="n"/>
      <c r="C141" s="2" t="n"/>
      <c r="E141" s="127" t="n"/>
      <c r="F141" s="127" t="n"/>
      <c r="G141" s="127" t="n"/>
      <c r="H141" s="127" t="n"/>
      <c r="I141" s="133" t="n"/>
      <c r="J141" s="134" t="n"/>
      <c r="K141" s="129">
        <f>IF($E141="","",COUNTIFS(EMP_Membre,$E141,EMP_Retour,""))</f>
        <v/>
      </c>
      <c r="L141" s="129">
        <f>IF($E141="","",COUNTIFS(EMP_Membre,$E141,EMP_Statut,"En retard"))</f>
        <v/>
      </c>
      <c r="M141" s="135">
        <f>IF($E141="","",SUMIFS(EMP_Amende,EMP_Membre,$E141,EMP_Paye,"&lt;&gt;Oui"))</f>
        <v/>
      </c>
      <c r="N141" s="130">
        <f>IF($E141="","",IF($L141&gt;0,"En retard",IF($K141&gt;=P_Max,"Limite atteinte","Actif")))</f>
        <v/>
      </c>
      <c r="P141">
        <f>IF(OR(Q_Rech="",$E141=""),"",IF(ISNUMBER(SEARCH(Q_Rech,$E141&amp;" "&amp;$F141&amp;" "&amp;$H141)),COUNT($P$6:$P140)+1,""))</f>
        <v/>
      </c>
    </row>
    <row r="142" ht="21" customHeight="1">
      <c r="A142" s="1" t="n"/>
      <c r="B142" s="1" t="n"/>
      <c r="C142" s="2" t="n"/>
      <c r="E142" s="127" t="n"/>
      <c r="F142" s="127" t="n"/>
      <c r="G142" s="127" t="n"/>
      <c r="H142" s="127" t="n"/>
      <c r="I142" s="133" t="n"/>
      <c r="J142" s="134" t="n"/>
      <c r="K142" s="129">
        <f>IF($E142="","",COUNTIFS(EMP_Membre,$E142,EMP_Retour,""))</f>
        <v/>
      </c>
      <c r="L142" s="129">
        <f>IF($E142="","",COUNTIFS(EMP_Membre,$E142,EMP_Statut,"En retard"))</f>
        <v/>
      </c>
      <c r="M142" s="135">
        <f>IF($E142="","",SUMIFS(EMP_Amende,EMP_Membre,$E142,EMP_Paye,"&lt;&gt;Oui"))</f>
        <v/>
      </c>
      <c r="N142" s="130">
        <f>IF($E142="","",IF($L142&gt;0,"En retard",IF($K142&gt;=P_Max,"Limite atteinte","Actif")))</f>
        <v/>
      </c>
      <c r="P142">
        <f>IF(OR(Q_Rech="",$E142=""),"",IF(ISNUMBER(SEARCH(Q_Rech,$E142&amp;" "&amp;$F142&amp;" "&amp;$H142)),COUNT($P$6:$P141)+1,""))</f>
        <v/>
      </c>
    </row>
    <row r="143" ht="21" customHeight="1">
      <c r="A143" s="1" t="n"/>
      <c r="B143" s="1" t="n"/>
      <c r="C143" s="2" t="n"/>
      <c r="E143" s="127" t="n"/>
      <c r="F143" s="127" t="n"/>
      <c r="G143" s="127" t="n"/>
      <c r="H143" s="127" t="n"/>
      <c r="I143" s="133" t="n"/>
      <c r="J143" s="134" t="n"/>
      <c r="K143" s="129">
        <f>IF($E143="","",COUNTIFS(EMP_Membre,$E143,EMP_Retour,""))</f>
        <v/>
      </c>
      <c r="L143" s="129">
        <f>IF($E143="","",COUNTIFS(EMP_Membre,$E143,EMP_Statut,"En retard"))</f>
        <v/>
      </c>
      <c r="M143" s="135">
        <f>IF($E143="","",SUMIFS(EMP_Amende,EMP_Membre,$E143,EMP_Paye,"&lt;&gt;Oui"))</f>
        <v/>
      </c>
      <c r="N143" s="130">
        <f>IF($E143="","",IF($L143&gt;0,"En retard",IF($K143&gt;=P_Max,"Limite atteinte","Actif")))</f>
        <v/>
      </c>
      <c r="P143">
        <f>IF(OR(Q_Rech="",$E143=""),"",IF(ISNUMBER(SEARCH(Q_Rech,$E143&amp;" "&amp;$F143&amp;" "&amp;$H143)),COUNT($P$6:$P142)+1,""))</f>
        <v/>
      </c>
    </row>
    <row r="144" ht="21" customHeight="1">
      <c r="A144" s="1" t="n"/>
      <c r="B144" s="1" t="n"/>
      <c r="C144" s="2" t="n"/>
      <c r="E144" s="127" t="n"/>
      <c r="F144" s="127" t="n"/>
      <c r="G144" s="127" t="n"/>
      <c r="H144" s="127" t="n"/>
      <c r="I144" s="133" t="n"/>
      <c r="J144" s="134" t="n"/>
      <c r="K144" s="129">
        <f>IF($E144="","",COUNTIFS(EMP_Membre,$E144,EMP_Retour,""))</f>
        <v/>
      </c>
      <c r="L144" s="129">
        <f>IF($E144="","",COUNTIFS(EMP_Membre,$E144,EMP_Statut,"En retard"))</f>
        <v/>
      </c>
      <c r="M144" s="135">
        <f>IF($E144="","",SUMIFS(EMP_Amende,EMP_Membre,$E144,EMP_Paye,"&lt;&gt;Oui"))</f>
        <v/>
      </c>
      <c r="N144" s="130">
        <f>IF($E144="","",IF($L144&gt;0,"En retard",IF($K144&gt;=P_Max,"Limite atteinte","Actif")))</f>
        <v/>
      </c>
      <c r="P144">
        <f>IF(OR(Q_Rech="",$E144=""),"",IF(ISNUMBER(SEARCH(Q_Rech,$E144&amp;" "&amp;$F144&amp;" "&amp;$H144)),COUNT($P$6:$P143)+1,""))</f>
        <v/>
      </c>
    </row>
    <row r="145" ht="21" customHeight="1">
      <c r="A145" s="1" t="n"/>
      <c r="B145" s="1" t="n"/>
      <c r="C145" s="2" t="n"/>
      <c r="E145" s="127" t="n"/>
      <c r="F145" s="127" t="n"/>
      <c r="G145" s="127" t="n"/>
      <c r="H145" s="127" t="n"/>
      <c r="I145" s="133" t="n"/>
      <c r="J145" s="134" t="n"/>
      <c r="K145" s="129">
        <f>IF($E145="","",COUNTIFS(EMP_Membre,$E145,EMP_Retour,""))</f>
        <v/>
      </c>
      <c r="L145" s="129">
        <f>IF($E145="","",COUNTIFS(EMP_Membre,$E145,EMP_Statut,"En retard"))</f>
        <v/>
      </c>
      <c r="M145" s="135">
        <f>IF($E145="","",SUMIFS(EMP_Amende,EMP_Membre,$E145,EMP_Paye,"&lt;&gt;Oui"))</f>
        <v/>
      </c>
      <c r="N145" s="130">
        <f>IF($E145="","",IF($L145&gt;0,"En retard",IF($K145&gt;=P_Max,"Limite atteinte","Actif")))</f>
        <v/>
      </c>
      <c r="P145">
        <f>IF(OR(Q_Rech="",$E145=""),"",IF(ISNUMBER(SEARCH(Q_Rech,$E145&amp;" "&amp;$F145&amp;" "&amp;$H145)),COUNT($P$6:$P144)+1,""))</f>
        <v/>
      </c>
    </row>
    <row r="146" ht="21" customHeight="1">
      <c r="A146" s="1" t="n"/>
      <c r="B146" s="1" t="n"/>
      <c r="C146" s="2" t="n"/>
      <c r="E146" s="127" t="n"/>
      <c r="F146" s="127" t="n"/>
      <c r="G146" s="127" t="n"/>
      <c r="H146" s="127" t="n"/>
      <c r="I146" s="133" t="n"/>
      <c r="J146" s="134" t="n"/>
      <c r="K146" s="129">
        <f>IF($E146="","",COUNTIFS(EMP_Membre,$E146,EMP_Retour,""))</f>
        <v/>
      </c>
      <c r="L146" s="129">
        <f>IF($E146="","",COUNTIFS(EMP_Membre,$E146,EMP_Statut,"En retard"))</f>
        <v/>
      </c>
      <c r="M146" s="135">
        <f>IF($E146="","",SUMIFS(EMP_Amende,EMP_Membre,$E146,EMP_Paye,"&lt;&gt;Oui"))</f>
        <v/>
      </c>
      <c r="N146" s="130">
        <f>IF($E146="","",IF($L146&gt;0,"En retard",IF($K146&gt;=P_Max,"Limite atteinte","Actif")))</f>
        <v/>
      </c>
      <c r="P146">
        <f>IF(OR(Q_Rech="",$E146=""),"",IF(ISNUMBER(SEARCH(Q_Rech,$E146&amp;" "&amp;$F146&amp;" "&amp;$H146)),COUNT($P$6:$P145)+1,""))</f>
        <v/>
      </c>
    </row>
    <row r="147" ht="21" customHeight="1">
      <c r="A147" s="1" t="n"/>
      <c r="B147" s="1" t="n"/>
      <c r="C147" s="2" t="n"/>
      <c r="E147" s="127" t="n"/>
      <c r="F147" s="127" t="n"/>
      <c r="G147" s="127" t="n"/>
      <c r="H147" s="127" t="n"/>
      <c r="I147" s="133" t="n"/>
      <c r="J147" s="134" t="n"/>
      <c r="K147" s="129">
        <f>IF($E147="","",COUNTIFS(EMP_Membre,$E147,EMP_Retour,""))</f>
        <v/>
      </c>
      <c r="L147" s="129">
        <f>IF($E147="","",COUNTIFS(EMP_Membre,$E147,EMP_Statut,"En retard"))</f>
        <v/>
      </c>
      <c r="M147" s="135">
        <f>IF($E147="","",SUMIFS(EMP_Amende,EMP_Membre,$E147,EMP_Paye,"&lt;&gt;Oui"))</f>
        <v/>
      </c>
      <c r="N147" s="130">
        <f>IF($E147="","",IF($L147&gt;0,"En retard",IF($K147&gt;=P_Max,"Limite atteinte","Actif")))</f>
        <v/>
      </c>
      <c r="P147">
        <f>IF(OR(Q_Rech="",$E147=""),"",IF(ISNUMBER(SEARCH(Q_Rech,$E147&amp;" "&amp;$F147&amp;" "&amp;$H147)),COUNT($P$6:$P146)+1,""))</f>
        <v/>
      </c>
    </row>
    <row r="148" ht="21" customHeight="1">
      <c r="A148" s="1" t="n"/>
      <c r="B148" s="1" t="n"/>
      <c r="C148" s="2" t="n"/>
      <c r="E148" s="127" t="n"/>
      <c r="F148" s="127" t="n"/>
      <c r="G148" s="127" t="n"/>
      <c r="H148" s="127" t="n"/>
      <c r="I148" s="133" t="n"/>
      <c r="J148" s="134" t="n"/>
      <c r="K148" s="129">
        <f>IF($E148="","",COUNTIFS(EMP_Membre,$E148,EMP_Retour,""))</f>
        <v/>
      </c>
      <c r="L148" s="129">
        <f>IF($E148="","",COUNTIFS(EMP_Membre,$E148,EMP_Statut,"En retard"))</f>
        <v/>
      </c>
      <c r="M148" s="135">
        <f>IF($E148="","",SUMIFS(EMP_Amende,EMP_Membre,$E148,EMP_Paye,"&lt;&gt;Oui"))</f>
        <v/>
      </c>
      <c r="N148" s="130">
        <f>IF($E148="","",IF($L148&gt;0,"En retard",IF($K148&gt;=P_Max,"Limite atteinte","Actif")))</f>
        <v/>
      </c>
      <c r="P148">
        <f>IF(OR(Q_Rech="",$E148=""),"",IF(ISNUMBER(SEARCH(Q_Rech,$E148&amp;" "&amp;$F148&amp;" "&amp;$H148)),COUNT($P$6:$P147)+1,""))</f>
        <v/>
      </c>
    </row>
    <row r="149" ht="21" customHeight="1">
      <c r="A149" s="1" t="n"/>
      <c r="B149" s="1" t="n"/>
      <c r="C149" s="2" t="n"/>
      <c r="E149" s="127" t="n"/>
      <c r="F149" s="127" t="n"/>
      <c r="G149" s="127" t="n"/>
      <c r="H149" s="127" t="n"/>
      <c r="I149" s="133" t="n"/>
      <c r="J149" s="134" t="n"/>
      <c r="K149" s="129">
        <f>IF($E149="","",COUNTIFS(EMP_Membre,$E149,EMP_Retour,""))</f>
        <v/>
      </c>
      <c r="L149" s="129">
        <f>IF($E149="","",COUNTIFS(EMP_Membre,$E149,EMP_Statut,"En retard"))</f>
        <v/>
      </c>
      <c r="M149" s="135">
        <f>IF($E149="","",SUMIFS(EMP_Amende,EMP_Membre,$E149,EMP_Paye,"&lt;&gt;Oui"))</f>
        <v/>
      </c>
      <c r="N149" s="130">
        <f>IF($E149="","",IF($L149&gt;0,"En retard",IF($K149&gt;=P_Max,"Limite atteinte","Actif")))</f>
        <v/>
      </c>
      <c r="P149">
        <f>IF(OR(Q_Rech="",$E149=""),"",IF(ISNUMBER(SEARCH(Q_Rech,$E149&amp;" "&amp;$F149&amp;" "&amp;$H149)),COUNT($P$6:$P148)+1,""))</f>
        <v/>
      </c>
    </row>
    <row r="150" ht="21" customHeight="1">
      <c r="A150" s="1" t="n"/>
      <c r="B150" s="1" t="n"/>
      <c r="C150" s="2" t="n"/>
      <c r="E150" s="127" t="n"/>
      <c r="F150" s="127" t="n"/>
      <c r="G150" s="127" t="n"/>
      <c r="H150" s="127" t="n"/>
      <c r="I150" s="133" t="n"/>
      <c r="J150" s="134" t="n"/>
      <c r="K150" s="129">
        <f>IF($E150="","",COUNTIFS(EMP_Membre,$E150,EMP_Retour,""))</f>
        <v/>
      </c>
      <c r="L150" s="129">
        <f>IF($E150="","",COUNTIFS(EMP_Membre,$E150,EMP_Statut,"En retard"))</f>
        <v/>
      </c>
      <c r="M150" s="135">
        <f>IF($E150="","",SUMIFS(EMP_Amende,EMP_Membre,$E150,EMP_Paye,"&lt;&gt;Oui"))</f>
        <v/>
      </c>
      <c r="N150" s="130">
        <f>IF($E150="","",IF($L150&gt;0,"En retard",IF($K150&gt;=P_Max,"Limite atteinte","Actif")))</f>
        <v/>
      </c>
      <c r="P150">
        <f>IF(OR(Q_Rech="",$E150=""),"",IF(ISNUMBER(SEARCH(Q_Rech,$E150&amp;" "&amp;$F150&amp;" "&amp;$H150)),COUNT($P$6:$P149)+1,""))</f>
        <v/>
      </c>
    </row>
    <row r="151" ht="21" customHeight="1">
      <c r="A151" s="1" t="n"/>
      <c r="B151" s="1" t="n"/>
      <c r="C151" s="2" t="n"/>
      <c r="E151" s="127" t="n"/>
      <c r="F151" s="127" t="n"/>
      <c r="G151" s="127" t="n"/>
      <c r="H151" s="127" t="n"/>
      <c r="I151" s="133" t="n"/>
      <c r="J151" s="134" t="n"/>
      <c r="K151" s="129">
        <f>IF($E151="","",COUNTIFS(EMP_Membre,$E151,EMP_Retour,""))</f>
        <v/>
      </c>
      <c r="L151" s="129">
        <f>IF($E151="","",COUNTIFS(EMP_Membre,$E151,EMP_Statut,"En retard"))</f>
        <v/>
      </c>
      <c r="M151" s="135">
        <f>IF($E151="","",SUMIFS(EMP_Amende,EMP_Membre,$E151,EMP_Paye,"&lt;&gt;Oui"))</f>
        <v/>
      </c>
      <c r="N151" s="130">
        <f>IF($E151="","",IF($L151&gt;0,"En retard",IF($K151&gt;=P_Max,"Limite atteinte","Actif")))</f>
        <v/>
      </c>
      <c r="P151">
        <f>IF(OR(Q_Rech="",$E151=""),"",IF(ISNUMBER(SEARCH(Q_Rech,$E151&amp;" "&amp;$F151&amp;" "&amp;$H151)),COUNT($P$6:$P150)+1,""))</f>
        <v/>
      </c>
    </row>
    <row r="152" ht="21" customHeight="1">
      <c r="A152" s="1" t="n"/>
      <c r="B152" s="1" t="n"/>
      <c r="C152" s="2" t="n"/>
      <c r="E152" s="127" t="n"/>
      <c r="F152" s="127" t="n"/>
      <c r="G152" s="127" t="n"/>
      <c r="H152" s="127" t="n"/>
      <c r="I152" s="133" t="n"/>
      <c r="J152" s="134" t="n"/>
      <c r="K152" s="129">
        <f>IF($E152="","",COUNTIFS(EMP_Membre,$E152,EMP_Retour,""))</f>
        <v/>
      </c>
      <c r="L152" s="129">
        <f>IF($E152="","",COUNTIFS(EMP_Membre,$E152,EMP_Statut,"En retard"))</f>
        <v/>
      </c>
      <c r="M152" s="135">
        <f>IF($E152="","",SUMIFS(EMP_Amende,EMP_Membre,$E152,EMP_Paye,"&lt;&gt;Oui"))</f>
        <v/>
      </c>
      <c r="N152" s="130">
        <f>IF($E152="","",IF($L152&gt;0,"En retard",IF($K152&gt;=P_Max,"Limite atteinte","Actif")))</f>
        <v/>
      </c>
      <c r="P152">
        <f>IF(OR(Q_Rech="",$E152=""),"",IF(ISNUMBER(SEARCH(Q_Rech,$E152&amp;" "&amp;$F152&amp;" "&amp;$H152)),COUNT($P$6:$P151)+1,""))</f>
        <v/>
      </c>
    </row>
    <row r="153" ht="21" customHeight="1">
      <c r="A153" s="1" t="n"/>
      <c r="B153" s="1" t="n"/>
      <c r="C153" s="2" t="n"/>
      <c r="E153" s="127" t="n"/>
      <c r="F153" s="127" t="n"/>
      <c r="G153" s="127" t="n"/>
      <c r="H153" s="127" t="n"/>
      <c r="I153" s="133" t="n"/>
      <c r="J153" s="134" t="n"/>
      <c r="K153" s="129">
        <f>IF($E153="","",COUNTIFS(EMP_Membre,$E153,EMP_Retour,""))</f>
        <v/>
      </c>
      <c r="L153" s="129">
        <f>IF($E153="","",COUNTIFS(EMP_Membre,$E153,EMP_Statut,"En retard"))</f>
        <v/>
      </c>
      <c r="M153" s="135">
        <f>IF($E153="","",SUMIFS(EMP_Amende,EMP_Membre,$E153,EMP_Paye,"&lt;&gt;Oui"))</f>
        <v/>
      </c>
      <c r="N153" s="130">
        <f>IF($E153="","",IF($L153&gt;0,"En retard",IF($K153&gt;=P_Max,"Limite atteinte","Actif")))</f>
        <v/>
      </c>
      <c r="P153">
        <f>IF(OR(Q_Rech="",$E153=""),"",IF(ISNUMBER(SEARCH(Q_Rech,$E153&amp;" "&amp;$F153&amp;" "&amp;$H153)),COUNT($P$6:$P152)+1,""))</f>
        <v/>
      </c>
    </row>
    <row r="154" ht="21" customHeight="1">
      <c r="A154" s="1" t="n"/>
      <c r="B154" s="1" t="n"/>
      <c r="C154" s="2" t="n"/>
      <c r="E154" s="127" t="n"/>
      <c r="F154" s="127" t="n"/>
      <c r="G154" s="127" t="n"/>
      <c r="H154" s="127" t="n"/>
      <c r="I154" s="133" t="n"/>
      <c r="J154" s="134" t="n"/>
      <c r="K154" s="129">
        <f>IF($E154="","",COUNTIFS(EMP_Membre,$E154,EMP_Retour,""))</f>
        <v/>
      </c>
      <c r="L154" s="129">
        <f>IF($E154="","",COUNTIFS(EMP_Membre,$E154,EMP_Statut,"En retard"))</f>
        <v/>
      </c>
      <c r="M154" s="135">
        <f>IF($E154="","",SUMIFS(EMP_Amende,EMP_Membre,$E154,EMP_Paye,"&lt;&gt;Oui"))</f>
        <v/>
      </c>
      <c r="N154" s="130">
        <f>IF($E154="","",IF($L154&gt;0,"En retard",IF($K154&gt;=P_Max,"Limite atteinte","Actif")))</f>
        <v/>
      </c>
      <c r="P154">
        <f>IF(OR(Q_Rech="",$E154=""),"",IF(ISNUMBER(SEARCH(Q_Rech,$E154&amp;" "&amp;$F154&amp;" "&amp;$H154)),COUNT($P$6:$P153)+1,""))</f>
        <v/>
      </c>
    </row>
    <row r="155" ht="21" customHeight="1">
      <c r="A155" s="1" t="n"/>
      <c r="B155" s="1" t="n"/>
      <c r="C155" s="2" t="n"/>
      <c r="E155" s="127" t="n"/>
      <c r="F155" s="127" t="n"/>
      <c r="G155" s="127" t="n"/>
      <c r="H155" s="127" t="n"/>
      <c r="I155" s="133" t="n"/>
      <c r="J155" s="134" t="n"/>
      <c r="K155" s="129">
        <f>IF($E155="","",COUNTIFS(EMP_Membre,$E155,EMP_Retour,""))</f>
        <v/>
      </c>
      <c r="L155" s="129">
        <f>IF($E155="","",COUNTIFS(EMP_Membre,$E155,EMP_Statut,"En retard"))</f>
        <v/>
      </c>
      <c r="M155" s="135">
        <f>IF($E155="","",SUMIFS(EMP_Amende,EMP_Membre,$E155,EMP_Paye,"&lt;&gt;Oui"))</f>
        <v/>
      </c>
      <c r="N155" s="130">
        <f>IF($E155="","",IF($L155&gt;0,"En retard",IF($K155&gt;=P_Max,"Limite atteinte","Actif")))</f>
        <v/>
      </c>
      <c r="P155">
        <f>IF(OR(Q_Rech="",$E155=""),"",IF(ISNUMBER(SEARCH(Q_Rech,$E155&amp;" "&amp;$F155&amp;" "&amp;$H155)),COUNT($P$6:$P154)+1,""))</f>
        <v/>
      </c>
    </row>
    <row r="156" ht="21" customHeight="1">
      <c r="A156" s="1" t="n"/>
      <c r="B156" s="1" t="n"/>
      <c r="C156" s="2" t="n"/>
      <c r="E156" s="127" t="n"/>
      <c r="F156" s="127" t="n"/>
      <c r="G156" s="127" t="n"/>
      <c r="H156" s="127" t="n"/>
      <c r="I156" s="133" t="n"/>
      <c r="J156" s="134" t="n"/>
      <c r="K156" s="129">
        <f>IF($E156="","",COUNTIFS(EMP_Membre,$E156,EMP_Retour,""))</f>
        <v/>
      </c>
      <c r="L156" s="129">
        <f>IF($E156="","",COUNTIFS(EMP_Membre,$E156,EMP_Statut,"En retard"))</f>
        <v/>
      </c>
      <c r="M156" s="135">
        <f>IF($E156="","",SUMIFS(EMP_Amende,EMP_Membre,$E156,EMP_Paye,"&lt;&gt;Oui"))</f>
        <v/>
      </c>
      <c r="N156" s="130">
        <f>IF($E156="","",IF($L156&gt;0,"En retard",IF($K156&gt;=P_Max,"Limite atteinte","Actif")))</f>
        <v/>
      </c>
      <c r="P156">
        <f>IF(OR(Q_Rech="",$E156=""),"",IF(ISNUMBER(SEARCH(Q_Rech,$E156&amp;" "&amp;$F156&amp;" "&amp;$H156)),COUNT($P$6:$P155)+1,""))</f>
        <v/>
      </c>
    </row>
    <row r="157" ht="21" customHeight="1">
      <c r="A157" s="1" t="n"/>
      <c r="B157" s="1" t="n"/>
      <c r="C157" s="2" t="n"/>
      <c r="E157" s="127" t="n"/>
      <c r="F157" s="127" t="n"/>
      <c r="G157" s="127" t="n"/>
      <c r="H157" s="127" t="n"/>
      <c r="I157" s="133" t="n"/>
      <c r="J157" s="134" t="n"/>
      <c r="K157" s="129">
        <f>IF($E157="","",COUNTIFS(EMP_Membre,$E157,EMP_Retour,""))</f>
        <v/>
      </c>
      <c r="L157" s="129">
        <f>IF($E157="","",COUNTIFS(EMP_Membre,$E157,EMP_Statut,"En retard"))</f>
        <v/>
      </c>
      <c r="M157" s="135">
        <f>IF($E157="","",SUMIFS(EMP_Amende,EMP_Membre,$E157,EMP_Paye,"&lt;&gt;Oui"))</f>
        <v/>
      </c>
      <c r="N157" s="130">
        <f>IF($E157="","",IF($L157&gt;0,"En retard",IF($K157&gt;=P_Max,"Limite atteinte","Actif")))</f>
        <v/>
      </c>
      <c r="P157">
        <f>IF(OR(Q_Rech="",$E157=""),"",IF(ISNUMBER(SEARCH(Q_Rech,$E157&amp;" "&amp;$F157&amp;" "&amp;$H157)),COUNT($P$6:$P156)+1,""))</f>
        <v/>
      </c>
    </row>
    <row r="158" ht="21" customHeight="1">
      <c r="A158" s="1" t="n"/>
      <c r="B158" s="1" t="n"/>
      <c r="C158" s="2" t="n"/>
      <c r="E158" s="127" t="n"/>
      <c r="F158" s="127" t="n"/>
      <c r="G158" s="127" t="n"/>
      <c r="H158" s="127" t="n"/>
      <c r="I158" s="133" t="n"/>
      <c r="J158" s="134" t="n"/>
      <c r="K158" s="129">
        <f>IF($E158="","",COUNTIFS(EMP_Membre,$E158,EMP_Retour,""))</f>
        <v/>
      </c>
      <c r="L158" s="129">
        <f>IF($E158="","",COUNTIFS(EMP_Membre,$E158,EMP_Statut,"En retard"))</f>
        <v/>
      </c>
      <c r="M158" s="135">
        <f>IF($E158="","",SUMIFS(EMP_Amende,EMP_Membre,$E158,EMP_Paye,"&lt;&gt;Oui"))</f>
        <v/>
      </c>
      <c r="N158" s="130">
        <f>IF($E158="","",IF($L158&gt;0,"En retard",IF($K158&gt;=P_Max,"Limite atteinte","Actif")))</f>
        <v/>
      </c>
      <c r="P158">
        <f>IF(OR(Q_Rech="",$E158=""),"",IF(ISNUMBER(SEARCH(Q_Rech,$E158&amp;" "&amp;$F158&amp;" "&amp;$H158)),COUNT($P$6:$P157)+1,""))</f>
        <v/>
      </c>
    </row>
    <row r="159" ht="21" customHeight="1">
      <c r="A159" s="1" t="n"/>
      <c r="B159" s="1" t="n"/>
      <c r="C159" s="2" t="n"/>
      <c r="E159" s="127" t="n"/>
      <c r="F159" s="127" t="n"/>
      <c r="G159" s="127" t="n"/>
      <c r="H159" s="127" t="n"/>
      <c r="I159" s="133" t="n"/>
      <c r="J159" s="134" t="n"/>
      <c r="K159" s="129">
        <f>IF($E159="","",COUNTIFS(EMP_Membre,$E159,EMP_Retour,""))</f>
        <v/>
      </c>
      <c r="L159" s="129">
        <f>IF($E159="","",COUNTIFS(EMP_Membre,$E159,EMP_Statut,"En retard"))</f>
        <v/>
      </c>
      <c r="M159" s="135">
        <f>IF($E159="","",SUMIFS(EMP_Amende,EMP_Membre,$E159,EMP_Paye,"&lt;&gt;Oui"))</f>
        <v/>
      </c>
      <c r="N159" s="130">
        <f>IF($E159="","",IF($L159&gt;0,"En retard",IF($K159&gt;=P_Max,"Limite atteinte","Actif")))</f>
        <v/>
      </c>
      <c r="P159">
        <f>IF(OR(Q_Rech="",$E159=""),"",IF(ISNUMBER(SEARCH(Q_Rech,$E159&amp;" "&amp;$F159&amp;" "&amp;$H159)),COUNT($P$6:$P158)+1,""))</f>
        <v/>
      </c>
    </row>
    <row r="160" ht="21" customHeight="1">
      <c r="A160" s="1" t="n"/>
      <c r="B160" s="1" t="n"/>
      <c r="C160" s="2" t="n"/>
      <c r="E160" s="127" t="n"/>
      <c r="F160" s="127" t="n"/>
      <c r="G160" s="127" t="n"/>
      <c r="H160" s="127" t="n"/>
      <c r="I160" s="133" t="n"/>
      <c r="J160" s="134" t="n"/>
      <c r="K160" s="129">
        <f>IF($E160="","",COUNTIFS(EMP_Membre,$E160,EMP_Retour,""))</f>
        <v/>
      </c>
      <c r="L160" s="129">
        <f>IF($E160="","",COUNTIFS(EMP_Membre,$E160,EMP_Statut,"En retard"))</f>
        <v/>
      </c>
      <c r="M160" s="135">
        <f>IF($E160="","",SUMIFS(EMP_Amende,EMP_Membre,$E160,EMP_Paye,"&lt;&gt;Oui"))</f>
        <v/>
      </c>
      <c r="N160" s="130">
        <f>IF($E160="","",IF($L160&gt;0,"En retard",IF($K160&gt;=P_Max,"Limite atteinte","Actif")))</f>
        <v/>
      </c>
      <c r="P160">
        <f>IF(OR(Q_Rech="",$E160=""),"",IF(ISNUMBER(SEARCH(Q_Rech,$E160&amp;" "&amp;$F160&amp;" "&amp;$H160)),COUNT($P$6:$P159)+1,""))</f>
        <v/>
      </c>
    </row>
    <row r="161" ht="21" customHeight="1">
      <c r="A161" s="1" t="n"/>
      <c r="B161" s="1" t="n"/>
      <c r="C161" s="2" t="n"/>
      <c r="E161" s="127" t="n"/>
      <c r="F161" s="127" t="n"/>
      <c r="G161" s="127" t="n"/>
      <c r="H161" s="127" t="n"/>
      <c r="I161" s="133" t="n"/>
      <c r="J161" s="134" t="n"/>
      <c r="K161" s="129">
        <f>IF($E161="","",COUNTIFS(EMP_Membre,$E161,EMP_Retour,""))</f>
        <v/>
      </c>
      <c r="L161" s="129">
        <f>IF($E161="","",COUNTIFS(EMP_Membre,$E161,EMP_Statut,"En retard"))</f>
        <v/>
      </c>
      <c r="M161" s="135">
        <f>IF($E161="","",SUMIFS(EMP_Amende,EMP_Membre,$E161,EMP_Paye,"&lt;&gt;Oui"))</f>
        <v/>
      </c>
      <c r="N161" s="130">
        <f>IF($E161="","",IF($L161&gt;0,"En retard",IF($K161&gt;=P_Max,"Limite atteinte","Actif")))</f>
        <v/>
      </c>
      <c r="P161">
        <f>IF(OR(Q_Rech="",$E161=""),"",IF(ISNUMBER(SEARCH(Q_Rech,$E161&amp;" "&amp;$F161&amp;" "&amp;$H161)),COUNT($P$6:$P160)+1,""))</f>
        <v/>
      </c>
    </row>
    <row r="162" ht="21" customHeight="1">
      <c r="A162" s="1" t="n"/>
      <c r="B162" s="1" t="n"/>
      <c r="C162" s="2" t="n"/>
      <c r="E162" s="127" t="n"/>
      <c r="F162" s="127" t="n"/>
      <c r="G162" s="127" t="n"/>
      <c r="H162" s="127" t="n"/>
      <c r="I162" s="133" t="n"/>
      <c r="J162" s="134" t="n"/>
      <c r="K162" s="129">
        <f>IF($E162="","",COUNTIFS(EMP_Membre,$E162,EMP_Retour,""))</f>
        <v/>
      </c>
      <c r="L162" s="129">
        <f>IF($E162="","",COUNTIFS(EMP_Membre,$E162,EMP_Statut,"En retard"))</f>
        <v/>
      </c>
      <c r="M162" s="135">
        <f>IF($E162="","",SUMIFS(EMP_Amende,EMP_Membre,$E162,EMP_Paye,"&lt;&gt;Oui"))</f>
        <v/>
      </c>
      <c r="N162" s="130">
        <f>IF($E162="","",IF($L162&gt;0,"En retard",IF($K162&gt;=P_Max,"Limite atteinte","Actif")))</f>
        <v/>
      </c>
      <c r="P162">
        <f>IF(OR(Q_Rech="",$E162=""),"",IF(ISNUMBER(SEARCH(Q_Rech,$E162&amp;" "&amp;$F162&amp;" "&amp;$H162)),COUNT($P$6:$P161)+1,""))</f>
        <v/>
      </c>
    </row>
    <row r="163" ht="21" customHeight="1">
      <c r="A163" s="1" t="n"/>
      <c r="B163" s="1" t="n"/>
      <c r="C163" s="2" t="n"/>
      <c r="E163" s="127" t="n"/>
      <c r="F163" s="127" t="n"/>
      <c r="G163" s="127" t="n"/>
      <c r="H163" s="127" t="n"/>
      <c r="I163" s="133" t="n"/>
      <c r="J163" s="134" t="n"/>
      <c r="K163" s="129">
        <f>IF($E163="","",COUNTIFS(EMP_Membre,$E163,EMP_Retour,""))</f>
        <v/>
      </c>
      <c r="L163" s="129">
        <f>IF($E163="","",COUNTIFS(EMP_Membre,$E163,EMP_Statut,"En retard"))</f>
        <v/>
      </c>
      <c r="M163" s="135">
        <f>IF($E163="","",SUMIFS(EMP_Amende,EMP_Membre,$E163,EMP_Paye,"&lt;&gt;Oui"))</f>
        <v/>
      </c>
      <c r="N163" s="130">
        <f>IF($E163="","",IF($L163&gt;0,"En retard",IF($K163&gt;=P_Max,"Limite atteinte","Actif")))</f>
        <v/>
      </c>
      <c r="P163">
        <f>IF(OR(Q_Rech="",$E163=""),"",IF(ISNUMBER(SEARCH(Q_Rech,$E163&amp;" "&amp;$F163&amp;" "&amp;$H163)),COUNT($P$6:$P162)+1,""))</f>
        <v/>
      </c>
    </row>
    <row r="164" ht="21" customHeight="1">
      <c r="A164" s="1" t="n"/>
      <c r="B164" s="1" t="n"/>
      <c r="C164" s="2" t="n"/>
      <c r="E164" s="127" t="n"/>
      <c r="F164" s="127" t="n"/>
      <c r="G164" s="127" t="n"/>
      <c r="H164" s="127" t="n"/>
      <c r="I164" s="133" t="n"/>
      <c r="J164" s="134" t="n"/>
      <c r="K164" s="129">
        <f>IF($E164="","",COUNTIFS(EMP_Membre,$E164,EMP_Retour,""))</f>
        <v/>
      </c>
      <c r="L164" s="129">
        <f>IF($E164="","",COUNTIFS(EMP_Membre,$E164,EMP_Statut,"En retard"))</f>
        <v/>
      </c>
      <c r="M164" s="135">
        <f>IF($E164="","",SUMIFS(EMP_Amende,EMP_Membre,$E164,EMP_Paye,"&lt;&gt;Oui"))</f>
        <v/>
      </c>
      <c r="N164" s="130">
        <f>IF($E164="","",IF($L164&gt;0,"En retard",IF($K164&gt;=P_Max,"Limite atteinte","Actif")))</f>
        <v/>
      </c>
      <c r="P164">
        <f>IF(OR(Q_Rech="",$E164=""),"",IF(ISNUMBER(SEARCH(Q_Rech,$E164&amp;" "&amp;$F164&amp;" "&amp;$H164)),COUNT($P$6:$P163)+1,""))</f>
        <v/>
      </c>
    </row>
    <row r="165" ht="21" customHeight="1">
      <c r="A165" s="1" t="n"/>
      <c r="B165" s="1" t="n"/>
      <c r="C165" s="2" t="n"/>
      <c r="E165" s="127" t="n"/>
      <c r="F165" s="127" t="n"/>
      <c r="G165" s="127" t="n"/>
      <c r="H165" s="127" t="n"/>
      <c r="I165" s="133" t="n"/>
      <c r="J165" s="134" t="n"/>
      <c r="K165" s="129">
        <f>IF($E165="","",COUNTIFS(EMP_Membre,$E165,EMP_Retour,""))</f>
        <v/>
      </c>
      <c r="L165" s="129">
        <f>IF($E165="","",COUNTIFS(EMP_Membre,$E165,EMP_Statut,"En retard"))</f>
        <v/>
      </c>
      <c r="M165" s="135">
        <f>IF($E165="","",SUMIFS(EMP_Amende,EMP_Membre,$E165,EMP_Paye,"&lt;&gt;Oui"))</f>
        <v/>
      </c>
      <c r="N165" s="130">
        <f>IF($E165="","",IF($L165&gt;0,"En retard",IF($K165&gt;=P_Max,"Limite atteinte","Actif")))</f>
        <v/>
      </c>
      <c r="P165">
        <f>IF(OR(Q_Rech="",$E165=""),"",IF(ISNUMBER(SEARCH(Q_Rech,$E165&amp;" "&amp;$F165&amp;" "&amp;$H165)),COUNT($P$6:$P164)+1,""))</f>
        <v/>
      </c>
    </row>
    <row r="166" ht="21" customHeight="1">
      <c r="A166" s="1" t="n"/>
      <c r="B166" s="1" t="n"/>
      <c r="C166" s="2" t="n"/>
      <c r="E166" s="127" t="n"/>
      <c r="F166" s="127" t="n"/>
      <c r="G166" s="127" t="n"/>
      <c r="H166" s="127" t="n"/>
      <c r="I166" s="133" t="n"/>
      <c r="J166" s="134" t="n"/>
      <c r="K166" s="129">
        <f>IF($E166="","",COUNTIFS(EMP_Membre,$E166,EMP_Retour,""))</f>
        <v/>
      </c>
      <c r="L166" s="129">
        <f>IF($E166="","",COUNTIFS(EMP_Membre,$E166,EMP_Statut,"En retard"))</f>
        <v/>
      </c>
      <c r="M166" s="135">
        <f>IF($E166="","",SUMIFS(EMP_Amende,EMP_Membre,$E166,EMP_Paye,"&lt;&gt;Oui"))</f>
        <v/>
      </c>
      <c r="N166" s="130">
        <f>IF($E166="","",IF($L166&gt;0,"En retard",IF($K166&gt;=P_Max,"Limite atteinte","Actif")))</f>
        <v/>
      </c>
      <c r="P166">
        <f>IF(OR(Q_Rech="",$E166=""),"",IF(ISNUMBER(SEARCH(Q_Rech,$E166&amp;" "&amp;$F166&amp;" "&amp;$H166)),COUNT($P$6:$P165)+1,""))</f>
        <v/>
      </c>
    </row>
    <row r="167" ht="21" customHeight="1">
      <c r="A167" s="1" t="n"/>
      <c r="B167" s="1" t="n"/>
      <c r="C167" s="2" t="n"/>
      <c r="E167" s="127" t="n"/>
      <c r="F167" s="127" t="n"/>
      <c r="G167" s="127" t="n"/>
      <c r="H167" s="127" t="n"/>
      <c r="I167" s="133" t="n"/>
      <c r="J167" s="134" t="n"/>
      <c r="K167" s="129">
        <f>IF($E167="","",COUNTIFS(EMP_Membre,$E167,EMP_Retour,""))</f>
        <v/>
      </c>
      <c r="L167" s="129">
        <f>IF($E167="","",COUNTIFS(EMP_Membre,$E167,EMP_Statut,"En retard"))</f>
        <v/>
      </c>
      <c r="M167" s="135">
        <f>IF($E167="","",SUMIFS(EMP_Amende,EMP_Membre,$E167,EMP_Paye,"&lt;&gt;Oui"))</f>
        <v/>
      </c>
      <c r="N167" s="130">
        <f>IF($E167="","",IF($L167&gt;0,"En retard",IF($K167&gt;=P_Max,"Limite atteinte","Actif")))</f>
        <v/>
      </c>
      <c r="P167">
        <f>IF(OR(Q_Rech="",$E167=""),"",IF(ISNUMBER(SEARCH(Q_Rech,$E167&amp;" "&amp;$F167&amp;" "&amp;$H167)),COUNT($P$6:$P166)+1,""))</f>
        <v/>
      </c>
    </row>
    <row r="168" ht="21" customHeight="1">
      <c r="A168" s="1" t="n"/>
      <c r="B168" s="1" t="n"/>
      <c r="C168" s="2" t="n"/>
      <c r="E168" s="127" t="n"/>
      <c r="F168" s="127" t="n"/>
      <c r="G168" s="127" t="n"/>
      <c r="H168" s="127" t="n"/>
      <c r="I168" s="133" t="n"/>
      <c r="J168" s="134" t="n"/>
      <c r="K168" s="129">
        <f>IF($E168="","",COUNTIFS(EMP_Membre,$E168,EMP_Retour,""))</f>
        <v/>
      </c>
      <c r="L168" s="129">
        <f>IF($E168="","",COUNTIFS(EMP_Membre,$E168,EMP_Statut,"En retard"))</f>
        <v/>
      </c>
      <c r="M168" s="135">
        <f>IF($E168="","",SUMIFS(EMP_Amende,EMP_Membre,$E168,EMP_Paye,"&lt;&gt;Oui"))</f>
        <v/>
      </c>
      <c r="N168" s="130">
        <f>IF($E168="","",IF($L168&gt;0,"En retard",IF($K168&gt;=P_Max,"Limite atteinte","Actif")))</f>
        <v/>
      </c>
      <c r="P168">
        <f>IF(OR(Q_Rech="",$E168=""),"",IF(ISNUMBER(SEARCH(Q_Rech,$E168&amp;" "&amp;$F168&amp;" "&amp;$H168)),COUNT($P$6:$P167)+1,""))</f>
        <v/>
      </c>
    </row>
    <row r="169" ht="21" customHeight="1">
      <c r="A169" s="1" t="n"/>
      <c r="B169" s="1" t="n"/>
      <c r="C169" s="2" t="n"/>
      <c r="E169" s="127" t="n"/>
      <c r="F169" s="127" t="n"/>
      <c r="G169" s="127" t="n"/>
      <c r="H169" s="127" t="n"/>
      <c r="I169" s="133" t="n"/>
      <c r="J169" s="134" t="n"/>
      <c r="K169" s="129">
        <f>IF($E169="","",COUNTIFS(EMP_Membre,$E169,EMP_Retour,""))</f>
        <v/>
      </c>
      <c r="L169" s="129">
        <f>IF($E169="","",COUNTIFS(EMP_Membre,$E169,EMP_Statut,"En retard"))</f>
        <v/>
      </c>
      <c r="M169" s="135">
        <f>IF($E169="","",SUMIFS(EMP_Amende,EMP_Membre,$E169,EMP_Paye,"&lt;&gt;Oui"))</f>
        <v/>
      </c>
      <c r="N169" s="130">
        <f>IF($E169="","",IF($L169&gt;0,"En retard",IF($K169&gt;=P_Max,"Limite atteinte","Actif")))</f>
        <v/>
      </c>
      <c r="P169">
        <f>IF(OR(Q_Rech="",$E169=""),"",IF(ISNUMBER(SEARCH(Q_Rech,$E169&amp;" "&amp;$F169&amp;" "&amp;$H169)),COUNT($P$6:$P168)+1,""))</f>
        <v/>
      </c>
    </row>
    <row r="170" ht="21" customHeight="1">
      <c r="A170" s="1" t="n"/>
      <c r="B170" s="1" t="n"/>
      <c r="C170" s="2" t="n"/>
      <c r="E170" s="127" t="n"/>
      <c r="F170" s="127" t="n"/>
      <c r="G170" s="127" t="n"/>
      <c r="H170" s="127" t="n"/>
      <c r="I170" s="133" t="n"/>
      <c r="J170" s="134" t="n"/>
      <c r="K170" s="129">
        <f>IF($E170="","",COUNTIFS(EMP_Membre,$E170,EMP_Retour,""))</f>
        <v/>
      </c>
      <c r="L170" s="129">
        <f>IF($E170="","",COUNTIFS(EMP_Membre,$E170,EMP_Statut,"En retard"))</f>
        <v/>
      </c>
      <c r="M170" s="135">
        <f>IF($E170="","",SUMIFS(EMP_Amende,EMP_Membre,$E170,EMP_Paye,"&lt;&gt;Oui"))</f>
        <v/>
      </c>
      <c r="N170" s="130">
        <f>IF($E170="","",IF($L170&gt;0,"En retard",IF($K170&gt;=P_Max,"Limite atteinte","Actif")))</f>
        <v/>
      </c>
      <c r="P170">
        <f>IF(OR(Q_Rech="",$E170=""),"",IF(ISNUMBER(SEARCH(Q_Rech,$E170&amp;" "&amp;$F170&amp;" "&amp;$H170)),COUNT($P$6:$P169)+1,""))</f>
        <v/>
      </c>
    </row>
    <row r="171" ht="21" customHeight="1">
      <c r="A171" s="1" t="n"/>
      <c r="B171" s="1" t="n"/>
      <c r="C171" s="2" t="n"/>
      <c r="E171" s="127" t="n"/>
      <c r="F171" s="127" t="n"/>
      <c r="G171" s="127" t="n"/>
      <c r="H171" s="127" t="n"/>
      <c r="I171" s="133" t="n"/>
      <c r="J171" s="134" t="n"/>
      <c r="K171" s="129">
        <f>IF($E171="","",COUNTIFS(EMP_Membre,$E171,EMP_Retour,""))</f>
        <v/>
      </c>
      <c r="L171" s="129">
        <f>IF($E171="","",COUNTIFS(EMP_Membre,$E171,EMP_Statut,"En retard"))</f>
        <v/>
      </c>
      <c r="M171" s="135">
        <f>IF($E171="","",SUMIFS(EMP_Amende,EMP_Membre,$E171,EMP_Paye,"&lt;&gt;Oui"))</f>
        <v/>
      </c>
      <c r="N171" s="130">
        <f>IF($E171="","",IF($L171&gt;0,"En retard",IF($K171&gt;=P_Max,"Limite atteinte","Actif")))</f>
        <v/>
      </c>
      <c r="P171">
        <f>IF(OR(Q_Rech="",$E171=""),"",IF(ISNUMBER(SEARCH(Q_Rech,$E171&amp;" "&amp;$F171&amp;" "&amp;$H171)),COUNT($P$6:$P170)+1,""))</f>
        <v/>
      </c>
    </row>
    <row r="172" ht="21" customHeight="1">
      <c r="A172" s="1" t="n"/>
      <c r="B172" s="1" t="n"/>
      <c r="C172" s="2" t="n"/>
      <c r="E172" s="127" t="n"/>
      <c r="F172" s="127" t="n"/>
      <c r="G172" s="127" t="n"/>
      <c r="H172" s="127" t="n"/>
      <c r="I172" s="133" t="n"/>
      <c r="J172" s="134" t="n"/>
      <c r="K172" s="129">
        <f>IF($E172="","",COUNTIFS(EMP_Membre,$E172,EMP_Retour,""))</f>
        <v/>
      </c>
      <c r="L172" s="129">
        <f>IF($E172="","",COUNTIFS(EMP_Membre,$E172,EMP_Statut,"En retard"))</f>
        <v/>
      </c>
      <c r="M172" s="135">
        <f>IF($E172="","",SUMIFS(EMP_Amende,EMP_Membre,$E172,EMP_Paye,"&lt;&gt;Oui"))</f>
        <v/>
      </c>
      <c r="N172" s="130">
        <f>IF($E172="","",IF($L172&gt;0,"En retard",IF($K172&gt;=P_Max,"Limite atteinte","Actif")))</f>
        <v/>
      </c>
      <c r="P172">
        <f>IF(OR(Q_Rech="",$E172=""),"",IF(ISNUMBER(SEARCH(Q_Rech,$E172&amp;" "&amp;$F172&amp;" "&amp;$H172)),COUNT($P$6:$P171)+1,""))</f>
        <v/>
      </c>
    </row>
    <row r="173" ht="21" customHeight="1">
      <c r="A173" s="1" t="n"/>
      <c r="B173" s="1" t="n"/>
      <c r="C173" s="2" t="n"/>
      <c r="E173" s="127" t="n"/>
      <c r="F173" s="127" t="n"/>
      <c r="G173" s="127" t="n"/>
      <c r="H173" s="127" t="n"/>
      <c r="I173" s="133" t="n"/>
      <c r="J173" s="134" t="n"/>
      <c r="K173" s="129">
        <f>IF($E173="","",COUNTIFS(EMP_Membre,$E173,EMP_Retour,""))</f>
        <v/>
      </c>
      <c r="L173" s="129">
        <f>IF($E173="","",COUNTIFS(EMP_Membre,$E173,EMP_Statut,"En retard"))</f>
        <v/>
      </c>
      <c r="M173" s="135">
        <f>IF($E173="","",SUMIFS(EMP_Amende,EMP_Membre,$E173,EMP_Paye,"&lt;&gt;Oui"))</f>
        <v/>
      </c>
      <c r="N173" s="130">
        <f>IF($E173="","",IF($L173&gt;0,"En retard",IF($K173&gt;=P_Max,"Limite atteinte","Actif")))</f>
        <v/>
      </c>
      <c r="P173">
        <f>IF(OR(Q_Rech="",$E173=""),"",IF(ISNUMBER(SEARCH(Q_Rech,$E173&amp;" "&amp;$F173&amp;" "&amp;$H173)),COUNT($P$6:$P172)+1,""))</f>
        <v/>
      </c>
    </row>
    <row r="174" ht="21" customHeight="1">
      <c r="A174" s="1" t="n"/>
      <c r="B174" s="1" t="n"/>
      <c r="C174" s="2" t="n"/>
      <c r="E174" s="127" t="n"/>
      <c r="F174" s="127" t="n"/>
      <c r="G174" s="127" t="n"/>
      <c r="H174" s="127" t="n"/>
      <c r="I174" s="133" t="n"/>
      <c r="J174" s="134" t="n"/>
      <c r="K174" s="129">
        <f>IF($E174="","",COUNTIFS(EMP_Membre,$E174,EMP_Retour,""))</f>
        <v/>
      </c>
      <c r="L174" s="129">
        <f>IF($E174="","",COUNTIFS(EMP_Membre,$E174,EMP_Statut,"En retard"))</f>
        <v/>
      </c>
      <c r="M174" s="135">
        <f>IF($E174="","",SUMIFS(EMP_Amende,EMP_Membre,$E174,EMP_Paye,"&lt;&gt;Oui"))</f>
        <v/>
      </c>
      <c r="N174" s="130">
        <f>IF($E174="","",IF($L174&gt;0,"En retard",IF($K174&gt;=P_Max,"Limite atteinte","Actif")))</f>
        <v/>
      </c>
      <c r="P174">
        <f>IF(OR(Q_Rech="",$E174=""),"",IF(ISNUMBER(SEARCH(Q_Rech,$E174&amp;" "&amp;$F174&amp;" "&amp;$H174)),COUNT($P$6:$P173)+1,""))</f>
        <v/>
      </c>
    </row>
    <row r="175" ht="21" customHeight="1">
      <c r="A175" s="1" t="n"/>
      <c r="B175" s="1" t="n"/>
      <c r="C175" s="2" t="n"/>
      <c r="E175" s="127" t="n"/>
      <c r="F175" s="127" t="n"/>
      <c r="G175" s="127" t="n"/>
      <c r="H175" s="127" t="n"/>
      <c r="I175" s="133" t="n"/>
      <c r="J175" s="134" t="n"/>
      <c r="K175" s="129">
        <f>IF($E175="","",COUNTIFS(EMP_Membre,$E175,EMP_Retour,""))</f>
        <v/>
      </c>
      <c r="L175" s="129">
        <f>IF($E175="","",COUNTIFS(EMP_Membre,$E175,EMP_Statut,"En retard"))</f>
        <v/>
      </c>
      <c r="M175" s="135">
        <f>IF($E175="","",SUMIFS(EMP_Amende,EMP_Membre,$E175,EMP_Paye,"&lt;&gt;Oui"))</f>
        <v/>
      </c>
      <c r="N175" s="130">
        <f>IF($E175="","",IF($L175&gt;0,"En retard",IF($K175&gt;=P_Max,"Limite atteinte","Actif")))</f>
        <v/>
      </c>
      <c r="P175">
        <f>IF(OR(Q_Rech="",$E175=""),"",IF(ISNUMBER(SEARCH(Q_Rech,$E175&amp;" "&amp;$F175&amp;" "&amp;$H175)),COUNT($P$6:$P174)+1,""))</f>
        <v/>
      </c>
    </row>
    <row r="176" ht="21" customHeight="1">
      <c r="A176" s="1" t="n"/>
      <c r="B176" s="1" t="n"/>
      <c r="C176" s="2" t="n"/>
      <c r="E176" s="127" t="n"/>
      <c r="F176" s="127" t="n"/>
      <c r="G176" s="127" t="n"/>
      <c r="H176" s="127" t="n"/>
      <c r="I176" s="133" t="n"/>
      <c r="J176" s="134" t="n"/>
      <c r="K176" s="129">
        <f>IF($E176="","",COUNTIFS(EMP_Membre,$E176,EMP_Retour,""))</f>
        <v/>
      </c>
      <c r="L176" s="129">
        <f>IF($E176="","",COUNTIFS(EMP_Membre,$E176,EMP_Statut,"En retard"))</f>
        <v/>
      </c>
      <c r="M176" s="135">
        <f>IF($E176="","",SUMIFS(EMP_Amende,EMP_Membre,$E176,EMP_Paye,"&lt;&gt;Oui"))</f>
        <v/>
      </c>
      <c r="N176" s="130">
        <f>IF($E176="","",IF($L176&gt;0,"En retard",IF($K176&gt;=P_Max,"Limite atteinte","Actif")))</f>
        <v/>
      </c>
      <c r="P176">
        <f>IF(OR(Q_Rech="",$E176=""),"",IF(ISNUMBER(SEARCH(Q_Rech,$E176&amp;" "&amp;$F176&amp;" "&amp;$H176)),COUNT($P$6:$P175)+1,""))</f>
        <v/>
      </c>
    </row>
    <row r="177" ht="21" customHeight="1">
      <c r="A177" s="1" t="n"/>
      <c r="B177" s="1" t="n"/>
      <c r="C177" s="2" t="n"/>
      <c r="E177" s="127" t="n"/>
      <c r="F177" s="127" t="n"/>
      <c r="G177" s="127" t="n"/>
      <c r="H177" s="127" t="n"/>
      <c r="I177" s="133" t="n"/>
      <c r="J177" s="134" t="n"/>
      <c r="K177" s="129">
        <f>IF($E177="","",COUNTIFS(EMP_Membre,$E177,EMP_Retour,""))</f>
        <v/>
      </c>
      <c r="L177" s="129">
        <f>IF($E177="","",COUNTIFS(EMP_Membre,$E177,EMP_Statut,"En retard"))</f>
        <v/>
      </c>
      <c r="M177" s="135">
        <f>IF($E177="","",SUMIFS(EMP_Amende,EMP_Membre,$E177,EMP_Paye,"&lt;&gt;Oui"))</f>
        <v/>
      </c>
      <c r="N177" s="130">
        <f>IF($E177="","",IF($L177&gt;0,"En retard",IF($K177&gt;=P_Max,"Limite atteinte","Actif")))</f>
        <v/>
      </c>
      <c r="P177">
        <f>IF(OR(Q_Rech="",$E177=""),"",IF(ISNUMBER(SEARCH(Q_Rech,$E177&amp;" "&amp;$F177&amp;" "&amp;$H177)),COUNT($P$6:$P176)+1,""))</f>
        <v/>
      </c>
    </row>
    <row r="178" ht="21" customHeight="1">
      <c r="A178" s="1" t="n"/>
      <c r="B178" s="1" t="n"/>
      <c r="C178" s="2" t="n"/>
      <c r="E178" s="127" t="n"/>
      <c r="F178" s="127" t="n"/>
      <c r="G178" s="127" t="n"/>
      <c r="H178" s="127" t="n"/>
      <c r="I178" s="133" t="n"/>
      <c r="J178" s="134" t="n"/>
      <c r="K178" s="129">
        <f>IF($E178="","",COUNTIFS(EMP_Membre,$E178,EMP_Retour,""))</f>
        <v/>
      </c>
      <c r="L178" s="129">
        <f>IF($E178="","",COUNTIFS(EMP_Membre,$E178,EMP_Statut,"En retard"))</f>
        <v/>
      </c>
      <c r="M178" s="135">
        <f>IF($E178="","",SUMIFS(EMP_Amende,EMP_Membre,$E178,EMP_Paye,"&lt;&gt;Oui"))</f>
        <v/>
      </c>
      <c r="N178" s="130">
        <f>IF($E178="","",IF($L178&gt;0,"En retard",IF($K178&gt;=P_Max,"Limite atteinte","Actif")))</f>
        <v/>
      </c>
      <c r="P178">
        <f>IF(OR(Q_Rech="",$E178=""),"",IF(ISNUMBER(SEARCH(Q_Rech,$E178&amp;" "&amp;$F178&amp;" "&amp;$H178)),COUNT($P$6:$P177)+1,""))</f>
        <v/>
      </c>
    </row>
    <row r="179" ht="21" customHeight="1">
      <c r="A179" s="1" t="n"/>
      <c r="B179" s="1" t="n"/>
      <c r="C179" s="2" t="n"/>
      <c r="E179" s="127" t="n"/>
      <c r="F179" s="127" t="n"/>
      <c r="G179" s="127" t="n"/>
      <c r="H179" s="127" t="n"/>
      <c r="I179" s="133" t="n"/>
      <c r="J179" s="134" t="n"/>
      <c r="K179" s="129">
        <f>IF($E179="","",COUNTIFS(EMP_Membre,$E179,EMP_Retour,""))</f>
        <v/>
      </c>
      <c r="L179" s="129">
        <f>IF($E179="","",COUNTIFS(EMP_Membre,$E179,EMP_Statut,"En retard"))</f>
        <v/>
      </c>
      <c r="M179" s="135">
        <f>IF($E179="","",SUMIFS(EMP_Amende,EMP_Membre,$E179,EMP_Paye,"&lt;&gt;Oui"))</f>
        <v/>
      </c>
      <c r="N179" s="130">
        <f>IF($E179="","",IF($L179&gt;0,"En retard",IF($K179&gt;=P_Max,"Limite atteinte","Actif")))</f>
        <v/>
      </c>
      <c r="P179">
        <f>IF(OR(Q_Rech="",$E179=""),"",IF(ISNUMBER(SEARCH(Q_Rech,$E179&amp;" "&amp;$F179&amp;" "&amp;$H179)),COUNT($P$6:$P178)+1,""))</f>
        <v/>
      </c>
    </row>
    <row r="180" ht="21" customHeight="1">
      <c r="A180" s="1" t="n"/>
      <c r="B180" s="1" t="n"/>
      <c r="C180" s="2" t="n"/>
      <c r="E180" s="127" t="n"/>
      <c r="F180" s="127" t="n"/>
      <c r="G180" s="127" t="n"/>
      <c r="H180" s="127" t="n"/>
      <c r="I180" s="133" t="n"/>
      <c r="J180" s="134" t="n"/>
      <c r="K180" s="129">
        <f>IF($E180="","",COUNTIFS(EMP_Membre,$E180,EMP_Retour,""))</f>
        <v/>
      </c>
      <c r="L180" s="129">
        <f>IF($E180="","",COUNTIFS(EMP_Membre,$E180,EMP_Statut,"En retard"))</f>
        <v/>
      </c>
      <c r="M180" s="135">
        <f>IF($E180="","",SUMIFS(EMP_Amende,EMP_Membre,$E180,EMP_Paye,"&lt;&gt;Oui"))</f>
        <v/>
      </c>
      <c r="N180" s="130">
        <f>IF($E180="","",IF($L180&gt;0,"En retard",IF($K180&gt;=P_Max,"Limite atteinte","Actif")))</f>
        <v/>
      </c>
      <c r="P180">
        <f>IF(OR(Q_Rech="",$E180=""),"",IF(ISNUMBER(SEARCH(Q_Rech,$E180&amp;" "&amp;$F180&amp;" "&amp;$H180)),COUNT($P$6:$P179)+1,""))</f>
        <v/>
      </c>
    </row>
    <row r="181" ht="21" customHeight="1">
      <c r="A181" s="1" t="n"/>
      <c r="B181" s="1" t="n"/>
      <c r="C181" s="2" t="n"/>
      <c r="E181" s="127" t="n"/>
      <c r="F181" s="127" t="n"/>
      <c r="G181" s="127" t="n"/>
      <c r="H181" s="127" t="n"/>
      <c r="I181" s="133" t="n"/>
      <c r="J181" s="134" t="n"/>
      <c r="K181" s="129">
        <f>IF($E181="","",COUNTIFS(EMP_Membre,$E181,EMP_Retour,""))</f>
        <v/>
      </c>
      <c r="L181" s="129">
        <f>IF($E181="","",COUNTIFS(EMP_Membre,$E181,EMP_Statut,"En retard"))</f>
        <v/>
      </c>
      <c r="M181" s="135">
        <f>IF($E181="","",SUMIFS(EMP_Amende,EMP_Membre,$E181,EMP_Paye,"&lt;&gt;Oui"))</f>
        <v/>
      </c>
      <c r="N181" s="130">
        <f>IF($E181="","",IF($L181&gt;0,"En retard",IF($K181&gt;=P_Max,"Limite atteinte","Actif")))</f>
        <v/>
      </c>
      <c r="P181">
        <f>IF(OR(Q_Rech="",$E181=""),"",IF(ISNUMBER(SEARCH(Q_Rech,$E181&amp;" "&amp;$F181&amp;" "&amp;$H181)),COUNT($P$6:$P180)+1,""))</f>
        <v/>
      </c>
    </row>
    <row r="182" ht="21" customHeight="1">
      <c r="A182" s="1" t="n"/>
      <c r="B182" s="1" t="n"/>
      <c r="C182" s="2" t="n"/>
      <c r="E182" s="127" t="n"/>
      <c r="F182" s="127" t="n"/>
      <c r="G182" s="127" t="n"/>
      <c r="H182" s="127" t="n"/>
      <c r="I182" s="133" t="n"/>
      <c r="J182" s="134" t="n"/>
      <c r="K182" s="129">
        <f>IF($E182="","",COUNTIFS(EMP_Membre,$E182,EMP_Retour,""))</f>
        <v/>
      </c>
      <c r="L182" s="129">
        <f>IF($E182="","",COUNTIFS(EMP_Membre,$E182,EMP_Statut,"En retard"))</f>
        <v/>
      </c>
      <c r="M182" s="135">
        <f>IF($E182="","",SUMIFS(EMP_Amende,EMP_Membre,$E182,EMP_Paye,"&lt;&gt;Oui"))</f>
        <v/>
      </c>
      <c r="N182" s="130">
        <f>IF($E182="","",IF($L182&gt;0,"En retard",IF($K182&gt;=P_Max,"Limite atteinte","Actif")))</f>
        <v/>
      </c>
      <c r="P182">
        <f>IF(OR(Q_Rech="",$E182=""),"",IF(ISNUMBER(SEARCH(Q_Rech,$E182&amp;" "&amp;$F182&amp;" "&amp;$H182)),COUNT($P$6:$P181)+1,""))</f>
        <v/>
      </c>
    </row>
    <row r="183" ht="21" customHeight="1">
      <c r="A183" s="1" t="n"/>
      <c r="B183" s="1" t="n"/>
      <c r="C183" s="2" t="n"/>
      <c r="E183" s="127" t="n"/>
      <c r="F183" s="127" t="n"/>
      <c r="G183" s="127" t="n"/>
      <c r="H183" s="127" t="n"/>
      <c r="I183" s="133" t="n"/>
      <c r="J183" s="134" t="n"/>
      <c r="K183" s="129">
        <f>IF($E183="","",COUNTIFS(EMP_Membre,$E183,EMP_Retour,""))</f>
        <v/>
      </c>
      <c r="L183" s="129">
        <f>IF($E183="","",COUNTIFS(EMP_Membre,$E183,EMP_Statut,"En retard"))</f>
        <v/>
      </c>
      <c r="M183" s="135">
        <f>IF($E183="","",SUMIFS(EMP_Amende,EMP_Membre,$E183,EMP_Paye,"&lt;&gt;Oui"))</f>
        <v/>
      </c>
      <c r="N183" s="130">
        <f>IF($E183="","",IF($L183&gt;0,"En retard",IF($K183&gt;=P_Max,"Limite atteinte","Actif")))</f>
        <v/>
      </c>
      <c r="P183">
        <f>IF(OR(Q_Rech="",$E183=""),"",IF(ISNUMBER(SEARCH(Q_Rech,$E183&amp;" "&amp;$F183&amp;" "&amp;$H183)),COUNT($P$6:$P182)+1,""))</f>
        <v/>
      </c>
    </row>
    <row r="184" ht="21" customHeight="1">
      <c r="A184" s="1" t="n"/>
      <c r="B184" s="1" t="n"/>
      <c r="C184" s="2" t="n"/>
      <c r="E184" s="127" t="n"/>
      <c r="F184" s="127" t="n"/>
      <c r="G184" s="127" t="n"/>
      <c r="H184" s="127" t="n"/>
      <c r="I184" s="133" t="n"/>
      <c r="J184" s="134" t="n"/>
      <c r="K184" s="129">
        <f>IF($E184="","",COUNTIFS(EMP_Membre,$E184,EMP_Retour,""))</f>
        <v/>
      </c>
      <c r="L184" s="129">
        <f>IF($E184="","",COUNTIFS(EMP_Membre,$E184,EMP_Statut,"En retard"))</f>
        <v/>
      </c>
      <c r="M184" s="135">
        <f>IF($E184="","",SUMIFS(EMP_Amende,EMP_Membre,$E184,EMP_Paye,"&lt;&gt;Oui"))</f>
        <v/>
      </c>
      <c r="N184" s="130">
        <f>IF($E184="","",IF($L184&gt;0,"En retard",IF($K184&gt;=P_Max,"Limite atteinte","Actif")))</f>
        <v/>
      </c>
      <c r="P184">
        <f>IF(OR(Q_Rech="",$E184=""),"",IF(ISNUMBER(SEARCH(Q_Rech,$E184&amp;" "&amp;$F184&amp;" "&amp;$H184)),COUNT($P$6:$P183)+1,""))</f>
        <v/>
      </c>
    </row>
    <row r="185" ht="21" customHeight="1">
      <c r="A185" s="1" t="n"/>
      <c r="B185" s="1" t="n"/>
      <c r="C185" s="2" t="n"/>
      <c r="E185" s="127" t="n"/>
      <c r="F185" s="127" t="n"/>
      <c r="G185" s="127" t="n"/>
      <c r="H185" s="127" t="n"/>
      <c r="I185" s="133" t="n"/>
      <c r="J185" s="134" t="n"/>
      <c r="K185" s="129">
        <f>IF($E185="","",COUNTIFS(EMP_Membre,$E185,EMP_Retour,""))</f>
        <v/>
      </c>
      <c r="L185" s="129">
        <f>IF($E185="","",COUNTIFS(EMP_Membre,$E185,EMP_Statut,"En retard"))</f>
        <v/>
      </c>
      <c r="M185" s="135">
        <f>IF($E185="","",SUMIFS(EMP_Amende,EMP_Membre,$E185,EMP_Paye,"&lt;&gt;Oui"))</f>
        <v/>
      </c>
      <c r="N185" s="130">
        <f>IF($E185="","",IF($L185&gt;0,"En retard",IF($K185&gt;=P_Max,"Limite atteinte","Actif")))</f>
        <v/>
      </c>
      <c r="P185">
        <f>IF(OR(Q_Rech="",$E185=""),"",IF(ISNUMBER(SEARCH(Q_Rech,$E185&amp;" "&amp;$F185&amp;" "&amp;$H185)),COUNT($P$6:$P184)+1,""))</f>
        <v/>
      </c>
    </row>
    <row r="186" ht="21" customHeight="1">
      <c r="A186" s="1" t="n"/>
      <c r="B186" s="1" t="n"/>
      <c r="C186" s="2" t="n"/>
      <c r="E186" s="127" t="n"/>
      <c r="F186" s="127" t="n"/>
      <c r="G186" s="127" t="n"/>
      <c r="H186" s="127" t="n"/>
      <c r="I186" s="133" t="n"/>
      <c r="J186" s="134" t="n"/>
      <c r="K186" s="129">
        <f>IF($E186="","",COUNTIFS(EMP_Membre,$E186,EMP_Retour,""))</f>
        <v/>
      </c>
      <c r="L186" s="129">
        <f>IF($E186="","",COUNTIFS(EMP_Membre,$E186,EMP_Statut,"En retard"))</f>
        <v/>
      </c>
      <c r="M186" s="135">
        <f>IF($E186="","",SUMIFS(EMP_Amende,EMP_Membre,$E186,EMP_Paye,"&lt;&gt;Oui"))</f>
        <v/>
      </c>
      <c r="N186" s="130">
        <f>IF($E186="","",IF($L186&gt;0,"En retard",IF($K186&gt;=P_Max,"Limite atteinte","Actif")))</f>
        <v/>
      </c>
      <c r="P186">
        <f>IF(OR(Q_Rech="",$E186=""),"",IF(ISNUMBER(SEARCH(Q_Rech,$E186&amp;" "&amp;$F186&amp;" "&amp;$H186)),COUNT($P$6:$P185)+1,""))</f>
        <v/>
      </c>
    </row>
    <row r="187" ht="21" customHeight="1">
      <c r="A187" s="1" t="n"/>
      <c r="B187" s="1" t="n"/>
      <c r="C187" s="2" t="n"/>
      <c r="E187" s="127" t="n"/>
      <c r="F187" s="127" t="n"/>
      <c r="G187" s="127" t="n"/>
      <c r="H187" s="127" t="n"/>
      <c r="I187" s="133" t="n"/>
      <c r="J187" s="134" t="n"/>
      <c r="K187" s="129">
        <f>IF($E187="","",COUNTIFS(EMP_Membre,$E187,EMP_Retour,""))</f>
        <v/>
      </c>
      <c r="L187" s="129">
        <f>IF($E187="","",COUNTIFS(EMP_Membre,$E187,EMP_Statut,"En retard"))</f>
        <v/>
      </c>
      <c r="M187" s="135">
        <f>IF($E187="","",SUMIFS(EMP_Amende,EMP_Membre,$E187,EMP_Paye,"&lt;&gt;Oui"))</f>
        <v/>
      </c>
      <c r="N187" s="130">
        <f>IF($E187="","",IF($L187&gt;0,"En retard",IF($K187&gt;=P_Max,"Limite atteinte","Actif")))</f>
        <v/>
      </c>
      <c r="P187">
        <f>IF(OR(Q_Rech="",$E187=""),"",IF(ISNUMBER(SEARCH(Q_Rech,$E187&amp;" "&amp;$F187&amp;" "&amp;$H187)),COUNT($P$6:$P186)+1,""))</f>
        <v/>
      </c>
    </row>
    <row r="188" ht="21" customHeight="1">
      <c r="A188" s="1" t="n"/>
      <c r="B188" s="1" t="n"/>
      <c r="C188" s="2" t="n"/>
      <c r="E188" s="127" t="n"/>
      <c r="F188" s="127" t="n"/>
      <c r="G188" s="127" t="n"/>
      <c r="H188" s="127" t="n"/>
      <c r="I188" s="133" t="n"/>
      <c r="J188" s="134" t="n"/>
      <c r="K188" s="129">
        <f>IF($E188="","",COUNTIFS(EMP_Membre,$E188,EMP_Retour,""))</f>
        <v/>
      </c>
      <c r="L188" s="129">
        <f>IF($E188="","",COUNTIFS(EMP_Membre,$E188,EMP_Statut,"En retard"))</f>
        <v/>
      </c>
      <c r="M188" s="135">
        <f>IF($E188="","",SUMIFS(EMP_Amende,EMP_Membre,$E188,EMP_Paye,"&lt;&gt;Oui"))</f>
        <v/>
      </c>
      <c r="N188" s="130">
        <f>IF($E188="","",IF($L188&gt;0,"En retard",IF($K188&gt;=P_Max,"Limite atteinte","Actif")))</f>
        <v/>
      </c>
      <c r="P188">
        <f>IF(OR(Q_Rech="",$E188=""),"",IF(ISNUMBER(SEARCH(Q_Rech,$E188&amp;" "&amp;$F188&amp;" "&amp;$H188)),COUNT($P$6:$P187)+1,""))</f>
        <v/>
      </c>
    </row>
    <row r="189" ht="21" customHeight="1">
      <c r="A189" s="1" t="n"/>
      <c r="B189" s="1" t="n"/>
      <c r="C189" s="2" t="n"/>
      <c r="E189" s="127" t="n"/>
      <c r="F189" s="127" t="n"/>
      <c r="G189" s="127" t="n"/>
      <c r="H189" s="127" t="n"/>
      <c r="I189" s="133" t="n"/>
      <c r="J189" s="134" t="n"/>
      <c r="K189" s="129">
        <f>IF($E189="","",COUNTIFS(EMP_Membre,$E189,EMP_Retour,""))</f>
        <v/>
      </c>
      <c r="L189" s="129">
        <f>IF($E189="","",COUNTIFS(EMP_Membre,$E189,EMP_Statut,"En retard"))</f>
        <v/>
      </c>
      <c r="M189" s="135">
        <f>IF($E189="","",SUMIFS(EMP_Amende,EMP_Membre,$E189,EMP_Paye,"&lt;&gt;Oui"))</f>
        <v/>
      </c>
      <c r="N189" s="130">
        <f>IF($E189="","",IF($L189&gt;0,"En retard",IF($K189&gt;=P_Max,"Limite atteinte","Actif")))</f>
        <v/>
      </c>
      <c r="P189">
        <f>IF(OR(Q_Rech="",$E189=""),"",IF(ISNUMBER(SEARCH(Q_Rech,$E189&amp;" "&amp;$F189&amp;" "&amp;$H189)),COUNT($P$6:$P188)+1,""))</f>
        <v/>
      </c>
    </row>
    <row r="190" ht="21" customHeight="1">
      <c r="A190" s="1" t="n"/>
      <c r="B190" s="1" t="n"/>
      <c r="C190" s="2" t="n"/>
      <c r="E190" s="127" t="n"/>
      <c r="F190" s="127" t="n"/>
      <c r="G190" s="127" t="n"/>
      <c r="H190" s="127" t="n"/>
      <c r="I190" s="133" t="n"/>
      <c r="J190" s="134" t="n"/>
      <c r="K190" s="129">
        <f>IF($E190="","",COUNTIFS(EMP_Membre,$E190,EMP_Retour,""))</f>
        <v/>
      </c>
      <c r="L190" s="129">
        <f>IF($E190="","",COUNTIFS(EMP_Membre,$E190,EMP_Statut,"En retard"))</f>
        <v/>
      </c>
      <c r="M190" s="135">
        <f>IF($E190="","",SUMIFS(EMP_Amende,EMP_Membre,$E190,EMP_Paye,"&lt;&gt;Oui"))</f>
        <v/>
      </c>
      <c r="N190" s="130">
        <f>IF($E190="","",IF($L190&gt;0,"En retard",IF($K190&gt;=P_Max,"Limite atteinte","Actif")))</f>
        <v/>
      </c>
      <c r="P190">
        <f>IF(OR(Q_Rech="",$E190=""),"",IF(ISNUMBER(SEARCH(Q_Rech,$E190&amp;" "&amp;$F190&amp;" "&amp;$H190)),COUNT($P$6:$P189)+1,""))</f>
        <v/>
      </c>
    </row>
    <row r="191" ht="21" customHeight="1">
      <c r="A191" s="1" t="n"/>
      <c r="B191" s="1" t="n"/>
      <c r="C191" s="2" t="n"/>
      <c r="E191" s="127" t="n"/>
      <c r="F191" s="127" t="n"/>
      <c r="G191" s="127" t="n"/>
      <c r="H191" s="127" t="n"/>
      <c r="I191" s="133" t="n"/>
      <c r="J191" s="134" t="n"/>
      <c r="K191" s="129">
        <f>IF($E191="","",COUNTIFS(EMP_Membre,$E191,EMP_Retour,""))</f>
        <v/>
      </c>
      <c r="L191" s="129">
        <f>IF($E191="","",COUNTIFS(EMP_Membre,$E191,EMP_Statut,"En retard"))</f>
        <v/>
      </c>
      <c r="M191" s="135">
        <f>IF($E191="","",SUMIFS(EMP_Amende,EMP_Membre,$E191,EMP_Paye,"&lt;&gt;Oui"))</f>
        <v/>
      </c>
      <c r="N191" s="130">
        <f>IF($E191="","",IF($L191&gt;0,"En retard",IF($K191&gt;=P_Max,"Limite atteinte","Actif")))</f>
        <v/>
      </c>
      <c r="P191">
        <f>IF(OR(Q_Rech="",$E191=""),"",IF(ISNUMBER(SEARCH(Q_Rech,$E191&amp;" "&amp;$F191&amp;" "&amp;$H191)),COUNT($P$6:$P190)+1,""))</f>
        <v/>
      </c>
    </row>
    <row r="192" ht="21" customHeight="1">
      <c r="A192" s="1" t="n"/>
      <c r="B192" s="1" t="n"/>
      <c r="C192" s="2" t="n"/>
      <c r="E192" s="127" t="n"/>
      <c r="F192" s="127" t="n"/>
      <c r="G192" s="127" t="n"/>
      <c r="H192" s="127" t="n"/>
      <c r="I192" s="133" t="n"/>
      <c r="J192" s="134" t="n"/>
      <c r="K192" s="129">
        <f>IF($E192="","",COUNTIFS(EMP_Membre,$E192,EMP_Retour,""))</f>
        <v/>
      </c>
      <c r="L192" s="129">
        <f>IF($E192="","",COUNTIFS(EMP_Membre,$E192,EMP_Statut,"En retard"))</f>
        <v/>
      </c>
      <c r="M192" s="135">
        <f>IF($E192="","",SUMIFS(EMP_Amende,EMP_Membre,$E192,EMP_Paye,"&lt;&gt;Oui"))</f>
        <v/>
      </c>
      <c r="N192" s="130">
        <f>IF($E192="","",IF($L192&gt;0,"En retard",IF($K192&gt;=P_Max,"Limite atteinte","Actif")))</f>
        <v/>
      </c>
      <c r="P192">
        <f>IF(OR(Q_Rech="",$E192=""),"",IF(ISNUMBER(SEARCH(Q_Rech,$E192&amp;" "&amp;$F192&amp;" "&amp;$H192)),COUNT($P$6:$P191)+1,""))</f>
        <v/>
      </c>
    </row>
    <row r="193" ht="21" customHeight="1">
      <c r="A193" s="1" t="n"/>
      <c r="B193" s="1" t="n"/>
      <c r="C193" s="2" t="n"/>
      <c r="E193" s="127" t="n"/>
      <c r="F193" s="127" t="n"/>
      <c r="G193" s="127" t="n"/>
      <c r="H193" s="127" t="n"/>
      <c r="I193" s="133" t="n"/>
      <c r="J193" s="134" t="n"/>
      <c r="K193" s="129">
        <f>IF($E193="","",COUNTIFS(EMP_Membre,$E193,EMP_Retour,""))</f>
        <v/>
      </c>
      <c r="L193" s="129">
        <f>IF($E193="","",COUNTIFS(EMP_Membre,$E193,EMP_Statut,"En retard"))</f>
        <v/>
      </c>
      <c r="M193" s="135">
        <f>IF($E193="","",SUMIFS(EMP_Amende,EMP_Membre,$E193,EMP_Paye,"&lt;&gt;Oui"))</f>
        <v/>
      </c>
      <c r="N193" s="130">
        <f>IF($E193="","",IF($L193&gt;0,"En retard",IF($K193&gt;=P_Max,"Limite atteinte","Actif")))</f>
        <v/>
      </c>
      <c r="P193">
        <f>IF(OR(Q_Rech="",$E193=""),"",IF(ISNUMBER(SEARCH(Q_Rech,$E193&amp;" "&amp;$F193&amp;" "&amp;$H193)),COUNT($P$6:$P192)+1,""))</f>
        <v/>
      </c>
    </row>
    <row r="194" ht="21" customHeight="1">
      <c r="A194" s="1" t="n"/>
      <c r="B194" s="1" t="n"/>
      <c r="C194" s="2" t="n"/>
      <c r="E194" s="127" t="n"/>
      <c r="F194" s="127" t="n"/>
      <c r="G194" s="127" t="n"/>
      <c r="H194" s="127" t="n"/>
      <c r="I194" s="133" t="n"/>
      <c r="J194" s="134" t="n"/>
      <c r="K194" s="129">
        <f>IF($E194="","",COUNTIFS(EMP_Membre,$E194,EMP_Retour,""))</f>
        <v/>
      </c>
      <c r="L194" s="129">
        <f>IF($E194="","",COUNTIFS(EMP_Membre,$E194,EMP_Statut,"En retard"))</f>
        <v/>
      </c>
      <c r="M194" s="135">
        <f>IF($E194="","",SUMIFS(EMP_Amende,EMP_Membre,$E194,EMP_Paye,"&lt;&gt;Oui"))</f>
        <v/>
      </c>
      <c r="N194" s="130">
        <f>IF($E194="","",IF($L194&gt;0,"En retard",IF($K194&gt;=P_Max,"Limite atteinte","Actif")))</f>
        <v/>
      </c>
      <c r="P194">
        <f>IF(OR(Q_Rech="",$E194=""),"",IF(ISNUMBER(SEARCH(Q_Rech,$E194&amp;" "&amp;$F194&amp;" "&amp;$H194)),COUNT($P$6:$P193)+1,""))</f>
        <v/>
      </c>
    </row>
    <row r="195" ht="21" customHeight="1">
      <c r="A195" s="1" t="n"/>
      <c r="B195" s="1" t="n"/>
      <c r="C195" s="2" t="n"/>
      <c r="E195" s="127" t="n"/>
      <c r="F195" s="127" t="n"/>
      <c r="G195" s="127" t="n"/>
      <c r="H195" s="127" t="n"/>
      <c r="I195" s="133" t="n"/>
      <c r="J195" s="134" t="n"/>
      <c r="K195" s="129">
        <f>IF($E195="","",COUNTIFS(EMP_Membre,$E195,EMP_Retour,""))</f>
        <v/>
      </c>
      <c r="L195" s="129">
        <f>IF($E195="","",COUNTIFS(EMP_Membre,$E195,EMP_Statut,"En retard"))</f>
        <v/>
      </c>
      <c r="M195" s="135">
        <f>IF($E195="","",SUMIFS(EMP_Amende,EMP_Membre,$E195,EMP_Paye,"&lt;&gt;Oui"))</f>
        <v/>
      </c>
      <c r="N195" s="130">
        <f>IF($E195="","",IF($L195&gt;0,"En retard",IF($K195&gt;=P_Max,"Limite atteinte","Actif")))</f>
        <v/>
      </c>
      <c r="P195">
        <f>IF(OR(Q_Rech="",$E195=""),"",IF(ISNUMBER(SEARCH(Q_Rech,$E195&amp;" "&amp;$F195&amp;" "&amp;$H195)),COUNT($P$6:$P194)+1,""))</f>
        <v/>
      </c>
    </row>
    <row r="196" ht="21" customHeight="1">
      <c r="A196" s="1" t="n"/>
      <c r="B196" s="1" t="n"/>
      <c r="C196" s="2" t="n"/>
      <c r="E196" s="127" t="n"/>
      <c r="F196" s="127" t="n"/>
      <c r="G196" s="127" t="n"/>
      <c r="H196" s="127" t="n"/>
      <c r="I196" s="133" t="n"/>
      <c r="J196" s="134" t="n"/>
      <c r="K196" s="129">
        <f>IF($E196="","",COUNTIFS(EMP_Membre,$E196,EMP_Retour,""))</f>
        <v/>
      </c>
      <c r="L196" s="129">
        <f>IF($E196="","",COUNTIFS(EMP_Membre,$E196,EMP_Statut,"En retard"))</f>
        <v/>
      </c>
      <c r="M196" s="135">
        <f>IF($E196="","",SUMIFS(EMP_Amende,EMP_Membre,$E196,EMP_Paye,"&lt;&gt;Oui"))</f>
        <v/>
      </c>
      <c r="N196" s="130">
        <f>IF($E196="","",IF($L196&gt;0,"En retard",IF($K196&gt;=P_Max,"Limite atteinte","Actif")))</f>
        <v/>
      </c>
      <c r="P196">
        <f>IF(OR(Q_Rech="",$E196=""),"",IF(ISNUMBER(SEARCH(Q_Rech,$E196&amp;" "&amp;$F196&amp;" "&amp;$H196)),COUNT($P$6:$P195)+1,""))</f>
        <v/>
      </c>
    </row>
    <row r="197" ht="21" customHeight="1">
      <c r="A197" s="1" t="n"/>
      <c r="B197" s="1" t="n"/>
      <c r="C197" s="2" t="n"/>
      <c r="E197" s="127" t="n"/>
      <c r="F197" s="127" t="n"/>
      <c r="G197" s="127" t="n"/>
      <c r="H197" s="127" t="n"/>
      <c r="I197" s="133" t="n"/>
      <c r="J197" s="134" t="n"/>
      <c r="K197" s="129">
        <f>IF($E197="","",COUNTIFS(EMP_Membre,$E197,EMP_Retour,""))</f>
        <v/>
      </c>
      <c r="L197" s="129">
        <f>IF($E197="","",COUNTIFS(EMP_Membre,$E197,EMP_Statut,"En retard"))</f>
        <v/>
      </c>
      <c r="M197" s="135">
        <f>IF($E197="","",SUMIFS(EMP_Amende,EMP_Membre,$E197,EMP_Paye,"&lt;&gt;Oui"))</f>
        <v/>
      </c>
      <c r="N197" s="130">
        <f>IF($E197="","",IF($L197&gt;0,"En retard",IF($K197&gt;=P_Max,"Limite atteinte","Actif")))</f>
        <v/>
      </c>
      <c r="P197">
        <f>IF(OR(Q_Rech="",$E197=""),"",IF(ISNUMBER(SEARCH(Q_Rech,$E197&amp;" "&amp;$F197&amp;" "&amp;$H197)),COUNT($P$6:$P196)+1,""))</f>
        <v/>
      </c>
    </row>
    <row r="198" ht="21" customHeight="1">
      <c r="A198" s="1" t="n"/>
      <c r="B198" s="1" t="n"/>
      <c r="C198" s="2" t="n"/>
      <c r="E198" s="127" t="n"/>
      <c r="F198" s="127" t="n"/>
      <c r="G198" s="127" t="n"/>
      <c r="H198" s="127" t="n"/>
      <c r="I198" s="133" t="n"/>
      <c r="J198" s="134" t="n"/>
      <c r="K198" s="129">
        <f>IF($E198="","",COUNTIFS(EMP_Membre,$E198,EMP_Retour,""))</f>
        <v/>
      </c>
      <c r="L198" s="129">
        <f>IF($E198="","",COUNTIFS(EMP_Membre,$E198,EMP_Statut,"En retard"))</f>
        <v/>
      </c>
      <c r="M198" s="135">
        <f>IF($E198="","",SUMIFS(EMP_Amende,EMP_Membre,$E198,EMP_Paye,"&lt;&gt;Oui"))</f>
        <v/>
      </c>
      <c r="N198" s="130">
        <f>IF($E198="","",IF($L198&gt;0,"En retard",IF($K198&gt;=P_Max,"Limite atteinte","Actif")))</f>
        <v/>
      </c>
      <c r="P198">
        <f>IF(OR(Q_Rech="",$E198=""),"",IF(ISNUMBER(SEARCH(Q_Rech,$E198&amp;" "&amp;$F198&amp;" "&amp;$H198)),COUNT($P$6:$P197)+1,""))</f>
        <v/>
      </c>
    </row>
    <row r="199" ht="21" customHeight="1">
      <c r="A199" s="1" t="n"/>
      <c r="B199" s="1" t="n"/>
      <c r="C199" s="2" t="n"/>
      <c r="E199" s="127" t="n"/>
      <c r="F199" s="127" t="n"/>
      <c r="G199" s="127" t="n"/>
      <c r="H199" s="127" t="n"/>
      <c r="I199" s="133" t="n"/>
      <c r="J199" s="134" t="n"/>
      <c r="K199" s="129">
        <f>IF($E199="","",COUNTIFS(EMP_Membre,$E199,EMP_Retour,""))</f>
        <v/>
      </c>
      <c r="L199" s="129">
        <f>IF($E199="","",COUNTIFS(EMP_Membre,$E199,EMP_Statut,"En retard"))</f>
        <v/>
      </c>
      <c r="M199" s="135">
        <f>IF($E199="","",SUMIFS(EMP_Amende,EMP_Membre,$E199,EMP_Paye,"&lt;&gt;Oui"))</f>
        <v/>
      </c>
      <c r="N199" s="130">
        <f>IF($E199="","",IF($L199&gt;0,"En retard",IF($K199&gt;=P_Max,"Limite atteinte","Actif")))</f>
        <v/>
      </c>
      <c r="P199">
        <f>IF(OR(Q_Rech="",$E199=""),"",IF(ISNUMBER(SEARCH(Q_Rech,$E199&amp;" "&amp;$F199&amp;" "&amp;$H199)),COUNT($P$6:$P198)+1,""))</f>
        <v/>
      </c>
    </row>
    <row r="200" ht="21" customHeight="1">
      <c r="A200" s="1" t="n"/>
      <c r="B200" s="1" t="n"/>
      <c r="C200" s="2" t="n"/>
      <c r="E200" s="127" t="n"/>
      <c r="F200" s="127" t="n"/>
      <c r="G200" s="127" t="n"/>
      <c r="H200" s="127" t="n"/>
      <c r="I200" s="133" t="n"/>
      <c r="J200" s="134" t="n"/>
      <c r="K200" s="129">
        <f>IF($E200="","",COUNTIFS(EMP_Membre,$E200,EMP_Retour,""))</f>
        <v/>
      </c>
      <c r="L200" s="129">
        <f>IF($E200="","",COUNTIFS(EMP_Membre,$E200,EMP_Statut,"En retard"))</f>
        <v/>
      </c>
      <c r="M200" s="135">
        <f>IF($E200="","",SUMIFS(EMP_Amende,EMP_Membre,$E200,EMP_Paye,"&lt;&gt;Oui"))</f>
        <v/>
      </c>
      <c r="N200" s="130">
        <f>IF($E200="","",IF($L200&gt;0,"En retard",IF($K200&gt;=P_Max,"Limite atteinte","Actif")))</f>
        <v/>
      </c>
      <c r="P200">
        <f>IF(OR(Q_Rech="",$E200=""),"",IF(ISNUMBER(SEARCH(Q_Rech,$E200&amp;" "&amp;$F200&amp;" "&amp;$H200)),COUNT($P$6:$P199)+1,""))</f>
        <v/>
      </c>
    </row>
    <row r="201" ht="21" customHeight="1">
      <c r="A201" s="1" t="n"/>
      <c r="B201" s="1" t="n"/>
      <c r="C201" s="2" t="n"/>
      <c r="E201" s="127" t="n"/>
      <c r="F201" s="127" t="n"/>
      <c r="G201" s="127" t="n"/>
      <c r="H201" s="127" t="n"/>
      <c r="I201" s="133" t="n"/>
      <c r="J201" s="134" t="n"/>
      <c r="K201" s="129">
        <f>IF($E201="","",COUNTIFS(EMP_Membre,$E201,EMP_Retour,""))</f>
        <v/>
      </c>
      <c r="L201" s="129">
        <f>IF($E201="","",COUNTIFS(EMP_Membre,$E201,EMP_Statut,"En retard"))</f>
        <v/>
      </c>
      <c r="M201" s="135">
        <f>IF($E201="","",SUMIFS(EMP_Amende,EMP_Membre,$E201,EMP_Paye,"&lt;&gt;Oui"))</f>
        <v/>
      </c>
      <c r="N201" s="130">
        <f>IF($E201="","",IF($L201&gt;0,"En retard",IF($K201&gt;=P_Max,"Limite atteinte","Actif")))</f>
        <v/>
      </c>
      <c r="P201">
        <f>IF(OR(Q_Rech="",$E201=""),"",IF(ISNUMBER(SEARCH(Q_Rech,$E201&amp;" "&amp;$F201&amp;" "&amp;$H201)),COUNT($P$6:$P200)+1,""))</f>
        <v/>
      </c>
    </row>
    <row r="202" ht="21" customHeight="1">
      <c r="A202" s="1" t="n"/>
      <c r="B202" s="1" t="n"/>
      <c r="C202" s="2" t="n"/>
      <c r="E202" s="127" t="n"/>
      <c r="F202" s="127" t="n"/>
      <c r="G202" s="127" t="n"/>
      <c r="H202" s="127" t="n"/>
      <c r="I202" s="133" t="n"/>
      <c r="J202" s="134" t="n"/>
      <c r="K202" s="129">
        <f>IF($E202="","",COUNTIFS(EMP_Membre,$E202,EMP_Retour,""))</f>
        <v/>
      </c>
      <c r="L202" s="129">
        <f>IF($E202="","",COUNTIFS(EMP_Membre,$E202,EMP_Statut,"En retard"))</f>
        <v/>
      </c>
      <c r="M202" s="135">
        <f>IF($E202="","",SUMIFS(EMP_Amende,EMP_Membre,$E202,EMP_Paye,"&lt;&gt;Oui"))</f>
        <v/>
      </c>
      <c r="N202" s="130">
        <f>IF($E202="","",IF($L202&gt;0,"En retard",IF($K202&gt;=P_Max,"Limite atteinte","Actif")))</f>
        <v/>
      </c>
      <c r="P202">
        <f>IF(OR(Q_Rech="",$E202=""),"",IF(ISNUMBER(SEARCH(Q_Rech,$E202&amp;" "&amp;$F202&amp;" "&amp;$H202)),COUNT($P$6:$P201)+1,""))</f>
        <v/>
      </c>
    </row>
    <row r="203" ht="21" customHeight="1">
      <c r="A203" s="1" t="n"/>
      <c r="B203" s="1" t="n"/>
      <c r="C203" s="2" t="n"/>
      <c r="E203" s="127" t="n"/>
      <c r="F203" s="127" t="n"/>
      <c r="G203" s="127" t="n"/>
      <c r="H203" s="127" t="n"/>
      <c r="I203" s="133" t="n"/>
      <c r="J203" s="134" t="n"/>
      <c r="K203" s="129">
        <f>IF($E203="","",COUNTIFS(EMP_Membre,$E203,EMP_Retour,""))</f>
        <v/>
      </c>
      <c r="L203" s="129">
        <f>IF($E203="","",COUNTIFS(EMP_Membre,$E203,EMP_Statut,"En retard"))</f>
        <v/>
      </c>
      <c r="M203" s="135">
        <f>IF($E203="","",SUMIFS(EMP_Amende,EMP_Membre,$E203,EMP_Paye,"&lt;&gt;Oui"))</f>
        <v/>
      </c>
      <c r="N203" s="130">
        <f>IF($E203="","",IF($L203&gt;0,"En retard",IF($K203&gt;=P_Max,"Limite atteinte","Actif")))</f>
        <v/>
      </c>
      <c r="P203">
        <f>IF(OR(Q_Rech="",$E203=""),"",IF(ISNUMBER(SEARCH(Q_Rech,$E203&amp;" "&amp;$F203&amp;" "&amp;$H203)),COUNT($P$6:$P202)+1,""))</f>
        <v/>
      </c>
    </row>
    <row r="204" ht="21" customHeight="1">
      <c r="A204" s="1" t="n"/>
      <c r="B204" s="1" t="n"/>
      <c r="C204" s="2" t="n"/>
      <c r="E204" s="127" t="n"/>
      <c r="F204" s="127" t="n"/>
      <c r="G204" s="127" t="n"/>
      <c r="H204" s="127" t="n"/>
      <c r="I204" s="133" t="n"/>
      <c r="J204" s="134" t="n"/>
      <c r="K204" s="129">
        <f>IF($E204="","",COUNTIFS(EMP_Membre,$E204,EMP_Retour,""))</f>
        <v/>
      </c>
      <c r="L204" s="129">
        <f>IF($E204="","",COUNTIFS(EMP_Membre,$E204,EMP_Statut,"En retard"))</f>
        <v/>
      </c>
      <c r="M204" s="135">
        <f>IF($E204="","",SUMIFS(EMP_Amende,EMP_Membre,$E204,EMP_Paye,"&lt;&gt;Oui"))</f>
        <v/>
      </c>
      <c r="N204" s="130">
        <f>IF($E204="","",IF($L204&gt;0,"En retard",IF($K204&gt;=P_Max,"Limite atteinte","Actif")))</f>
        <v/>
      </c>
      <c r="P204">
        <f>IF(OR(Q_Rech="",$E204=""),"",IF(ISNUMBER(SEARCH(Q_Rech,$E204&amp;" "&amp;$F204&amp;" "&amp;$H204)),COUNT($P$6:$P203)+1,""))</f>
        <v/>
      </c>
    </row>
    <row r="205" ht="21" customHeight="1">
      <c r="A205" s="1" t="n"/>
      <c r="B205" s="1" t="n"/>
      <c r="C205" s="2" t="n"/>
      <c r="E205" s="127" t="n"/>
      <c r="F205" s="127" t="n"/>
      <c r="G205" s="127" t="n"/>
      <c r="H205" s="127" t="n"/>
      <c r="I205" s="133" t="n"/>
      <c r="J205" s="134" t="n"/>
      <c r="K205" s="129">
        <f>IF($E205="","",COUNTIFS(EMP_Membre,$E205,EMP_Retour,""))</f>
        <v/>
      </c>
      <c r="L205" s="129">
        <f>IF($E205="","",COUNTIFS(EMP_Membre,$E205,EMP_Statut,"En retard"))</f>
        <v/>
      </c>
      <c r="M205" s="135">
        <f>IF($E205="","",SUMIFS(EMP_Amende,EMP_Membre,$E205,EMP_Paye,"&lt;&gt;Oui"))</f>
        <v/>
      </c>
      <c r="N205" s="130">
        <f>IF($E205="","",IF($L205&gt;0,"En retard",IF($K205&gt;=P_Max,"Limite atteinte","Actif")))</f>
        <v/>
      </c>
      <c r="P205">
        <f>IF(OR(Q_Rech="",$E205=""),"",IF(ISNUMBER(SEARCH(Q_Rech,$E205&amp;" "&amp;$F205&amp;" "&amp;$H205)),COUNT($P$6:$P204)+1,""))</f>
        <v/>
      </c>
    </row>
    <row r="206" ht="21" customHeight="1">
      <c r="A206" s="1" t="n"/>
      <c r="B206" s="1" t="n"/>
      <c r="C206" s="2" t="n"/>
      <c r="E206" s="127" t="n"/>
      <c r="F206" s="127" t="n"/>
      <c r="G206" s="127" t="n"/>
      <c r="H206" s="127" t="n"/>
      <c r="I206" s="133" t="n"/>
      <c r="J206" s="134" t="n"/>
      <c r="K206" s="129">
        <f>IF($E206="","",COUNTIFS(EMP_Membre,$E206,EMP_Retour,""))</f>
        <v/>
      </c>
      <c r="L206" s="129">
        <f>IF($E206="","",COUNTIFS(EMP_Membre,$E206,EMP_Statut,"En retard"))</f>
        <v/>
      </c>
      <c r="M206" s="135">
        <f>IF($E206="","",SUMIFS(EMP_Amende,EMP_Membre,$E206,EMP_Paye,"&lt;&gt;Oui"))</f>
        <v/>
      </c>
      <c r="N206" s="130">
        <f>IF($E206="","",IF($L206&gt;0,"En retard",IF($K206&gt;=P_Max,"Limite atteinte","Actif")))</f>
        <v/>
      </c>
      <c r="P206">
        <f>IF(OR(Q_Rech="",$E206=""),"",IF(ISNUMBER(SEARCH(Q_Rech,$E206&amp;" "&amp;$F206&amp;" "&amp;$H206)),COUNT($P$6:$P205)+1,""))</f>
        <v/>
      </c>
    </row>
    <row r="207" ht="21" customHeight="1">
      <c r="A207" s="1" t="n"/>
      <c r="B207" s="1" t="n"/>
      <c r="C207" s="2" t="n"/>
      <c r="E207" s="127" t="n"/>
      <c r="F207" s="127" t="n"/>
      <c r="G207" s="127" t="n"/>
      <c r="H207" s="127" t="n"/>
      <c r="I207" s="133" t="n"/>
      <c r="J207" s="134" t="n"/>
      <c r="K207" s="129">
        <f>IF($E207="","",COUNTIFS(EMP_Membre,$E207,EMP_Retour,""))</f>
        <v/>
      </c>
      <c r="L207" s="129">
        <f>IF($E207="","",COUNTIFS(EMP_Membre,$E207,EMP_Statut,"En retard"))</f>
        <v/>
      </c>
      <c r="M207" s="135">
        <f>IF($E207="","",SUMIFS(EMP_Amende,EMP_Membre,$E207,EMP_Paye,"&lt;&gt;Oui"))</f>
        <v/>
      </c>
      <c r="N207" s="130">
        <f>IF($E207="","",IF($L207&gt;0,"En retard",IF($K207&gt;=P_Max,"Limite atteinte","Actif")))</f>
        <v/>
      </c>
      <c r="P207">
        <f>IF(OR(Q_Rech="",$E207=""),"",IF(ISNUMBER(SEARCH(Q_Rech,$E207&amp;" "&amp;$F207&amp;" "&amp;$H207)),COUNT($P$6:$P206)+1,""))</f>
        <v/>
      </c>
    </row>
    <row r="208" ht="21" customHeight="1">
      <c r="A208" s="1" t="n"/>
      <c r="B208" s="1" t="n"/>
      <c r="C208" s="2" t="n"/>
      <c r="E208" s="127" t="n"/>
      <c r="F208" s="127" t="n"/>
      <c r="G208" s="127" t="n"/>
      <c r="H208" s="127" t="n"/>
      <c r="I208" s="133" t="n"/>
      <c r="J208" s="134" t="n"/>
      <c r="K208" s="129">
        <f>IF($E208="","",COUNTIFS(EMP_Membre,$E208,EMP_Retour,""))</f>
        <v/>
      </c>
      <c r="L208" s="129">
        <f>IF($E208="","",COUNTIFS(EMP_Membre,$E208,EMP_Statut,"En retard"))</f>
        <v/>
      </c>
      <c r="M208" s="135">
        <f>IF($E208="","",SUMIFS(EMP_Amende,EMP_Membre,$E208,EMP_Paye,"&lt;&gt;Oui"))</f>
        <v/>
      </c>
      <c r="N208" s="130">
        <f>IF($E208="","",IF($L208&gt;0,"En retard",IF($K208&gt;=P_Max,"Limite atteinte","Actif")))</f>
        <v/>
      </c>
      <c r="P208">
        <f>IF(OR(Q_Rech="",$E208=""),"",IF(ISNUMBER(SEARCH(Q_Rech,$E208&amp;" "&amp;$F208&amp;" "&amp;$H208)),COUNT($P$6:$P207)+1,""))</f>
        <v/>
      </c>
    </row>
    <row r="209" ht="21" customHeight="1">
      <c r="A209" s="1" t="n"/>
      <c r="B209" s="1" t="n"/>
      <c r="C209" s="2" t="n"/>
      <c r="E209" s="127" t="n"/>
      <c r="F209" s="127" t="n"/>
      <c r="G209" s="127" t="n"/>
      <c r="H209" s="127" t="n"/>
      <c r="I209" s="133" t="n"/>
      <c r="J209" s="134" t="n"/>
      <c r="K209" s="129">
        <f>IF($E209="","",COUNTIFS(EMP_Membre,$E209,EMP_Retour,""))</f>
        <v/>
      </c>
      <c r="L209" s="129">
        <f>IF($E209="","",COUNTIFS(EMP_Membre,$E209,EMP_Statut,"En retard"))</f>
        <v/>
      </c>
      <c r="M209" s="135">
        <f>IF($E209="","",SUMIFS(EMP_Amende,EMP_Membre,$E209,EMP_Paye,"&lt;&gt;Oui"))</f>
        <v/>
      </c>
      <c r="N209" s="130">
        <f>IF($E209="","",IF($L209&gt;0,"En retard",IF($K209&gt;=P_Max,"Limite atteinte","Actif")))</f>
        <v/>
      </c>
      <c r="P209">
        <f>IF(OR(Q_Rech="",$E209=""),"",IF(ISNUMBER(SEARCH(Q_Rech,$E209&amp;" "&amp;$F209&amp;" "&amp;$H209)),COUNT($P$6:$P208)+1,""))</f>
        <v/>
      </c>
    </row>
    <row r="210" ht="21" customHeight="1">
      <c r="A210" s="1" t="n"/>
      <c r="B210" s="1" t="n"/>
      <c r="C210" s="2" t="n"/>
      <c r="E210" s="127" t="n"/>
      <c r="F210" s="127" t="n"/>
      <c r="G210" s="127" t="n"/>
      <c r="H210" s="127" t="n"/>
      <c r="I210" s="133" t="n"/>
      <c r="J210" s="134" t="n"/>
      <c r="K210" s="129">
        <f>IF($E210="","",COUNTIFS(EMP_Membre,$E210,EMP_Retour,""))</f>
        <v/>
      </c>
      <c r="L210" s="129">
        <f>IF($E210="","",COUNTIFS(EMP_Membre,$E210,EMP_Statut,"En retard"))</f>
        <v/>
      </c>
      <c r="M210" s="135">
        <f>IF($E210="","",SUMIFS(EMP_Amende,EMP_Membre,$E210,EMP_Paye,"&lt;&gt;Oui"))</f>
        <v/>
      </c>
      <c r="N210" s="130">
        <f>IF($E210="","",IF($L210&gt;0,"En retard",IF($K210&gt;=P_Max,"Limite atteinte","Actif")))</f>
        <v/>
      </c>
      <c r="P210">
        <f>IF(OR(Q_Rech="",$E210=""),"",IF(ISNUMBER(SEARCH(Q_Rech,$E210&amp;" "&amp;$F210&amp;" "&amp;$H210)),COUNT($P$6:$P209)+1,""))</f>
        <v/>
      </c>
    </row>
    <row r="211" ht="21" customHeight="1">
      <c r="A211" s="1" t="n"/>
      <c r="B211" s="1" t="n"/>
      <c r="C211" s="2" t="n"/>
      <c r="E211" s="127" t="n"/>
      <c r="F211" s="127" t="n"/>
      <c r="G211" s="127" t="n"/>
      <c r="H211" s="127" t="n"/>
      <c r="I211" s="133" t="n"/>
      <c r="J211" s="134" t="n"/>
      <c r="K211" s="129">
        <f>IF($E211="","",COUNTIFS(EMP_Membre,$E211,EMP_Retour,""))</f>
        <v/>
      </c>
      <c r="L211" s="129">
        <f>IF($E211="","",COUNTIFS(EMP_Membre,$E211,EMP_Statut,"En retard"))</f>
        <v/>
      </c>
      <c r="M211" s="135">
        <f>IF($E211="","",SUMIFS(EMP_Amende,EMP_Membre,$E211,EMP_Paye,"&lt;&gt;Oui"))</f>
        <v/>
      </c>
      <c r="N211" s="130">
        <f>IF($E211="","",IF($L211&gt;0,"En retard",IF($K211&gt;=P_Max,"Limite atteinte","Actif")))</f>
        <v/>
      </c>
      <c r="P211">
        <f>IF(OR(Q_Rech="",$E211=""),"",IF(ISNUMBER(SEARCH(Q_Rech,$E211&amp;" "&amp;$F211&amp;" "&amp;$H211)),COUNT($P$6:$P210)+1,""))</f>
        <v/>
      </c>
    </row>
    <row r="212" ht="21" customHeight="1">
      <c r="A212" s="1" t="n"/>
      <c r="B212" s="1" t="n"/>
      <c r="C212" s="2" t="n"/>
      <c r="E212" s="127" t="n"/>
      <c r="F212" s="127" t="n"/>
      <c r="G212" s="127" t="n"/>
      <c r="H212" s="127" t="n"/>
      <c r="I212" s="133" t="n"/>
      <c r="J212" s="134" t="n"/>
      <c r="K212" s="129">
        <f>IF($E212="","",COUNTIFS(EMP_Membre,$E212,EMP_Retour,""))</f>
        <v/>
      </c>
      <c r="L212" s="129">
        <f>IF($E212="","",COUNTIFS(EMP_Membre,$E212,EMP_Statut,"En retard"))</f>
        <v/>
      </c>
      <c r="M212" s="135">
        <f>IF($E212="","",SUMIFS(EMP_Amende,EMP_Membre,$E212,EMP_Paye,"&lt;&gt;Oui"))</f>
        <v/>
      </c>
      <c r="N212" s="130">
        <f>IF($E212="","",IF($L212&gt;0,"En retard",IF($K212&gt;=P_Max,"Limite atteinte","Actif")))</f>
        <v/>
      </c>
      <c r="P212">
        <f>IF(OR(Q_Rech="",$E212=""),"",IF(ISNUMBER(SEARCH(Q_Rech,$E212&amp;" "&amp;$F212&amp;" "&amp;$H212)),COUNT($P$6:$P211)+1,""))</f>
        <v/>
      </c>
    </row>
    <row r="213" ht="21" customHeight="1">
      <c r="A213" s="1" t="n"/>
      <c r="B213" s="1" t="n"/>
      <c r="C213" s="2" t="n"/>
      <c r="E213" s="127" t="n"/>
      <c r="F213" s="127" t="n"/>
      <c r="G213" s="127" t="n"/>
      <c r="H213" s="127" t="n"/>
      <c r="I213" s="133" t="n"/>
      <c r="J213" s="134" t="n"/>
      <c r="K213" s="129">
        <f>IF($E213="","",COUNTIFS(EMP_Membre,$E213,EMP_Retour,""))</f>
        <v/>
      </c>
      <c r="L213" s="129">
        <f>IF($E213="","",COUNTIFS(EMP_Membre,$E213,EMP_Statut,"En retard"))</f>
        <v/>
      </c>
      <c r="M213" s="135">
        <f>IF($E213="","",SUMIFS(EMP_Amende,EMP_Membre,$E213,EMP_Paye,"&lt;&gt;Oui"))</f>
        <v/>
      </c>
      <c r="N213" s="130">
        <f>IF($E213="","",IF($L213&gt;0,"En retard",IF($K213&gt;=P_Max,"Limite atteinte","Actif")))</f>
        <v/>
      </c>
      <c r="P213">
        <f>IF(OR(Q_Rech="",$E213=""),"",IF(ISNUMBER(SEARCH(Q_Rech,$E213&amp;" "&amp;$F213&amp;" "&amp;$H213)),COUNT($P$6:$P212)+1,""))</f>
        <v/>
      </c>
    </row>
    <row r="214" ht="21" customHeight="1">
      <c r="A214" s="1" t="n"/>
      <c r="B214" s="1" t="n"/>
      <c r="C214" s="2" t="n"/>
      <c r="E214" s="127" t="n"/>
      <c r="F214" s="127" t="n"/>
      <c r="G214" s="127" t="n"/>
      <c r="H214" s="127" t="n"/>
      <c r="I214" s="133" t="n"/>
      <c r="J214" s="134" t="n"/>
      <c r="K214" s="129">
        <f>IF($E214="","",COUNTIFS(EMP_Membre,$E214,EMP_Retour,""))</f>
        <v/>
      </c>
      <c r="L214" s="129">
        <f>IF($E214="","",COUNTIFS(EMP_Membre,$E214,EMP_Statut,"En retard"))</f>
        <v/>
      </c>
      <c r="M214" s="135">
        <f>IF($E214="","",SUMIFS(EMP_Amende,EMP_Membre,$E214,EMP_Paye,"&lt;&gt;Oui"))</f>
        <v/>
      </c>
      <c r="N214" s="130">
        <f>IF($E214="","",IF($L214&gt;0,"En retard",IF($K214&gt;=P_Max,"Limite atteinte","Actif")))</f>
        <v/>
      </c>
      <c r="P214">
        <f>IF(OR(Q_Rech="",$E214=""),"",IF(ISNUMBER(SEARCH(Q_Rech,$E214&amp;" "&amp;$F214&amp;" "&amp;$H214)),COUNT($P$6:$P213)+1,""))</f>
        <v/>
      </c>
    </row>
    <row r="215" ht="21" customHeight="1">
      <c r="A215" s="1" t="n"/>
      <c r="B215" s="1" t="n"/>
      <c r="C215" s="2" t="n"/>
      <c r="E215" s="127" t="n"/>
      <c r="F215" s="127" t="n"/>
      <c r="G215" s="127" t="n"/>
      <c r="H215" s="127" t="n"/>
      <c r="I215" s="133" t="n"/>
      <c r="J215" s="134" t="n"/>
      <c r="K215" s="129">
        <f>IF($E215="","",COUNTIFS(EMP_Membre,$E215,EMP_Retour,""))</f>
        <v/>
      </c>
      <c r="L215" s="129">
        <f>IF($E215="","",COUNTIFS(EMP_Membre,$E215,EMP_Statut,"En retard"))</f>
        <v/>
      </c>
      <c r="M215" s="135">
        <f>IF($E215="","",SUMIFS(EMP_Amende,EMP_Membre,$E215,EMP_Paye,"&lt;&gt;Oui"))</f>
        <v/>
      </c>
      <c r="N215" s="130">
        <f>IF($E215="","",IF($L215&gt;0,"En retard",IF($K215&gt;=P_Max,"Limite atteinte","Actif")))</f>
        <v/>
      </c>
      <c r="P215">
        <f>IF(OR(Q_Rech="",$E215=""),"",IF(ISNUMBER(SEARCH(Q_Rech,$E215&amp;" "&amp;$F215&amp;" "&amp;$H215)),COUNT($P$6:$P214)+1,""))</f>
        <v/>
      </c>
    </row>
    <row r="216" ht="21" customHeight="1">
      <c r="A216" s="1" t="n"/>
      <c r="B216" s="1" t="n"/>
      <c r="C216" s="2" t="n"/>
      <c r="E216" s="127" t="n"/>
      <c r="F216" s="127" t="n"/>
      <c r="G216" s="127" t="n"/>
      <c r="H216" s="127" t="n"/>
      <c r="I216" s="133" t="n"/>
      <c r="J216" s="134" t="n"/>
      <c r="K216" s="129">
        <f>IF($E216="","",COUNTIFS(EMP_Membre,$E216,EMP_Retour,""))</f>
        <v/>
      </c>
      <c r="L216" s="129">
        <f>IF($E216="","",COUNTIFS(EMP_Membre,$E216,EMP_Statut,"En retard"))</f>
        <v/>
      </c>
      <c r="M216" s="135">
        <f>IF($E216="","",SUMIFS(EMP_Amende,EMP_Membre,$E216,EMP_Paye,"&lt;&gt;Oui"))</f>
        <v/>
      </c>
      <c r="N216" s="130">
        <f>IF($E216="","",IF($L216&gt;0,"En retard",IF($K216&gt;=P_Max,"Limite atteinte","Actif")))</f>
        <v/>
      </c>
      <c r="P216">
        <f>IF(OR(Q_Rech="",$E216=""),"",IF(ISNUMBER(SEARCH(Q_Rech,$E216&amp;" "&amp;$F216&amp;" "&amp;$H216)),COUNT($P$6:$P215)+1,""))</f>
        <v/>
      </c>
    </row>
    <row r="217" ht="21" customHeight="1">
      <c r="A217" s="1" t="n"/>
      <c r="B217" s="1" t="n"/>
      <c r="C217" s="2" t="n"/>
      <c r="E217" s="127" t="n"/>
      <c r="F217" s="127" t="n"/>
      <c r="G217" s="127" t="n"/>
      <c r="H217" s="127" t="n"/>
      <c r="I217" s="133" t="n"/>
      <c r="J217" s="134" t="n"/>
      <c r="K217" s="129">
        <f>IF($E217="","",COUNTIFS(EMP_Membre,$E217,EMP_Retour,""))</f>
        <v/>
      </c>
      <c r="L217" s="129">
        <f>IF($E217="","",COUNTIFS(EMP_Membre,$E217,EMP_Statut,"En retard"))</f>
        <v/>
      </c>
      <c r="M217" s="135">
        <f>IF($E217="","",SUMIFS(EMP_Amende,EMP_Membre,$E217,EMP_Paye,"&lt;&gt;Oui"))</f>
        <v/>
      </c>
      <c r="N217" s="130">
        <f>IF($E217="","",IF($L217&gt;0,"En retard",IF($K217&gt;=P_Max,"Limite atteinte","Actif")))</f>
        <v/>
      </c>
      <c r="P217">
        <f>IF(OR(Q_Rech="",$E217=""),"",IF(ISNUMBER(SEARCH(Q_Rech,$E217&amp;" "&amp;$F217&amp;" "&amp;$H217)),COUNT($P$6:$P216)+1,""))</f>
        <v/>
      </c>
    </row>
    <row r="218" ht="21" customHeight="1">
      <c r="A218" s="1" t="n"/>
      <c r="B218" s="1" t="n"/>
      <c r="C218" s="2" t="n"/>
      <c r="E218" s="127" t="n"/>
      <c r="F218" s="127" t="n"/>
      <c r="G218" s="127" t="n"/>
      <c r="H218" s="127" t="n"/>
      <c r="I218" s="133" t="n"/>
      <c r="J218" s="134" t="n"/>
      <c r="K218" s="129">
        <f>IF($E218="","",COUNTIFS(EMP_Membre,$E218,EMP_Retour,""))</f>
        <v/>
      </c>
      <c r="L218" s="129">
        <f>IF($E218="","",COUNTIFS(EMP_Membre,$E218,EMP_Statut,"En retard"))</f>
        <v/>
      </c>
      <c r="M218" s="135">
        <f>IF($E218="","",SUMIFS(EMP_Amende,EMP_Membre,$E218,EMP_Paye,"&lt;&gt;Oui"))</f>
        <v/>
      </c>
      <c r="N218" s="130">
        <f>IF($E218="","",IF($L218&gt;0,"En retard",IF($K218&gt;=P_Max,"Limite atteinte","Actif")))</f>
        <v/>
      </c>
      <c r="P218">
        <f>IF(OR(Q_Rech="",$E218=""),"",IF(ISNUMBER(SEARCH(Q_Rech,$E218&amp;" "&amp;$F218&amp;" "&amp;$H218)),COUNT($P$6:$P217)+1,""))</f>
        <v/>
      </c>
    </row>
    <row r="219" ht="21" customHeight="1">
      <c r="A219" s="1" t="n"/>
      <c r="B219" s="1" t="n"/>
      <c r="C219" s="2" t="n"/>
      <c r="E219" s="127" t="n"/>
      <c r="F219" s="127" t="n"/>
      <c r="G219" s="127" t="n"/>
      <c r="H219" s="127" t="n"/>
      <c r="I219" s="133" t="n"/>
      <c r="J219" s="134" t="n"/>
      <c r="K219" s="129">
        <f>IF($E219="","",COUNTIFS(EMP_Membre,$E219,EMP_Retour,""))</f>
        <v/>
      </c>
      <c r="L219" s="129">
        <f>IF($E219="","",COUNTIFS(EMP_Membre,$E219,EMP_Statut,"En retard"))</f>
        <v/>
      </c>
      <c r="M219" s="135">
        <f>IF($E219="","",SUMIFS(EMP_Amende,EMP_Membre,$E219,EMP_Paye,"&lt;&gt;Oui"))</f>
        <v/>
      </c>
      <c r="N219" s="130">
        <f>IF($E219="","",IF($L219&gt;0,"En retard",IF($K219&gt;=P_Max,"Limite atteinte","Actif")))</f>
        <v/>
      </c>
      <c r="P219">
        <f>IF(OR(Q_Rech="",$E219=""),"",IF(ISNUMBER(SEARCH(Q_Rech,$E219&amp;" "&amp;$F219&amp;" "&amp;$H219)),COUNT($P$6:$P218)+1,""))</f>
        <v/>
      </c>
    </row>
    <row r="220" ht="21" customHeight="1">
      <c r="A220" s="1" t="n"/>
      <c r="B220" s="1" t="n"/>
      <c r="C220" s="2" t="n"/>
      <c r="E220" s="127" t="n"/>
      <c r="F220" s="127" t="n"/>
      <c r="G220" s="127" t="n"/>
      <c r="H220" s="127" t="n"/>
      <c r="I220" s="133" t="n"/>
      <c r="J220" s="134" t="n"/>
      <c r="K220" s="129">
        <f>IF($E220="","",COUNTIFS(EMP_Membre,$E220,EMP_Retour,""))</f>
        <v/>
      </c>
      <c r="L220" s="129">
        <f>IF($E220="","",COUNTIFS(EMP_Membre,$E220,EMP_Statut,"En retard"))</f>
        <v/>
      </c>
      <c r="M220" s="135">
        <f>IF($E220="","",SUMIFS(EMP_Amende,EMP_Membre,$E220,EMP_Paye,"&lt;&gt;Oui"))</f>
        <v/>
      </c>
      <c r="N220" s="130">
        <f>IF($E220="","",IF($L220&gt;0,"En retard",IF($K220&gt;=P_Max,"Limite atteinte","Actif")))</f>
        <v/>
      </c>
      <c r="P220">
        <f>IF(OR(Q_Rech="",$E220=""),"",IF(ISNUMBER(SEARCH(Q_Rech,$E220&amp;" "&amp;$F220&amp;" "&amp;$H220)),COUNT($P$6:$P219)+1,""))</f>
        <v/>
      </c>
    </row>
    <row r="221" ht="21" customHeight="1">
      <c r="A221" s="1" t="n"/>
      <c r="B221" s="1" t="n"/>
      <c r="C221" s="2" t="n"/>
      <c r="E221" s="127" t="n"/>
      <c r="F221" s="127" t="n"/>
      <c r="G221" s="127" t="n"/>
      <c r="H221" s="127" t="n"/>
      <c r="I221" s="133" t="n"/>
      <c r="J221" s="134" t="n"/>
      <c r="K221" s="129">
        <f>IF($E221="","",COUNTIFS(EMP_Membre,$E221,EMP_Retour,""))</f>
        <v/>
      </c>
      <c r="L221" s="129">
        <f>IF($E221="","",COUNTIFS(EMP_Membre,$E221,EMP_Statut,"En retard"))</f>
        <v/>
      </c>
      <c r="M221" s="135">
        <f>IF($E221="","",SUMIFS(EMP_Amende,EMP_Membre,$E221,EMP_Paye,"&lt;&gt;Oui"))</f>
        <v/>
      </c>
      <c r="N221" s="130">
        <f>IF($E221="","",IF($L221&gt;0,"En retard",IF($K221&gt;=P_Max,"Limite atteinte","Actif")))</f>
        <v/>
      </c>
      <c r="P221">
        <f>IF(OR(Q_Rech="",$E221=""),"",IF(ISNUMBER(SEARCH(Q_Rech,$E221&amp;" "&amp;$F221&amp;" "&amp;$H221)),COUNT($P$6:$P220)+1,""))</f>
        <v/>
      </c>
    </row>
    <row r="222" ht="21" customHeight="1">
      <c r="A222" s="1" t="n"/>
      <c r="B222" s="1" t="n"/>
      <c r="C222" s="2" t="n"/>
      <c r="E222" s="127" t="n"/>
      <c r="F222" s="127" t="n"/>
      <c r="G222" s="127" t="n"/>
      <c r="H222" s="127" t="n"/>
      <c r="I222" s="133" t="n"/>
      <c r="J222" s="134" t="n"/>
      <c r="K222" s="129">
        <f>IF($E222="","",COUNTIFS(EMP_Membre,$E222,EMP_Retour,""))</f>
        <v/>
      </c>
      <c r="L222" s="129">
        <f>IF($E222="","",COUNTIFS(EMP_Membre,$E222,EMP_Statut,"En retard"))</f>
        <v/>
      </c>
      <c r="M222" s="135">
        <f>IF($E222="","",SUMIFS(EMP_Amende,EMP_Membre,$E222,EMP_Paye,"&lt;&gt;Oui"))</f>
        <v/>
      </c>
      <c r="N222" s="130">
        <f>IF($E222="","",IF($L222&gt;0,"En retard",IF($K222&gt;=P_Max,"Limite atteinte","Actif")))</f>
        <v/>
      </c>
      <c r="P222">
        <f>IF(OR(Q_Rech="",$E222=""),"",IF(ISNUMBER(SEARCH(Q_Rech,$E222&amp;" "&amp;$F222&amp;" "&amp;$H222)),COUNT($P$6:$P221)+1,""))</f>
        <v/>
      </c>
    </row>
    <row r="223" ht="21" customHeight="1">
      <c r="A223" s="1" t="n"/>
      <c r="B223" s="1" t="n"/>
      <c r="C223" s="2" t="n"/>
      <c r="E223" s="127" t="n"/>
      <c r="F223" s="127" t="n"/>
      <c r="G223" s="127" t="n"/>
      <c r="H223" s="127" t="n"/>
      <c r="I223" s="133" t="n"/>
      <c r="J223" s="134" t="n"/>
      <c r="K223" s="129">
        <f>IF($E223="","",COUNTIFS(EMP_Membre,$E223,EMP_Retour,""))</f>
        <v/>
      </c>
      <c r="L223" s="129">
        <f>IF($E223="","",COUNTIFS(EMP_Membre,$E223,EMP_Statut,"En retard"))</f>
        <v/>
      </c>
      <c r="M223" s="135">
        <f>IF($E223="","",SUMIFS(EMP_Amende,EMP_Membre,$E223,EMP_Paye,"&lt;&gt;Oui"))</f>
        <v/>
      </c>
      <c r="N223" s="130">
        <f>IF($E223="","",IF($L223&gt;0,"En retard",IF($K223&gt;=P_Max,"Limite atteinte","Actif")))</f>
        <v/>
      </c>
      <c r="P223">
        <f>IF(OR(Q_Rech="",$E223=""),"",IF(ISNUMBER(SEARCH(Q_Rech,$E223&amp;" "&amp;$F223&amp;" "&amp;$H223)),COUNT($P$6:$P222)+1,""))</f>
        <v/>
      </c>
    </row>
    <row r="224" ht="21" customHeight="1">
      <c r="A224" s="1" t="n"/>
      <c r="B224" s="1" t="n"/>
      <c r="C224" s="2" t="n"/>
      <c r="E224" s="127" t="n"/>
      <c r="F224" s="127" t="n"/>
      <c r="G224" s="127" t="n"/>
      <c r="H224" s="127" t="n"/>
      <c r="I224" s="133" t="n"/>
      <c r="J224" s="134" t="n"/>
      <c r="K224" s="129">
        <f>IF($E224="","",COUNTIFS(EMP_Membre,$E224,EMP_Retour,""))</f>
        <v/>
      </c>
      <c r="L224" s="129">
        <f>IF($E224="","",COUNTIFS(EMP_Membre,$E224,EMP_Statut,"En retard"))</f>
        <v/>
      </c>
      <c r="M224" s="135">
        <f>IF($E224="","",SUMIFS(EMP_Amende,EMP_Membre,$E224,EMP_Paye,"&lt;&gt;Oui"))</f>
        <v/>
      </c>
      <c r="N224" s="130">
        <f>IF($E224="","",IF($L224&gt;0,"En retard",IF($K224&gt;=P_Max,"Limite atteinte","Actif")))</f>
        <v/>
      </c>
      <c r="P224">
        <f>IF(OR(Q_Rech="",$E224=""),"",IF(ISNUMBER(SEARCH(Q_Rech,$E224&amp;" "&amp;$F224&amp;" "&amp;$H224)),COUNT($P$6:$P223)+1,""))</f>
        <v/>
      </c>
    </row>
    <row r="225" ht="21" customHeight="1">
      <c r="A225" s="1" t="n"/>
      <c r="B225" s="1" t="n"/>
      <c r="C225" s="2" t="n"/>
      <c r="E225" s="127" t="n"/>
      <c r="F225" s="127" t="n"/>
      <c r="G225" s="127" t="n"/>
      <c r="H225" s="127" t="n"/>
      <c r="I225" s="133" t="n"/>
      <c r="J225" s="134" t="n"/>
      <c r="K225" s="129">
        <f>IF($E225="","",COUNTIFS(EMP_Membre,$E225,EMP_Retour,""))</f>
        <v/>
      </c>
      <c r="L225" s="129">
        <f>IF($E225="","",COUNTIFS(EMP_Membre,$E225,EMP_Statut,"En retard"))</f>
        <v/>
      </c>
      <c r="M225" s="135">
        <f>IF($E225="","",SUMIFS(EMP_Amende,EMP_Membre,$E225,EMP_Paye,"&lt;&gt;Oui"))</f>
        <v/>
      </c>
      <c r="N225" s="130">
        <f>IF($E225="","",IF($L225&gt;0,"En retard",IF($K225&gt;=P_Max,"Limite atteinte","Actif")))</f>
        <v/>
      </c>
      <c r="P225">
        <f>IF(OR(Q_Rech="",$E225=""),"",IF(ISNUMBER(SEARCH(Q_Rech,$E225&amp;" "&amp;$F225&amp;" "&amp;$H225)),COUNT($P$6:$P224)+1,""))</f>
        <v/>
      </c>
    </row>
    <row r="226" ht="21" customHeight="1">
      <c r="A226" s="1" t="n"/>
      <c r="B226" s="1" t="n"/>
      <c r="C226" s="2" t="n"/>
      <c r="E226" s="127" t="n"/>
      <c r="F226" s="127" t="n"/>
      <c r="G226" s="127" t="n"/>
      <c r="H226" s="127" t="n"/>
      <c r="I226" s="133" t="n"/>
      <c r="J226" s="134" t="n"/>
      <c r="K226" s="129">
        <f>IF($E226="","",COUNTIFS(EMP_Membre,$E226,EMP_Retour,""))</f>
        <v/>
      </c>
      <c r="L226" s="129">
        <f>IF($E226="","",COUNTIFS(EMP_Membre,$E226,EMP_Statut,"En retard"))</f>
        <v/>
      </c>
      <c r="M226" s="135">
        <f>IF($E226="","",SUMIFS(EMP_Amende,EMP_Membre,$E226,EMP_Paye,"&lt;&gt;Oui"))</f>
        <v/>
      </c>
      <c r="N226" s="130">
        <f>IF($E226="","",IF($L226&gt;0,"En retard",IF($K226&gt;=P_Max,"Limite atteinte","Actif")))</f>
        <v/>
      </c>
      <c r="P226">
        <f>IF(OR(Q_Rech="",$E226=""),"",IF(ISNUMBER(SEARCH(Q_Rech,$E226&amp;" "&amp;$F226&amp;" "&amp;$H226)),COUNT($P$6:$P225)+1,""))</f>
        <v/>
      </c>
    </row>
    <row r="227" ht="21" customHeight="1">
      <c r="A227" s="1" t="n"/>
      <c r="B227" s="1" t="n"/>
      <c r="C227" s="2" t="n"/>
      <c r="E227" s="127" t="n"/>
      <c r="F227" s="127" t="n"/>
      <c r="G227" s="127" t="n"/>
      <c r="H227" s="127" t="n"/>
      <c r="I227" s="133" t="n"/>
      <c r="J227" s="134" t="n"/>
      <c r="K227" s="129">
        <f>IF($E227="","",COUNTIFS(EMP_Membre,$E227,EMP_Retour,""))</f>
        <v/>
      </c>
      <c r="L227" s="129">
        <f>IF($E227="","",COUNTIFS(EMP_Membre,$E227,EMP_Statut,"En retard"))</f>
        <v/>
      </c>
      <c r="M227" s="135">
        <f>IF($E227="","",SUMIFS(EMP_Amende,EMP_Membre,$E227,EMP_Paye,"&lt;&gt;Oui"))</f>
        <v/>
      </c>
      <c r="N227" s="130">
        <f>IF($E227="","",IF($L227&gt;0,"En retard",IF($K227&gt;=P_Max,"Limite atteinte","Actif")))</f>
        <v/>
      </c>
      <c r="P227">
        <f>IF(OR(Q_Rech="",$E227=""),"",IF(ISNUMBER(SEARCH(Q_Rech,$E227&amp;" "&amp;$F227&amp;" "&amp;$H227)),COUNT($P$6:$P226)+1,""))</f>
        <v/>
      </c>
    </row>
    <row r="228" ht="21" customHeight="1">
      <c r="A228" s="1" t="n"/>
      <c r="B228" s="1" t="n"/>
      <c r="C228" s="2" t="n"/>
      <c r="E228" s="127" t="n"/>
      <c r="F228" s="127" t="n"/>
      <c r="G228" s="127" t="n"/>
      <c r="H228" s="127" t="n"/>
      <c r="I228" s="133" t="n"/>
      <c r="J228" s="134" t="n"/>
      <c r="K228" s="129">
        <f>IF($E228="","",COUNTIFS(EMP_Membre,$E228,EMP_Retour,""))</f>
        <v/>
      </c>
      <c r="L228" s="129">
        <f>IF($E228="","",COUNTIFS(EMP_Membre,$E228,EMP_Statut,"En retard"))</f>
        <v/>
      </c>
      <c r="M228" s="135">
        <f>IF($E228="","",SUMIFS(EMP_Amende,EMP_Membre,$E228,EMP_Paye,"&lt;&gt;Oui"))</f>
        <v/>
      </c>
      <c r="N228" s="130">
        <f>IF($E228="","",IF($L228&gt;0,"En retard",IF($K228&gt;=P_Max,"Limite atteinte","Actif")))</f>
        <v/>
      </c>
      <c r="P228">
        <f>IF(OR(Q_Rech="",$E228=""),"",IF(ISNUMBER(SEARCH(Q_Rech,$E228&amp;" "&amp;$F228&amp;" "&amp;$H228)),COUNT($P$6:$P227)+1,""))</f>
        <v/>
      </c>
    </row>
    <row r="229" ht="21" customHeight="1">
      <c r="A229" s="1" t="n"/>
      <c r="B229" s="1" t="n"/>
      <c r="C229" s="2" t="n"/>
      <c r="E229" s="127" t="n"/>
      <c r="F229" s="127" t="n"/>
      <c r="G229" s="127" t="n"/>
      <c r="H229" s="127" t="n"/>
      <c r="I229" s="133" t="n"/>
      <c r="J229" s="134" t="n"/>
      <c r="K229" s="129">
        <f>IF($E229="","",COUNTIFS(EMP_Membre,$E229,EMP_Retour,""))</f>
        <v/>
      </c>
      <c r="L229" s="129">
        <f>IF($E229="","",COUNTIFS(EMP_Membre,$E229,EMP_Statut,"En retard"))</f>
        <v/>
      </c>
      <c r="M229" s="135">
        <f>IF($E229="","",SUMIFS(EMP_Amende,EMP_Membre,$E229,EMP_Paye,"&lt;&gt;Oui"))</f>
        <v/>
      </c>
      <c r="N229" s="130">
        <f>IF($E229="","",IF($L229&gt;0,"En retard",IF($K229&gt;=P_Max,"Limite atteinte","Actif")))</f>
        <v/>
      </c>
      <c r="P229">
        <f>IF(OR(Q_Rech="",$E229=""),"",IF(ISNUMBER(SEARCH(Q_Rech,$E229&amp;" "&amp;$F229&amp;" "&amp;$H229)),COUNT($P$6:$P228)+1,""))</f>
        <v/>
      </c>
    </row>
    <row r="230" ht="21" customHeight="1">
      <c r="A230" s="1" t="n"/>
      <c r="B230" s="1" t="n"/>
      <c r="C230" s="2" t="n"/>
      <c r="E230" s="127" t="n"/>
      <c r="F230" s="127" t="n"/>
      <c r="G230" s="127" t="n"/>
      <c r="H230" s="127" t="n"/>
      <c r="I230" s="133" t="n"/>
      <c r="J230" s="134" t="n"/>
      <c r="K230" s="129">
        <f>IF($E230="","",COUNTIFS(EMP_Membre,$E230,EMP_Retour,""))</f>
        <v/>
      </c>
      <c r="L230" s="129">
        <f>IF($E230="","",COUNTIFS(EMP_Membre,$E230,EMP_Statut,"En retard"))</f>
        <v/>
      </c>
      <c r="M230" s="135">
        <f>IF($E230="","",SUMIFS(EMP_Amende,EMP_Membre,$E230,EMP_Paye,"&lt;&gt;Oui"))</f>
        <v/>
      </c>
      <c r="N230" s="130">
        <f>IF($E230="","",IF($L230&gt;0,"En retard",IF($K230&gt;=P_Max,"Limite atteinte","Actif")))</f>
        <v/>
      </c>
      <c r="P230">
        <f>IF(OR(Q_Rech="",$E230=""),"",IF(ISNUMBER(SEARCH(Q_Rech,$E230&amp;" "&amp;$F230&amp;" "&amp;$H230)),COUNT($P$6:$P229)+1,""))</f>
        <v/>
      </c>
    </row>
    <row r="231" ht="21" customHeight="1">
      <c r="A231" s="1" t="n"/>
      <c r="B231" s="1" t="n"/>
      <c r="C231" s="2" t="n"/>
      <c r="E231" s="127" t="n"/>
      <c r="F231" s="127" t="n"/>
      <c r="G231" s="127" t="n"/>
      <c r="H231" s="127" t="n"/>
      <c r="I231" s="133" t="n"/>
      <c r="J231" s="134" t="n"/>
      <c r="K231" s="129">
        <f>IF($E231="","",COUNTIFS(EMP_Membre,$E231,EMP_Retour,""))</f>
        <v/>
      </c>
      <c r="L231" s="129">
        <f>IF($E231="","",COUNTIFS(EMP_Membre,$E231,EMP_Statut,"En retard"))</f>
        <v/>
      </c>
      <c r="M231" s="135">
        <f>IF($E231="","",SUMIFS(EMP_Amende,EMP_Membre,$E231,EMP_Paye,"&lt;&gt;Oui"))</f>
        <v/>
      </c>
      <c r="N231" s="130">
        <f>IF($E231="","",IF($L231&gt;0,"En retard",IF($K231&gt;=P_Max,"Limite atteinte","Actif")))</f>
        <v/>
      </c>
      <c r="P231">
        <f>IF(OR(Q_Rech="",$E231=""),"",IF(ISNUMBER(SEARCH(Q_Rech,$E231&amp;" "&amp;$F231&amp;" "&amp;$H231)),COUNT($P$6:$P230)+1,""))</f>
        <v/>
      </c>
    </row>
    <row r="232" ht="21" customHeight="1">
      <c r="A232" s="1" t="n"/>
      <c r="B232" s="1" t="n"/>
      <c r="C232" s="2" t="n"/>
      <c r="E232" s="127" t="n"/>
      <c r="F232" s="127" t="n"/>
      <c r="G232" s="127" t="n"/>
      <c r="H232" s="127" t="n"/>
      <c r="I232" s="133" t="n"/>
      <c r="J232" s="134" t="n"/>
      <c r="K232" s="129">
        <f>IF($E232="","",COUNTIFS(EMP_Membre,$E232,EMP_Retour,""))</f>
        <v/>
      </c>
      <c r="L232" s="129">
        <f>IF($E232="","",COUNTIFS(EMP_Membre,$E232,EMP_Statut,"En retard"))</f>
        <v/>
      </c>
      <c r="M232" s="135">
        <f>IF($E232="","",SUMIFS(EMP_Amende,EMP_Membre,$E232,EMP_Paye,"&lt;&gt;Oui"))</f>
        <v/>
      </c>
      <c r="N232" s="130">
        <f>IF($E232="","",IF($L232&gt;0,"En retard",IF($K232&gt;=P_Max,"Limite atteinte","Actif")))</f>
        <v/>
      </c>
      <c r="P232">
        <f>IF(OR(Q_Rech="",$E232=""),"",IF(ISNUMBER(SEARCH(Q_Rech,$E232&amp;" "&amp;$F232&amp;" "&amp;$H232)),COUNT($P$6:$P231)+1,""))</f>
        <v/>
      </c>
    </row>
    <row r="233" ht="21" customHeight="1">
      <c r="A233" s="1" t="n"/>
      <c r="B233" s="1" t="n"/>
      <c r="C233" s="2" t="n"/>
      <c r="E233" s="127" t="n"/>
      <c r="F233" s="127" t="n"/>
      <c r="G233" s="127" t="n"/>
      <c r="H233" s="127" t="n"/>
      <c r="I233" s="133" t="n"/>
      <c r="J233" s="134" t="n"/>
      <c r="K233" s="129">
        <f>IF($E233="","",COUNTIFS(EMP_Membre,$E233,EMP_Retour,""))</f>
        <v/>
      </c>
      <c r="L233" s="129">
        <f>IF($E233="","",COUNTIFS(EMP_Membre,$E233,EMP_Statut,"En retard"))</f>
        <v/>
      </c>
      <c r="M233" s="135">
        <f>IF($E233="","",SUMIFS(EMP_Amende,EMP_Membre,$E233,EMP_Paye,"&lt;&gt;Oui"))</f>
        <v/>
      </c>
      <c r="N233" s="130">
        <f>IF($E233="","",IF($L233&gt;0,"En retard",IF($K233&gt;=P_Max,"Limite atteinte","Actif")))</f>
        <v/>
      </c>
      <c r="P233">
        <f>IF(OR(Q_Rech="",$E233=""),"",IF(ISNUMBER(SEARCH(Q_Rech,$E233&amp;" "&amp;$F233&amp;" "&amp;$H233)),COUNT($P$6:$P232)+1,""))</f>
        <v/>
      </c>
    </row>
    <row r="234" ht="21" customHeight="1">
      <c r="A234" s="1" t="n"/>
      <c r="B234" s="1" t="n"/>
      <c r="C234" s="2" t="n"/>
      <c r="E234" s="127" t="n"/>
      <c r="F234" s="127" t="n"/>
      <c r="G234" s="127" t="n"/>
      <c r="H234" s="127" t="n"/>
      <c r="I234" s="133" t="n"/>
      <c r="J234" s="134" t="n"/>
      <c r="K234" s="129">
        <f>IF($E234="","",COUNTIFS(EMP_Membre,$E234,EMP_Retour,""))</f>
        <v/>
      </c>
      <c r="L234" s="129">
        <f>IF($E234="","",COUNTIFS(EMP_Membre,$E234,EMP_Statut,"En retard"))</f>
        <v/>
      </c>
      <c r="M234" s="135">
        <f>IF($E234="","",SUMIFS(EMP_Amende,EMP_Membre,$E234,EMP_Paye,"&lt;&gt;Oui"))</f>
        <v/>
      </c>
      <c r="N234" s="130">
        <f>IF($E234="","",IF($L234&gt;0,"En retard",IF($K234&gt;=P_Max,"Limite atteinte","Actif")))</f>
        <v/>
      </c>
      <c r="P234">
        <f>IF(OR(Q_Rech="",$E234=""),"",IF(ISNUMBER(SEARCH(Q_Rech,$E234&amp;" "&amp;$F234&amp;" "&amp;$H234)),COUNT($P$6:$P233)+1,""))</f>
        <v/>
      </c>
    </row>
    <row r="235" ht="21" customHeight="1">
      <c r="A235" s="1" t="n"/>
      <c r="B235" s="1" t="n"/>
      <c r="C235" s="2" t="n"/>
      <c r="E235" s="127" t="n"/>
      <c r="F235" s="127" t="n"/>
      <c r="G235" s="127" t="n"/>
      <c r="H235" s="127" t="n"/>
      <c r="I235" s="133" t="n"/>
      <c r="J235" s="134" t="n"/>
      <c r="K235" s="129">
        <f>IF($E235="","",COUNTIFS(EMP_Membre,$E235,EMP_Retour,""))</f>
        <v/>
      </c>
      <c r="L235" s="129">
        <f>IF($E235="","",COUNTIFS(EMP_Membre,$E235,EMP_Statut,"En retard"))</f>
        <v/>
      </c>
      <c r="M235" s="135">
        <f>IF($E235="","",SUMIFS(EMP_Amende,EMP_Membre,$E235,EMP_Paye,"&lt;&gt;Oui"))</f>
        <v/>
      </c>
      <c r="N235" s="130">
        <f>IF($E235="","",IF($L235&gt;0,"En retard",IF($K235&gt;=P_Max,"Limite atteinte","Actif")))</f>
        <v/>
      </c>
      <c r="P235">
        <f>IF(OR(Q_Rech="",$E235=""),"",IF(ISNUMBER(SEARCH(Q_Rech,$E235&amp;" "&amp;$F235&amp;" "&amp;$H235)),COUNT($P$6:$P234)+1,""))</f>
        <v/>
      </c>
    </row>
    <row r="236" ht="21" customHeight="1">
      <c r="A236" s="1" t="n"/>
      <c r="B236" s="1" t="n"/>
      <c r="C236" s="2" t="n"/>
      <c r="E236" s="127" t="n"/>
      <c r="F236" s="127" t="n"/>
      <c r="G236" s="127" t="n"/>
      <c r="H236" s="127" t="n"/>
      <c r="I236" s="133" t="n"/>
      <c r="J236" s="134" t="n"/>
      <c r="K236" s="129">
        <f>IF($E236="","",COUNTIFS(EMP_Membre,$E236,EMP_Retour,""))</f>
        <v/>
      </c>
      <c r="L236" s="129">
        <f>IF($E236="","",COUNTIFS(EMP_Membre,$E236,EMP_Statut,"En retard"))</f>
        <v/>
      </c>
      <c r="M236" s="135">
        <f>IF($E236="","",SUMIFS(EMP_Amende,EMP_Membre,$E236,EMP_Paye,"&lt;&gt;Oui"))</f>
        <v/>
      </c>
      <c r="N236" s="130">
        <f>IF($E236="","",IF($L236&gt;0,"En retard",IF($K236&gt;=P_Max,"Limite atteinte","Actif")))</f>
        <v/>
      </c>
      <c r="P236">
        <f>IF(OR(Q_Rech="",$E236=""),"",IF(ISNUMBER(SEARCH(Q_Rech,$E236&amp;" "&amp;$F236&amp;" "&amp;$H236)),COUNT($P$6:$P235)+1,""))</f>
        <v/>
      </c>
    </row>
    <row r="237" ht="21" customHeight="1">
      <c r="A237" s="1" t="n"/>
      <c r="B237" s="1" t="n"/>
      <c r="C237" s="2" t="n"/>
      <c r="E237" s="127" t="n"/>
      <c r="F237" s="127" t="n"/>
      <c r="G237" s="127" t="n"/>
      <c r="H237" s="127" t="n"/>
      <c r="I237" s="133" t="n"/>
      <c r="J237" s="134" t="n"/>
      <c r="K237" s="129">
        <f>IF($E237="","",COUNTIFS(EMP_Membre,$E237,EMP_Retour,""))</f>
        <v/>
      </c>
      <c r="L237" s="129">
        <f>IF($E237="","",COUNTIFS(EMP_Membre,$E237,EMP_Statut,"En retard"))</f>
        <v/>
      </c>
      <c r="M237" s="135">
        <f>IF($E237="","",SUMIFS(EMP_Amende,EMP_Membre,$E237,EMP_Paye,"&lt;&gt;Oui"))</f>
        <v/>
      </c>
      <c r="N237" s="130">
        <f>IF($E237="","",IF($L237&gt;0,"En retard",IF($K237&gt;=P_Max,"Limite atteinte","Actif")))</f>
        <v/>
      </c>
      <c r="P237">
        <f>IF(OR(Q_Rech="",$E237=""),"",IF(ISNUMBER(SEARCH(Q_Rech,$E237&amp;" "&amp;$F237&amp;" "&amp;$H237)),COUNT($P$6:$P236)+1,""))</f>
        <v/>
      </c>
    </row>
    <row r="238" ht="21" customHeight="1">
      <c r="A238" s="1" t="n"/>
      <c r="B238" s="1" t="n"/>
      <c r="C238" s="2" t="n"/>
      <c r="E238" s="127" t="n"/>
      <c r="F238" s="127" t="n"/>
      <c r="G238" s="127" t="n"/>
      <c r="H238" s="127" t="n"/>
      <c r="I238" s="133" t="n"/>
      <c r="J238" s="134" t="n"/>
      <c r="K238" s="129">
        <f>IF($E238="","",COUNTIFS(EMP_Membre,$E238,EMP_Retour,""))</f>
        <v/>
      </c>
      <c r="L238" s="129">
        <f>IF($E238="","",COUNTIFS(EMP_Membre,$E238,EMP_Statut,"En retard"))</f>
        <v/>
      </c>
      <c r="M238" s="135">
        <f>IF($E238="","",SUMIFS(EMP_Amende,EMP_Membre,$E238,EMP_Paye,"&lt;&gt;Oui"))</f>
        <v/>
      </c>
      <c r="N238" s="130">
        <f>IF($E238="","",IF($L238&gt;0,"En retard",IF($K238&gt;=P_Max,"Limite atteinte","Actif")))</f>
        <v/>
      </c>
      <c r="P238">
        <f>IF(OR(Q_Rech="",$E238=""),"",IF(ISNUMBER(SEARCH(Q_Rech,$E238&amp;" "&amp;$F238&amp;" "&amp;$H238)),COUNT($P$6:$P237)+1,""))</f>
        <v/>
      </c>
    </row>
    <row r="239" ht="21" customHeight="1">
      <c r="A239" s="1" t="n"/>
      <c r="B239" s="1" t="n"/>
      <c r="C239" s="2" t="n"/>
      <c r="E239" s="127" t="n"/>
      <c r="F239" s="127" t="n"/>
      <c r="G239" s="127" t="n"/>
      <c r="H239" s="127" t="n"/>
      <c r="I239" s="133" t="n"/>
      <c r="J239" s="134" t="n"/>
      <c r="K239" s="129">
        <f>IF($E239="","",COUNTIFS(EMP_Membre,$E239,EMP_Retour,""))</f>
        <v/>
      </c>
      <c r="L239" s="129">
        <f>IF($E239="","",COUNTIFS(EMP_Membre,$E239,EMP_Statut,"En retard"))</f>
        <v/>
      </c>
      <c r="M239" s="135">
        <f>IF($E239="","",SUMIFS(EMP_Amende,EMP_Membre,$E239,EMP_Paye,"&lt;&gt;Oui"))</f>
        <v/>
      </c>
      <c r="N239" s="130">
        <f>IF($E239="","",IF($L239&gt;0,"En retard",IF($K239&gt;=P_Max,"Limite atteinte","Actif")))</f>
        <v/>
      </c>
      <c r="P239">
        <f>IF(OR(Q_Rech="",$E239=""),"",IF(ISNUMBER(SEARCH(Q_Rech,$E239&amp;" "&amp;$F239&amp;" "&amp;$H239)),COUNT($P$6:$P238)+1,""))</f>
        <v/>
      </c>
    </row>
    <row r="240" ht="21" customHeight="1">
      <c r="A240" s="1" t="n"/>
      <c r="B240" s="1" t="n"/>
      <c r="C240" s="2" t="n"/>
      <c r="E240" s="127" t="n"/>
      <c r="F240" s="127" t="n"/>
      <c r="G240" s="127" t="n"/>
      <c r="H240" s="127" t="n"/>
      <c r="I240" s="133" t="n"/>
      <c r="J240" s="134" t="n"/>
      <c r="K240" s="129">
        <f>IF($E240="","",COUNTIFS(EMP_Membre,$E240,EMP_Retour,""))</f>
        <v/>
      </c>
      <c r="L240" s="129">
        <f>IF($E240="","",COUNTIFS(EMP_Membre,$E240,EMP_Statut,"En retard"))</f>
        <v/>
      </c>
      <c r="M240" s="135">
        <f>IF($E240="","",SUMIFS(EMP_Amende,EMP_Membre,$E240,EMP_Paye,"&lt;&gt;Oui"))</f>
        <v/>
      </c>
      <c r="N240" s="130">
        <f>IF($E240="","",IF($L240&gt;0,"En retard",IF($K240&gt;=P_Max,"Limite atteinte","Actif")))</f>
        <v/>
      </c>
      <c r="P240">
        <f>IF(OR(Q_Rech="",$E240=""),"",IF(ISNUMBER(SEARCH(Q_Rech,$E240&amp;" "&amp;$F240&amp;" "&amp;$H240)),COUNT($P$6:$P239)+1,""))</f>
        <v/>
      </c>
    </row>
    <row r="241" ht="21" customHeight="1">
      <c r="A241" s="1" t="n"/>
      <c r="B241" s="1" t="n"/>
      <c r="C241" s="2" t="n"/>
      <c r="E241" s="127" t="n"/>
      <c r="F241" s="127" t="n"/>
      <c r="G241" s="127" t="n"/>
      <c r="H241" s="127" t="n"/>
      <c r="I241" s="133" t="n"/>
      <c r="J241" s="134" t="n"/>
      <c r="K241" s="129">
        <f>IF($E241="","",COUNTIFS(EMP_Membre,$E241,EMP_Retour,""))</f>
        <v/>
      </c>
      <c r="L241" s="129">
        <f>IF($E241="","",COUNTIFS(EMP_Membre,$E241,EMP_Statut,"En retard"))</f>
        <v/>
      </c>
      <c r="M241" s="135">
        <f>IF($E241="","",SUMIFS(EMP_Amende,EMP_Membre,$E241,EMP_Paye,"&lt;&gt;Oui"))</f>
        <v/>
      </c>
      <c r="N241" s="130">
        <f>IF($E241="","",IF($L241&gt;0,"En retard",IF($K241&gt;=P_Max,"Limite atteinte","Actif")))</f>
        <v/>
      </c>
      <c r="P241">
        <f>IF(OR(Q_Rech="",$E241=""),"",IF(ISNUMBER(SEARCH(Q_Rech,$E241&amp;" "&amp;$F241&amp;" "&amp;$H241)),COUNT($P$6:$P240)+1,""))</f>
        <v/>
      </c>
    </row>
    <row r="242" ht="21" customHeight="1">
      <c r="A242" s="1" t="n"/>
      <c r="B242" s="1" t="n"/>
      <c r="C242" s="2" t="n"/>
      <c r="E242" s="127" t="n"/>
      <c r="F242" s="127" t="n"/>
      <c r="G242" s="127" t="n"/>
      <c r="H242" s="127" t="n"/>
      <c r="I242" s="133" t="n"/>
      <c r="J242" s="134" t="n"/>
      <c r="K242" s="129">
        <f>IF($E242="","",COUNTIFS(EMP_Membre,$E242,EMP_Retour,""))</f>
        <v/>
      </c>
      <c r="L242" s="129">
        <f>IF($E242="","",COUNTIFS(EMP_Membre,$E242,EMP_Statut,"En retard"))</f>
        <v/>
      </c>
      <c r="M242" s="135">
        <f>IF($E242="","",SUMIFS(EMP_Amende,EMP_Membre,$E242,EMP_Paye,"&lt;&gt;Oui"))</f>
        <v/>
      </c>
      <c r="N242" s="130">
        <f>IF($E242="","",IF($L242&gt;0,"En retard",IF($K242&gt;=P_Max,"Limite atteinte","Actif")))</f>
        <v/>
      </c>
      <c r="P242">
        <f>IF(OR(Q_Rech="",$E242=""),"",IF(ISNUMBER(SEARCH(Q_Rech,$E242&amp;" "&amp;$F242&amp;" "&amp;$H242)),COUNT($P$6:$P241)+1,""))</f>
        <v/>
      </c>
    </row>
    <row r="243" ht="21" customHeight="1">
      <c r="A243" s="1" t="n"/>
      <c r="B243" s="1" t="n"/>
      <c r="C243" s="2" t="n"/>
      <c r="E243" s="127" t="n"/>
      <c r="F243" s="127" t="n"/>
      <c r="G243" s="127" t="n"/>
      <c r="H243" s="127" t="n"/>
      <c r="I243" s="133" t="n"/>
      <c r="J243" s="134" t="n"/>
      <c r="K243" s="129">
        <f>IF($E243="","",COUNTIFS(EMP_Membre,$E243,EMP_Retour,""))</f>
        <v/>
      </c>
      <c r="L243" s="129">
        <f>IF($E243="","",COUNTIFS(EMP_Membre,$E243,EMP_Statut,"En retard"))</f>
        <v/>
      </c>
      <c r="M243" s="135">
        <f>IF($E243="","",SUMIFS(EMP_Amende,EMP_Membre,$E243,EMP_Paye,"&lt;&gt;Oui"))</f>
        <v/>
      </c>
      <c r="N243" s="130">
        <f>IF($E243="","",IF($L243&gt;0,"En retard",IF($K243&gt;=P_Max,"Limite atteinte","Actif")))</f>
        <v/>
      </c>
      <c r="P243">
        <f>IF(OR(Q_Rech="",$E243=""),"",IF(ISNUMBER(SEARCH(Q_Rech,$E243&amp;" "&amp;$F243&amp;" "&amp;$H243)),COUNT($P$6:$P242)+1,""))</f>
        <v/>
      </c>
    </row>
    <row r="244" ht="21" customHeight="1">
      <c r="A244" s="1" t="n"/>
      <c r="B244" s="1" t="n"/>
      <c r="C244" s="2" t="n"/>
      <c r="E244" s="127" t="n"/>
      <c r="F244" s="127" t="n"/>
      <c r="G244" s="127" t="n"/>
      <c r="H244" s="127" t="n"/>
      <c r="I244" s="133" t="n"/>
      <c r="J244" s="134" t="n"/>
      <c r="K244" s="129">
        <f>IF($E244="","",COUNTIFS(EMP_Membre,$E244,EMP_Retour,""))</f>
        <v/>
      </c>
      <c r="L244" s="129">
        <f>IF($E244="","",COUNTIFS(EMP_Membre,$E244,EMP_Statut,"En retard"))</f>
        <v/>
      </c>
      <c r="M244" s="135">
        <f>IF($E244="","",SUMIFS(EMP_Amende,EMP_Membre,$E244,EMP_Paye,"&lt;&gt;Oui"))</f>
        <v/>
      </c>
      <c r="N244" s="130">
        <f>IF($E244="","",IF($L244&gt;0,"En retard",IF($K244&gt;=P_Max,"Limite atteinte","Actif")))</f>
        <v/>
      </c>
      <c r="P244">
        <f>IF(OR(Q_Rech="",$E244=""),"",IF(ISNUMBER(SEARCH(Q_Rech,$E244&amp;" "&amp;$F244&amp;" "&amp;$H244)),COUNT($P$6:$P243)+1,""))</f>
        <v/>
      </c>
    </row>
    <row r="245" ht="21" customHeight="1">
      <c r="A245" s="1" t="n"/>
      <c r="B245" s="1" t="n"/>
      <c r="C245" s="2" t="n"/>
      <c r="E245" s="127" t="n"/>
      <c r="F245" s="127" t="n"/>
      <c r="G245" s="127" t="n"/>
      <c r="H245" s="127" t="n"/>
      <c r="I245" s="133" t="n"/>
      <c r="J245" s="134" t="n"/>
      <c r="K245" s="129">
        <f>IF($E245="","",COUNTIFS(EMP_Membre,$E245,EMP_Retour,""))</f>
        <v/>
      </c>
      <c r="L245" s="129">
        <f>IF($E245="","",COUNTIFS(EMP_Membre,$E245,EMP_Statut,"En retard"))</f>
        <v/>
      </c>
      <c r="M245" s="135">
        <f>IF($E245="","",SUMIFS(EMP_Amende,EMP_Membre,$E245,EMP_Paye,"&lt;&gt;Oui"))</f>
        <v/>
      </c>
      <c r="N245" s="130">
        <f>IF($E245="","",IF($L245&gt;0,"En retard",IF($K245&gt;=P_Max,"Limite atteinte","Actif")))</f>
        <v/>
      </c>
      <c r="P245">
        <f>IF(OR(Q_Rech="",$E245=""),"",IF(ISNUMBER(SEARCH(Q_Rech,$E245&amp;" "&amp;$F245&amp;" "&amp;$H245)),COUNT($P$6:$P244)+1,""))</f>
        <v/>
      </c>
    </row>
    <row r="246" ht="21" customHeight="1">
      <c r="A246" s="1" t="n"/>
      <c r="B246" s="1" t="n"/>
      <c r="C246" s="2" t="n"/>
      <c r="E246" s="127" t="n"/>
      <c r="F246" s="127" t="n"/>
      <c r="G246" s="127" t="n"/>
      <c r="H246" s="127" t="n"/>
      <c r="I246" s="133" t="n"/>
      <c r="J246" s="134" t="n"/>
      <c r="K246" s="129">
        <f>IF($E246="","",COUNTIFS(EMP_Membre,$E246,EMP_Retour,""))</f>
        <v/>
      </c>
      <c r="L246" s="129">
        <f>IF($E246="","",COUNTIFS(EMP_Membre,$E246,EMP_Statut,"En retard"))</f>
        <v/>
      </c>
      <c r="M246" s="135">
        <f>IF($E246="","",SUMIFS(EMP_Amende,EMP_Membre,$E246,EMP_Paye,"&lt;&gt;Oui"))</f>
        <v/>
      </c>
      <c r="N246" s="130">
        <f>IF($E246="","",IF($L246&gt;0,"En retard",IF($K246&gt;=P_Max,"Limite atteinte","Actif")))</f>
        <v/>
      </c>
      <c r="P246">
        <f>IF(OR(Q_Rech="",$E246=""),"",IF(ISNUMBER(SEARCH(Q_Rech,$E246&amp;" "&amp;$F246&amp;" "&amp;$H246)),COUNT($P$6:$P245)+1,""))</f>
        <v/>
      </c>
    </row>
    <row r="247" ht="21" customHeight="1">
      <c r="A247" s="1" t="n"/>
      <c r="B247" s="1" t="n"/>
      <c r="C247" s="2" t="n"/>
      <c r="E247" s="127" t="n"/>
      <c r="F247" s="127" t="n"/>
      <c r="G247" s="127" t="n"/>
      <c r="H247" s="127" t="n"/>
      <c r="I247" s="133" t="n"/>
      <c r="J247" s="134" t="n"/>
      <c r="K247" s="129">
        <f>IF($E247="","",COUNTIFS(EMP_Membre,$E247,EMP_Retour,""))</f>
        <v/>
      </c>
      <c r="L247" s="129">
        <f>IF($E247="","",COUNTIFS(EMP_Membre,$E247,EMP_Statut,"En retard"))</f>
        <v/>
      </c>
      <c r="M247" s="135">
        <f>IF($E247="","",SUMIFS(EMP_Amende,EMP_Membre,$E247,EMP_Paye,"&lt;&gt;Oui"))</f>
        <v/>
      </c>
      <c r="N247" s="130">
        <f>IF($E247="","",IF($L247&gt;0,"En retard",IF($K247&gt;=P_Max,"Limite atteinte","Actif")))</f>
        <v/>
      </c>
      <c r="P247">
        <f>IF(OR(Q_Rech="",$E247=""),"",IF(ISNUMBER(SEARCH(Q_Rech,$E247&amp;" "&amp;$F247&amp;" "&amp;$H247)),COUNT($P$6:$P246)+1,""))</f>
        <v/>
      </c>
    </row>
    <row r="248" ht="21" customHeight="1">
      <c r="A248" s="1" t="n"/>
      <c r="B248" s="1" t="n"/>
      <c r="C248" s="2" t="n"/>
      <c r="E248" s="127" t="n"/>
      <c r="F248" s="127" t="n"/>
      <c r="G248" s="127" t="n"/>
      <c r="H248" s="127" t="n"/>
      <c r="I248" s="133" t="n"/>
      <c r="J248" s="134" t="n"/>
      <c r="K248" s="129">
        <f>IF($E248="","",COUNTIFS(EMP_Membre,$E248,EMP_Retour,""))</f>
        <v/>
      </c>
      <c r="L248" s="129">
        <f>IF($E248="","",COUNTIFS(EMP_Membre,$E248,EMP_Statut,"En retard"))</f>
        <v/>
      </c>
      <c r="M248" s="135">
        <f>IF($E248="","",SUMIFS(EMP_Amende,EMP_Membre,$E248,EMP_Paye,"&lt;&gt;Oui"))</f>
        <v/>
      </c>
      <c r="N248" s="130">
        <f>IF($E248="","",IF($L248&gt;0,"En retard",IF($K248&gt;=P_Max,"Limite atteinte","Actif")))</f>
        <v/>
      </c>
      <c r="P248">
        <f>IF(OR(Q_Rech="",$E248=""),"",IF(ISNUMBER(SEARCH(Q_Rech,$E248&amp;" "&amp;$F248&amp;" "&amp;$H248)),COUNT($P$6:$P247)+1,""))</f>
        <v/>
      </c>
    </row>
    <row r="249" ht="21" customHeight="1">
      <c r="A249" s="1" t="n"/>
      <c r="B249" s="1" t="n"/>
      <c r="C249" s="2" t="n"/>
      <c r="E249" s="127" t="n"/>
      <c r="F249" s="127" t="n"/>
      <c r="G249" s="127" t="n"/>
      <c r="H249" s="127" t="n"/>
      <c r="I249" s="133" t="n"/>
      <c r="J249" s="134" t="n"/>
      <c r="K249" s="129">
        <f>IF($E249="","",COUNTIFS(EMP_Membre,$E249,EMP_Retour,""))</f>
        <v/>
      </c>
      <c r="L249" s="129">
        <f>IF($E249="","",COUNTIFS(EMP_Membre,$E249,EMP_Statut,"En retard"))</f>
        <v/>
      </c>
      <c r="M249" s="135">
        <f>IF($E249="","",SUMIFS(EMP_Amende,EMP_Membre,$E249,EMP_Paye,"&lt;&gt;Oui"))</f>
        <v/>
      </c>
      <c r="N249" s="130">
        <f>IF($E249="","",IF($L249&gt;0,"En retard",IF($K249&gt;=P_Max,"Limite atteinte","Actif")))</f>
        <v/>
      </c>
      <c r="P249">
        <f>IF(OR(Q_Rech="",$E249=""),"",IF(ISNUMBER(SEARCH(Q_Rech,$E249&amp;" "&amp;$F249&amp;" "&amp;$H249)),COUNT($P$6:$P248)+1,""))</f>
        <v/>
      </c>
    </row>
    <row r="250" ht="21" customHeight="1">
      <c r="A250" s="1" t="n"/>
      <c r="B250" s="1" t="n"/>
      <c r="C250" s="2" t="n"/>
      <c r="E250" s="127" t="n"/>
      <c r="F250" s="127" t="n"/>
      <c r="G250" s="127" t="n"/>
      <c r="H250" s="127" t="n"/>
      <c r="I250" s="133" t="n"/>
      <c r="J250" s="134" t="n"/>
      <c r="K250" s="129">
        <f>IF($E250="","",COUNTIFS(EMP_Membre,$E250,EMP_Retour,""))</f>
        <v/>
      </c>
      <c r="L250" s="129">
        <f>IF($E250="","",COUNTIFS(EMP_Membre,$E250,EMP_Statut,"En retard"))</f>
        <v/>
      </c>
      <c r="M250" s="135">
        <f>IF($E250="","",SUMIFS(EMP_Amende,EMP_Membre,$E250,EMP_Paye,"&lt;&gt;Oui"))</f>
        <v/>
      </c>
      <c r="N250" s="130">
        <f>IF($E250="","",IF($L250&gt;0,"En retard",IF($K250&gt;=P_Max,"Limite atteinte","Actif")))</f>
        <v/>
      </c>
      <c r="P250">
        <f>IF(OR(Q_Rech="",$E250=""),"",IF(ISNUMBER(SEARCH(Q_Rech,$E250&amp;" "&amp;$F250&amp;" "&amp;$H250)),COUNT($P$6:$P249)+1,""))</f>
        <v/>
      </c>
    </row>
    <row r="251" ht="21" customHeight="1">
      <c r="A251" s="1" t="n"/>
      <c r="B251" s="1" t="n"/>
      <c r="C251" s="2" t="n"/>
      <c r="E251" s="127" t="n"/>
      <c r="F251" s="127" t="n"/>
      <c r="G251" s="127" t="n"/>
      <c r="H251" s="127" t="n"/>
      <c r="I251" s="133" t="n"/>
      <c r="J251" s="134" t="n"/>
      <c r="K251" s="129">
        <f>IF($E251="","",COUNTIFS(EMP_Membre,$E251,EMP_Retour,""))</f>
        <v/>
      </c>
      <c r="L251" s="129">
        <f>IF($E251="","",COUNTIFS(EMP_Membre,$E251,EMP_Statut,"En retard"))</f>
        <v/>
      </c>
      <c r="M251" s="135">
        <f>IF($E251="","",SUMIFS(EMP_Amende,EMP_Membre,$E251,EMP_Paye,"&lt;&gt;Oui"))</f>
        <v/>
      </c>
      <c r="N251" s="130">
        <f>IF($E251="","",IF($L251&gt;0,"En retard",IF($K251&gt;=P_Max,"Limite atteinte","Actif")))</f>
        <v/>
      </c>
      <c r="P251">
        <f>IF(OR(Q_Rech="",$E251=""),"",IF(ISNUMBER(SEARCH(Q_Rech,$E251&amp;" "&amp;$F251&amp;" "&amp;$H251)),COUNT($P$6:$P250)+1,""))</f>
        <v/>
      </c>
    </row>
    <row r="252" ht="21" customHeight="1">
      <c r="A252" s="1" t="n"/>
      <c r="B252" s="1" t="n"/>
      <c r="C252" s="2" t="n"/>
      <c r="E252" s="127" t="n"/>
      <c r="F252" s="127" t="n"/>
      <c r="G252" s="127" t="n"/>
      <c r="H252" s="127" t="n"/>
      <c r="I252" s="133" t="n"/>
      <c r="J252" s="134" t="n"/>
      <c r="K252" s="129">
        <f>IF($E252="","",COUNTIFS(EMP_Membre,$E252,EMP_Retour,""))</f>
        <v/>
      </c>
      <c r="L252" s="129">
        <f>IF($E252="","",COUNTIFS(EMP_Membre,$E252,EMP_Statut,"En retard"))</f>
        <v/>
      </c>
      <c r="M252" s="135">
        <f>IF($E252="","",SUMIFS(EMP_Amende,EMP_Membre,$E252,EMP_Paye,"&lt;&gt;Oui"))</f>
        <v/>
      </c>
      <c r="N252" s="130">
        <f>IF($E252="","",IF($L252&gt;0,"En retard",IF($K252&gt;=P_Max,"Limite atteinte","Actif")))</f>
        <v/>
      </c>
      <c r="P252">
        <f>IF(OR(Q_Rech="",$E252=""),"",IF(ISNUMBER(SEARCH(Q_Rech,$E252&amp;" "&amp;$F252&amp;" "&amp;$H252)),COUNT($P$6:$P251)+1,""))</f>
        <v/>
      </c>
    </row>
    <row r="253" ht="21" customHeight="1">
      <c r="A253" s="1" t="n"/>
      <c r="B253" s="1" t="n"/>
      <c r="C253" s="2" t="n"/>
      <c r="E253" s="127" t="n"/>
      <c r="F253" s="127" t="n"/>
      <c r="G253" s="127" t="n"/>
      <c r="H253" s="127" t="n"/>
      <c r="I253" s="133" t="n"/>
      <c r="J253" s="134" t="n"/>
      <c r="K253" s="129">
        <f>IF($E253="","",COUNTIFS(EMP_Membre,$E253,EMP_Retour,""))</f>
        <v/>
      </c>
      <c r="L253" s="129">
        <f>IF($E253="","",COUNTIFS(EMP_Membre,$E253,EMP_Statut,"En retard"))</f>
        <v/>
      </c>
      <c r="M253" s="135">
        <f>IF($E253="","",SUMIFS(EMP_Amende,EMP_Membre,$E253,EMP_Paye,"&lt;&gt;Oui"))</f>
        <v/>
      </c>
      <c r="N253" s="130">
        <f>IF($E253="","",IF($L253&gt;0,"En retard",IF($K253&gt;=P_Max,"Limite atteinte","Actif")))</f>
        <v/>
      </c>
      <c r="P253">
        <f>IF(OR(Q_Rech="",$E253=""),"",IF(ISNUMBER(SEARCH(Q_Rech,$E253&amp;" "&amp;$F253&amp;" "&amp;$H253)),COUNT($P$6:$P252)+1,""))</f>
        <v/>
      </c>
    </row>
    <row r="254" ht="21" customHeight="1">
      <c r="A254" s="1" t="n"/>
      <c r="B254" s="1" t="n"/>
      <c r="C254" s="2" t="n"/>
      <c r="E254" s="127" t="n"/>
      <c r="F254" s="127" t="n"/>
      <c r="G254" s="127" t="n"/>
      <c r="H254" s="127" t="n"/>
      <c r="I254" s="133" t="n"/>
      <c r="J254" s="134" t="n"/>
      <c r="K254" s="129">
        <f>IF($E254="","",COUNTIFS(EMP_Membre,$E254,EMP_Retour,""))</f>
        <v/>
      </c>
      <c r="L254" s="129">
        <f>IF($E254="","",COUNTIFS(EMP_Membre,$E254,EMP_Statut,"En retard"))</f>
        <v/>
      </c>
      <c r="M254" s="135">
        <f>IF($E254="","",SUMIFS(EMP_Amende,EMP_Membre,$E254,EMP_Paye,"&lt;&gt;Oui"))</f>
        <v/>
      </c>
      <c r="N254" s="130">
        <f>IF($E254="","",IF($L254&gt;0,"En retard",IF($K254&gt;=P_Max,"Limite atteinte","Actif")))</f>
        <v/>
      </c>
      <c r="P254">
        <f>IF(OR(Q_Rech="",$E254=""),"",IF(ISNUMBER(SEARCH(Q_Rech,$E254&amp;" "&amp;$F254&amp;" "&amp;$H254)),COUNT($P$6:$P253)+1,""))</f>
        <v/>
      </c>
    </row>
    <row r="255" ht="21" customHeight="1">
      <c r="A255" s="1" t="n"/>
      <c r="B255" s="1" t="n"/>
      <c r="C255" s="2" t="n"/>
      <c r="E255" s="127" t="n"/>
      <c r="F255" s="127" t="n"/>
      <c r="G255" s="127" t="n"/>
      <c r="H255" s="127" t="n"/>
      <c r="I255" s="133" t="n"/>
      <c r="J255" s="134" t="n"/>
      <c r="K255" s="129">
        <f>IF($E255="","",COUNTIFS(EMP_Membre,$E255,EMP_Retour,""))</f>
        <v/>
      </c>
      <c r="L255" s="129">
        <f>IF($E255="","",COUNTIFS(EMP_Membre,$E255,EMP_Statut,"En retard"))</f>
        <v/>
      </c>
      <c r="M255" s="135">
        <f>IF($E255="","",SUMIFS(EMP_Amende,EMP_Membre,$E255,EMP_Paye,"&lt;&gt;Oui"))</f>
        <v/>
      </c>
      <c r="N255" s="130">
        <f>IF($E255="","",IF($L255&gt;0,"En retard",IF($K255&gt;=P_Max,"Limite atteinte","Actif")))</f>
        <v/>
      </c>
      <c r="P255">
        <f>IF(OR(Q_Rech="",$E255=""),"",IF(ISNUMBER(SEARCH(Q_Rech,$E255&amp;" "&amp;$F255&amp;" "&amp;$H255)),COUNT($P$6:$P254)+1,""))</f>
        <v/>
      </c>
    </row>
    <row r="256" ht="21" customHeight="1">
      <c r="A256" s="1" t="n"/>
      <c r="B256" s="1" t="n"/>
      <c r="C256" s="2" t="n"/>
      <c r="E256" s="127" t="n"/>
      <c r="F256" s="127" t="n"/>
      <c r="G256" s="127" t="n"/>
      <c r="H256" s="127" t="n"/>
      <c r="I256" s="133" t="n"/>
      <c r="J256" s="134" t="n"/>
      <c r="K256" s="129">
        <f>IF($E256="","",COUNTIFS(EMP_Membre,$E256,EMP_Retour,""))</f>
        <v/>
      </c>
      <c r="L256" s="129">
        <f>IF($E256="","",COUNTIFS(EMP_Membre,$E256,EMP_Statut,"En retard"))</f>
        <v/>
      </c>
      <c r="M256" s="135">
        <f>IF($E256="","",SUMIFS(EMP_Amende,EMP_Membre,$E256,EMP_Paye,"&lt;&gt;Oui"))</f>
        <v/>
      </c>
      <c r="N256" s="130">
        <f>IF($E256="","",IF($L256&gt;0,"En retard",IF($K256&gt;=P_Max,"Limite atteinte","Actif")))</f>
        <v/>
      </c>
      <c r="P256">
        <f>IF(OR(Q_Rech="",$E256=""),"",IF(ISNUMBER(SEARCH(Q_Rech,$E256&amp;" "&amp;$F256&amp;" "&amp;$H256)),COUNT($P$6:$P255)+1,""))</f>
        <v/>
      </c>
    </row>
    <row r="257" ht="21" customHeight="1">
      <c r="A257" s="1" t="n"/>
      <c r="B257" s="1" t="n"/>
      <c r="C257" s="2" t="n"/>
      <c r="E257" s="127" t="n"/>
      <c r="F257" s="127" t="n"/>
      <c r="G257" s="127" t="n"/>
      <c r="H257" s="127" t="n"/>
      <c r="I257" s="133" t="n"/>
      <c r="J257" s="134" t="n"/>
      <c r="K257" s="129">
        <f>IF($E257="","",COUNTIFS(EMP_Membre,$E257,EMP_Retour,""))</f>
        <v/>
      </c>
      <c r="L257" s="129">
        <f>IF($E257="","",COUNTIFS(EMP_Membre,$E257,EMP_Statut,"En retard"))</f>
        <v/>
      </c>
      <c r="M257" s="135">
        <f>IF($E257="","",SUMIFS(EMP_Amende,EMP_Membre,$E257,EMP_Paye,"&lt;&gt;Oui"))</f>
        <v/>
      </c>
      <c r="N257" s="130">
        <f>IF($E257="","",IF($L257&gt;0,"En retard",IF($K257&gt;=P_Max,"Limite atteinte","Actif")))</f>
        <v/>
      </c>
      <c r="P257">
        <f>IF(OR(Q_Rech="",$E257=""),"",IF(ISNUMBER(SEARCH(Q_Rech,$E257&amp;" "&amp;$F257&amp;" "&amp;$H257)),COUNT($P$6:$P256)+1,""))</f>
        <v/>
      </c>
    </row>
    <row r="258" ht="21" customHeight="1">
      <c r="A258" s="1" t="n"/>
      <c r="B258" s="1" t="n"/>
      <c r="C258" s="2" t="n"/>
      <c r="E258" s="127" t="n"/>
      <c r="F258" s="127" t="n"/>
      <c r="G258" s="127" t="n"/>
      <c r="H258" s="127" t="n"/>
      <c r="I258" s="133" t="n"/>
      <c r="J258" s="134" t="n"/>
      <c r="K258" s="129">
        <f>IF($E258="","",COUNTIFS(EMP_Membre,$E258,EMP_Retour,""))</f>
        <v/>
      </c>
      <c r="L258" s="129">
        <f>IF($E258="","",COUNTIFS(EMP_Membre,$E258,EMP_Statut,"En retard"))</f>
        <v/>
      </c>
      <c r="M258" s="135">
        <f>IF($E258="","",SUMIFS(EMP_Amende,EMP_Membre,$E258,EMP_Paye,"&lt;&gt;Oui"))</f>
        <v/>
      </c>
      <c r="N258" s="130">
        <f>IF($E258="","",IF($L258&gt;0,"En retard",IF($K258&gt;=P_Max,"Limite atteinte","Actif")))</f>
        <v/>
      </c>
      <c r="P258">
        <f>IF(OR(Q_Rech="",$E258=""),"",IF(ISNUMBER(SEARCH(Q_Rech,$E258&amp;" "&amp;$F258&amp;" "&amp;$H258)),COUNT($P$6:$P257)+1,""))</f>
        <v/>
      </c>
    </row>
    <row r="259" ht="21" customHeight="1">
      <c r="A259" s="1" t="n"/>
      <c r="B259" s="1" t="n"/>
      <c r="C259" s="2" t="n"/>
      <c r="E259" s="127" t="n"/>
      <c r="F259" s="127" t="n"/>
      <c r="G259" s="127" t="n"/>
      <c r="H259" s="127" t="n"/>
      <c r="I259" s="133" t="n"/>
      <c r="J259" s="134" t="n"/>
      <c r="K259" s="129">
        <f>IF($E259="","",COUNTIFS(EMP_Membre,$E259,EMP_Retour,""))</f>
        <v/>
      </c>
      <c r="L259" s="129">
        <f>IF($E259="","",COUNTIFS(EMP_Membre,$E259,EMP_Statut,"En retard"))</f>
        <v/>
      </c>
      <c r="M259" s="135">
        <f>IF($E259="","",SUMIFS(EMP_Amende,EMP_Membre,$E259,EMP_Paye,"&lt;&gt;Oui"))</f>
        <v/>
      </c>
      <c r="N259" s="130">
        <f>IF($E259="","",IF($L259&gt;0,"En retard",IF($K259&gt;=P_Max,"Limite atteinte","Actif")))</f>
        <v/>
      </c>
      <c r="P259">
        <f>IF(OR(Q_Rech="",$E259=""),"",IF(ISNUMBER(SEARCH(Q_Rech,$E259&amp;" "&amp;$F259&amp;" "&amp;$H259)),COUNT($P$6:$P258)+1,""))</f>
        <v/>
      </c>
    </row>
    <row r="260" ht="21" customHeight="1">
      <c r="A260" s="1" t="n"/>
      <c r="B260" s="1" t="n"/>
      <c r="C260" s="2" t="n"/>
      <c r="E260" s="127" t="n"/>
      <c r="F260" s="127" t="n"/>
      <c r="G260" s="127" t="n"/>
      <c r="H260" s="127" t="n"/>
      <c r="I260" s="133" t="n"/>
      <c r="J260" s="134" t="n"/>
      <c r="K260" s="129">
        <f>IF($E260="","",COUNTIFS(EMP_Membre,$E260,EMP_Retour,""))</f>
        <v/>
      </c>
      <c r="L260" s="129">
        <f>IF($E260="","",COUNTIFS(EMP_Membre,$E260,EMP_Statut,"En retard"))</f>
        <v/>
      </c>
      <c r="M260" s="135">
        <f>IF($E260="","",SUMIFS(EMP_Amende,EMP_Membre,$E260,EMP_Paye,"&lt;&gt;Oui"))</f>
        <v/>
      </c>
      <c r="N260" s="130">
        <f>IF($E260="","",IF($L260&gt;0,"En retard",IF($K260&gt;=P_Max,"Limite atteinte","Actif")))</f>
        <v/>
      </c>
      <c r="P260">
        <f>IF(OR(Q_Rech="",$E260=""),"",IF(ISNUMBER(SEARCH(Q_Rech,$E260&amp;" "&amp;$F260&amp;" "&amp;$H260)),COUNT($P$6:$P259)+1,""))</f>
        <v/>
      </c>
    </row>
    <row r="261" ht="21" customHeight="1">
      <c r="A261" s="1" t="n"/>
      <c r="B261" s="1" t="n"/>
      <c r="C261" s="2" t="n"/>
      <c r="E261" s="127" t="n"/>
      <c r="F261" s="127" t="n"/>
      <c r="G261" s="127" t="n"/>
      <c r="H261" s="127" t="n"/>
      <c r="I261" s="133" t="n"/>
      <c r="J261" s="134" t="n"/>
      <c r="K261" s="129">
        <f>IF($E261="","",COUNTIFS(EMP_Membre,$E261,EMP_Retour,""))</f>
        <v/>
      </c>
      <c r="L261" s="129">
        <f>IF($E261="","",COUNTIFS(EMP_Membre,$E261,EMP_Statut,"En retard"))</f>
        <v/>
      </c>
      <c r="M261" s="135">
        <f>IF($E261="","",SUMIFS(EMP_Amende,EMP_Membre,$E261,EMP_Paye,"&lt;&gt;Oui"))</f>
        <v/>
      </c>
      <c r="N261" s="130">
        <f>IF($E261="","",IF($L261&gt;0,"En retard",IF($K261&gt;=P_Max,"Limite atteinte","Actif")))</f>
        <v/>
      </c>
      <c r="P261">
        <f>IF(OR(Q_Rech="",$E261=""),"",IF(ISNUMBER(SEARCH(Q_Rech,$E261&amp;" "&amp;$F261&amp;" "&amp;$H261)),COUNT($P$6:$P260)+1,""))</f>
        <v/>
      </c>
    </row>
    <row r="262" ht="21" customHeight="1">
      <c r="A262" s="1" t="n"/>
      <c r="B262" s="1" t="n"/>
      <c r="C262" s="2" t="n"/>
      <c r="E262" s="127" t="n"/>
      <c r="F262" s="127" t="n"/>
      <c r="G262" s="127" t="n"/>
      <c r="H262" s="127" t="n"/>
      <c r="I262" s="133" t="n"/>
      <c r="J262" s="134" t="n"/>
      <c r="K262" s="129">
        <f>IF($E262="","",COUNTIFS(EMP_Membre,$E262,EMP_Retour,""))</f>
        <v/>
      </c>
      <c r="L262" s="129">
        <f>IF($E262="","",COUNTIFS(EMP_Membre,$E262,EMP_Statut,"En retard"))</f>
        <v/>
      </c>
      <c r="M262" s="135">
        <f>IF($E262="","",SUMIFS(EMP_Amende,EMP_Membre,$E262,EMP_Paye,"&lt;&gt;Oui"))</f>
        <v/>
      </c>
      <c r="N262" s="130">
        <f>IF($E262="","",IF($L262&gt;0,"En retard",IF($K262&gt;=P_Max,"Limite atteinte","Actif")))</f>
        <v/>
      </c>
      <c r="P262">
        <f>IF(OR(Q_Rech="",$E262=""),"",IF(ISNUMBER(SEARCH(Q_Rech,$E262&amp;" "&amp;$F262&amp;" "&amp;$H262)),COUNT($P$6:$P261)+1,""))</f>
        <v/>
      </c>
    </row>
    <row r="263" ht="21" customHeight="1">
      <c r="A263" s="1" t="n"/>
      <c r="B263" s="1" t="n"/>
      <c r="C263" s="2" t="n"/>
      <c r="E263" s="127" t="n"/>
      <c r="F263" s="127" t="n"/>
      <c r="G263" s="127" t="n"/>
      <c r="H263" s="127" t="n"/>
      <c r="I263" s="133" t="n"/>
      <c r="J263" s="134" t="n"/>
      <c r="K263" s="129">
        <f>IF($E263="","",COUNTIFS(EMP_Membre,$E263,EMP_Retour,""))</f>
        <v/>
      </c>
      <c r="L263" s="129">
        <f>IF($E263="","",COUNTIFS(EMP_Membre,$E263,EMP_Statut,"En retard"))</f>
        <v/>
      </c>
      <c r="M263" s="135">
        <f>IF($E263="","",SUMIFS(EMP_Amende,EMP_Membre,$E263,EMP_Paye,"&lt;&gt;Oui"))</f>
        <v/>
      </c>
      <c r="N263" s="130">
        <f>IF($E263="","",IF($L263&gt;0,"En retard",IF($K263&gt;=P_Max,"Limite atteinte","Actif")))</f>
        <v/>
      </c>
      <c r="P263">
        <f>IF(OR(Q_Rech="",$E263=""),"",IF(ISNUMBER(SEARCH(Q_Rech,$E263&amp;" "&amp;$F263&amp;" "&amp;$H263)),COUNT($P$6:$P262)+1,""))</f>
        <v/>
      </c>
    </row>
    <row r="264" ht="21" customHeight="1">
      <c r="A264" s="1" t="n"/>
      <c r="B264" s="1" t="n"/>
      <c r="C264" s="2" t="n"/>
      <c r="E264" s="127" t="n"/>
      <c r="F264" s="127" t="n"/>
      <c r="G264" s="127" t="n"/>
      <c r="H264" s="127" t="n"/>
      <c r="I264" s="133" t="n"/>
      <c r="J264" s="134" t="n"/>
      <c r="K264" s="129">
        <f>IF($E264="","",COUNTIFS(EMP_Membre,$E264,EMP_Retour,""))</f>
        <v/>
      </c>
      <c r="L264" s="129">
        <f>IF($E264="","",COUNTIFS(EMP_Membre,$E264,EMP_Statut,"En retard"))</f>
        <v/>
      </c>
      <c r="M264" s="135">
        <f>IF($E264="","",SUMIFS(EMP_Amende,EMP_Membre,$E264,EMP_Paye,"&lt;&gt;Oui"))</f>
        <v/>
      </c>
      <c r="N264" s="130">
        <f>IF($E264="","",IF($L264&gt;0,"En retard",IF($K264&gt;=P_Max,"Limite atteinte","Actif")))</f>
        <v/>
      </c>
      <c r="P264">
        <f>IF(OR(Q_Rech="",$E264=""),"",IF(ISNUMBER(SEARCH(Q_Rech,$E264&amp;" "&amp;$F264&amp;" "&amp;$H264)),COUNT($P$6:$P263)+1,""))</f>
        <v/>
      </c>
    </row>
    <row r="265" ht="21" customHeight="1">
      <c r="A265" s="1" t="n"/>
      <c r="B265" s="1" t="n"/>
      <c r="C265" s="2" t="n"/>
      <c r="E265" s="127" t="n"/>
      <c r="F265" s="127" t="n"/>
      <c r="G265" s="127" t="n"/>
      <c r="H265" s="127" t="n"/>
      <c r="I265" s="133" t="n"/>
      <c r="J265" s="134" t="n"/>
      <c r="K265" s="129">
        <f>IF($E265="","",COUNTIFS(EMP_Membre,$E265,EMP_Retour,""))</f>
        <v/>
      </c>
      <c r="L265" s="129">
        <f>IF($E265="","",COUNTIFS(EMP_Membre,$E265,EMP_Statut,"En retard"))</f>
        <v/>
      </c>
      <c r="M265" s="135">
        <f>IF($E265="","",SUMIFS(EMP_Amende,EMP_Membre,$E265,EMP_Paye,"&lt;&gt;Oui"))</f>
        <v/>
      </c>
      <c r="N265" s="130">
        <f>IF($E265="","",IF($L265&gt;0,"En retard",IF($K265&gt;=P_Max,"Limite atteinte","Actif")))</f>
        <v/>
      </c>
      <c r="P265">
        <f>IF(OR(Q_Rech="",$E265=""),"",IF(ISNUMBER(SEARCH(Q_Rech,$E265&amp;" "&amp;$F265&amp;" "&amp;$H265)),COUNT($P$6:$P264)+1,""))</f>
        <v/>
      </c>
    </row>
    <row r="266" ht="21" customHeight="1">
      <c r="A266" s="1" t="n"/>
      <c r="B266" s="1" t="n"/>
      <c r="C266" s="2" t="n"/>
      <c r="E266" s="127" t="n"/>
      <c r="F266" s="127" t="n"/>
      <c r="G266" s="127" t="n"/>
      <c r="H266" s="127" t="n"/>
      <c r="I266" s="133" t="n"/>
      <c r="J266" s="134" t="n"/>
      <c r="K266" s="129">
        <f>IF($E266="","",COUNTIFS(EMP_Membre,$E266,EMP_Retour,""))</f>
        <v/>
      </c>
      <c r="L266" s="129">
        <f>IF($E266="","",COUNTIFS(EMP_Membre,$E266,EMP_Statut,"En retard"))</f>
        <v/>
      </c>
      <c r="M266" s="135">
        <f>IF($E266="","",SUMIFS(EMP_Amende,EMP_Membre,$E266,EMP_Paye,"&lt;&gt;Oui"))</f>
        <v/>
      </c>
      <c r="N266" s="130">
        <f>IF($E266="","",IF($L266&gt;0,"En retard",IF($K266&gt;=P_Max,"Limite atteinte","Actif")))</f>
        <v/>
      </c>
      <c r="P266">
        <f>IF(OR(Q_Rech="",$E266=""),"",IF(ISNUMBER(SEARCH(Q_Rech,$E266&amp;" "&amp;$F266&amp;" "&amp;$H266)),COUNT($P$6:$P265)+1,""))</f>
        <v/>
      </c>
    </row>
    <row r="267" ht="21" customHeight="1">
      <c r="A267" s="1" t="n"/>
      <c r="B267" s="1" t="n"/>
      <c r="C267" s="2" t="n"/>
      <c r="E267" s="127" t="n"/>
      <c r="F267" s="127" t="n"/>
      <c r="G267" s="127" t="n"/>
      <c r="H267" s="127" t="n"/>
      <c r="I267" s="133" t="n"/>
      <c r="J267" s="134" t="n"/>
      <c r="K267" s="129">
        <f>IF($E267="","",COUNTIFS(EMP_Membre,$E267,EMP_Retour,""))</f>
        <v/>
      </c>
      <c r="L267" s="129">
        <f>IF($E267="","",COUNTIFS(EMP_Membre,$E267,EMP_Statut,"En retard"))</f>
        <v/>
      </c>
      <c r="M267" s="135">
        <f>IF($E267="","",SUMIFS(EMP_Amende,EMP_Membre,$E267,EMP_Paye,"&lt;&gt;Oui"))</f>
        <v/>
      </c>
      <c r="N267" s="130">
        <f>IF($E267="","",IF($L267&gt;0,"En retard",IF($K267&gt;=P_Max,"Limite atteinte","Actif")))</f>
        <v/>
      </c>
      <c r="P267">
        <f>IF(OR(Q_Rech="",$E267=""),"",IF(ISNUMBER(SEARCH(Q_Rech,$E267&amp;" "&amp;$F267&amp;" "&amp;$H267)),COUNT($P$6:$P266)+1,""))</f>
        <v/>
      </c>
    </row>
    <row r="268" ht="21" customHeight="1">
      <c r="A268" s="1" t="n"/>
      <c r="B268" s="1" t="n"/>
      <c r="C268" s="2" t="n"/>
      <c r="E268" s="127" t="n"/>
      <c r="F268" s="127" t="n"/>
      <c r="G268" s="127" t="n"/>
      <c r="H268" s="127" t="n"/>
      <c r="I268" s="133" t="n"/>
      <c r="J268" s="134" t="n"/>
      <c r="K268" s="129">
        <f>IF($E268="","",COUNTIFS(EMP_Membre,$E268,EMP_Retour,""))</f>
        <v/>
      </c>
      <c r="L268" s="129">
        <f>IF($E268="","",COUNTIFS(EMP_Membre,$E268,EMP_Statut,"En retard"))</f>
        <v/>
      </c>
      <c r="M268" s="135">
        <f>IF($E268="","",SUMIFS(EMP_Amende,EMP_Membre,$E268,EMP_Paye,"&lt;&gt;Oui"))</f>
        <v/>
      </c>
      <c r="N268" s="130">
        <f>IF($E268="","",IF($L268&gt;0,"En retard",IF($K268&gt;=P_Max,"Limite atteinte","Actif")))</f>
        <v/>
      </c>
      <c r="P268">
        <f>IF(OR(Q_Rech="",$E268=""),"",IF(ISNUMBER(SEARCH(Q_Rech,$E268&amp;" "&amp;$F268&amp;" "&amp;$H268)),COUNT($P$6:$P267)+1,""))</f>
        <v/>
      </c>
    </row>
    <row r="269" ht="21" customHeight="1">
      <c r="A269" s="1" t="n"/>
      <c r="B269" s="1" t="n"/>
      <c r="C269" s="2" t="n"/>
      <c r="E269" s="127" t="n"/>
      <c r="F269" s="127" t="n"/>
      <c r="G269" s="127" t="n"/>
      <c r="H269" s="127" t="n"/>
      <c r="I269" s="133" t="n"/>
      <c r="J269" s="134" t="n"/>
      <c r="K269" s="129">
        <f>IF($E269="","",COUNTIFS(EMP_Membre,$E269,EMP_Retour,""))</f>
        <v/>
      </c>
      <c r="L269" s="129">
        <f>IF($E269="","",COUNTIFS(EMP_Membre,$E269,EMP_Statut,"En retard"))</f>
        <v/>
      </c>
      <c r="M269" s="135">
        <f>IF($E269="","",SUMIFS(EMP_Amende,EMP_Membre,$E269,EMP_Paye,"&lt;&gt;Oui"))</f>
        <v/>
      </c>
      <c r="N269" s="130">
        <f>IF($E269="","",IF($L269&gt;0,"En retard",IF($K269&gt;=P_Max,"Limite atteinte","Actif")))</f>
        <v/>
      </c>
      <c r="P269">
        <f>IF(OR(Q_Rech="",$E269=""),"",IF(ISNUMBER(SEARCH(Q_Rech,$E269&amp;" "&amp;$F269&amp;" "&amp;$H269)),COUNT($P$6:$P268)+1,""))</f>
        <v/>
      </c>
    </row>
    <row r="270" ht="21" customHeight="1">
      <c r="A270" s="1" t="n"/>
      <c r="B270" s="1" t="n"/>
      <c r="C270" s="2" t="n"/>
      <c r="E270" s="127" t="n"/>
      <c r="F270" s="127" t="n"/>
      <c r="G270" s="127" t="n"/>
      <c r="H270" s="127" t="n"/>
      <c r="I270" s="133" t="n"/>
      <c r="J270" s="134" t="n"/>
      <c r="K270" s="129">
        <f>IF($E270="","",COUNTIFS(EMP_Membre,$E270,EMP_Retour,""))</f>
        <v/>
      </c>
      <c r="L270" s="129">
        <f>IF($E270="","",COUNTIFS(EMP_Membre,$E270,EMP_Statut,"En retard"))</f>
        <v/>
      </c>
      <c r="M270" s="135">
        <f>IF($E270="","",SUMIFS(EMP_Amende,EMP_Membre,$E270,EMP_Paye,"&lt;&gt;Oui"))</f>
        <v/>
      </c>
      <c r="N270" s="130">
        <f>IF($E270="","",IF($L270&gt;0,"En retard",IF($K270&gt;=P_Max,"Limite atteinte","Actif")))</f>
        <v/>
      </c>
      <c r="P270">
        <f>IF(OR(Q_Rech="",$E270=""),"",IF(ISNUMBER(SEARCH(Q_Rech,$E270&amp;" "&amp;$F270&amp;" "&amp;$H270)),COUNT($P$6:$P269)+1,""))</f>
        <v/>
      </c>
    </row>
    <row r="271" ht="21" customHeight="1">
      <c r="A271" s="1" t="n"/>
      <c r="B271" s="1" t="n"/>
      <c r="C271" s="2" t="n"/>
      <c r="E271" s="127" t="n"/>
      <c r="F271" s="127" t="n"/>
      <c r="G271" s="127" t="n"/>
      <c r="H271" s="127" t="n"/>
      <c r="I271" s="133" t="n"/>
      <c r="J271" s="134" t="n"/>
      <c r="K271" s="129">
        <f>IF($E271="","",COUNTIFS(EMP_Membre,$E271,EMP_Retour,""))</f>
        <v/>
      </c>
      <c r="L271" s="129">
        <f>IF($E271="","",COUNTIFS(EMP_Membre,$E271,EMP_Statut,"En retard"))</f>
        <v/>
      </c>
      <c r="M271" s="135">
        <f>IF($E271="","",SUMIFS(EMP_Amende,EMP_Membre,$E271,EMP_Paye,"&lt;&gt;Oui"))</f>
        <v/>
      </c>
      <c r="N271" s="130">
        <f>IF($E271="","",IF($L271&gt;0,"En retard",IF($K271&gt;=P_Max,"Limite atteinte","Actif")))</f>
        <v/>
      </c>
      <c r="P271">
        <f>IF(OR(Q_Rech="",$E271=""),"",IF(ISNUMBER(SEARCH(Q_Rech,$E271&amp;" "&amp;$F271&amp;" "&amp;$H271)),COUNT($P$6:$P270)+1,""))</f>
        <v/>
      </c>
    </row>
    <row r="272" ht="21" customHeight="1">
      <c r="A272" s="1" t="n"/>
      <c r="B272" s="1" t="n"/>
      <c r="C272" s="2" t="n"/>
      <c r="E272" s="127" t="n"/>
      <c r="F272" s="127" t="n"/>
      <c r="G272" s="127" t="n"/>
      <c r="H272" s="127" t="n"/>
      <c r="I272" s="133" t="n"/>
      <c r="J272" s="134" t="n"/>
      <c r="K272" s="129">
        <f>IF($E272="","",COUNTIFS(EMP_Membre,$E272,EMP_Retour,""))</f>
        <v/>
      </c>
      <c r="L272" s="129">
        <f>IF($E272="","",COUNTIFS(EMP_Membre,$E272,EMP_Statut,"En retard"))</f>
        <v/>
      </c>
      <c r="M272" s="135">
        <f>IF($E272="","",SUMIFS(EMP_Amende,EMP_Membre,$E272,EMP_Paye,"&lt;&gt;Oui"))</f>
        <v/>
      </c>
      <c r="N272" s="130">
        <f>IF($E272="","",IF($L272&gt;0,"En retard",IF($K272&gt;=P_Max,"Limite atteinte","Actif")))</f>
        <v/>
      </c>
      <c r="P272">
        <f>IF(OR(Q_Rech="",$E272=""),"",IF(ISNUMBER(SEARCH(Q_Rech,$E272&amp;" "&amp;$F272&amp;" "&amp;$H272)),COUNT($P$6:$P271)+1,""))</f>
        <v/>
      </c>
    </row>
    <row r="273" ht="21" customHeight="1">
      <c r="A273" s="1" t="n"/>
      <c r="B273" s="1" t="n"/>
      <c r="C273" s="2" t="n"/>
      <c r="E273" s="127" t="n"/>
      <c r="F273" s="127" t="n"/>
      <c r="G273" s="127" t="n"/>
      <c r="H273" s="127" t="n"/>
      <c r="I273" s="133" t="n"/>
      <c r="J273" s="134" t="n"/>
      <c r="K273" s="129">
        <f>IF($E273="","",COUNTIFS(EMP_Membre,$E273,EMP_Retour,""))</f>
        <v/>
      </c>
      <c r="L273" s="129">
        <f>IF($E273="","",COUNTIFS(EMP_Membre,$E273,EMP_Statut,"En retard"))</f>
        <v/>
      </c>
      <c r="M273" s="135">
        <f>IF($E273="","",SUMIFS(EMP_Amende,EMP_Membre,$E273,EMP_Paye,"&lt;&gt;Oui"))</f>
        <v/>
      </c>
      <c r="N273" s="130">
        <f>IF($E273="","",IF($L273&gt;0,"En retard",IF($K273&gt;=P_Max,"Limite atteinte","Actif")))</f>
        <v/>
      </c>
      <c r="P273">
        <f>IF(OR(Q_Rech="",$E273=""),"",IF(ISNUMBER(SEARCH(Q_Rech,$E273&amp;" "&amp;$F273&amp;" "&amp;$H273)),COUNT($P$6:$P272)+1,""))</f>
        <v/>
      </c>
    </row>
    <row r="274" ht="21" customHeight="1">
      <c r="A274" s="1" t="n"/>
      <c r="B274" s="1" t="n"/>
      <c r="C274" s="2" t="n"/>
      <c r="E274" s="127" t="n"/>
      <c r="F274" s="127" t="n"/>
      <c r="G274" s="127" t="n"/>
      <c r="H274" s="127" t="n"/>
      <c r="I274" s="133" t="n"/>
      <c r="J274" s="134" t="n"/>
      <c r="K274" s="129">
        <f>IF($E274="","",COUNTIFS(EMP_Membre,$E274,EMP_Retour,""))</f>
        <v/>
      </c>
      <c r="L274" s="129">
        <f>IF($E274="","",COUNTIFS(EMP_Membre,$E274,EMP_Statut,"En retard"))</f>
        <v/>
      </c>
      <c r="M274" s="135">
        <f>IF($E274="","",SUMIFS(EMP_Amende,EMP_Membre,$E274,EMP_Paye,"&lt;&gt;Oui"))</f>
        <v/>
      </c>
      <c r="N274" s="130">
        <f>IF($E274="","",IF($L274&gt;0,"En retard",IF($K274&gt;=P_Max,"Limite atteinte","Actif")))</f>
        <v/>
      </c>
      <c r="P274">
        <f>IF(OR(Q_Rech="",$E274=""),"",IF(ISNUMBER(SEARCH(Q_Rech,$E274&amp;" "&amp;$F274&amp;" "&amp;$H274)),COUNT($P$6:$P273)+1,""))</f>
        <v/>
      </c>
    </row>
    <row r="275" ht="21" customHeight="1">
      <c r="A275" s="1" t="n"/>
      <c r="B275" s="1" t="n"/>
      <c r="C275" s="2" t="n"/>
      <c r="E275" s="127" t="n"/>
      <c r="F275" s="127" t="n"/>
      <c r="G275" s="127" t="n"/>
      <c r="H275" s="127" t="n"/>
      <c r="I275" s="133" t="n"/>
      <c r="J275" s="134" t="n"/>
      <c r="K275" s="129">
        <f>IF($E275="","",COUNTIFS(EMP_Membre,$E275,EMP_Retour,""))</f>
        <v/>
      </c>
      <c r="L275" s="129">
        <f>IF($E275="","",COUNTIFS(EMP_Membre,$E275,EMP_Statut,"En retard"))</f>
        <v/>
      </c>
      <c r="M275" s="135">
        <f>IF($E275="","",SUMIFS(EMP_Amende,EMP_Membre,$E275,EMP_Paye,"&lt;&gt;Oui"))</f>
        <v/>
      </c>
      <c r="N275" s="130">
        <f>IF($E275="","",IF($L275&gt;0,"En retard",IF($K275&gt;=P_Max,"Limite atteinte","Actif")))</f>
        <v/>
      </c>
      <c r="P275">
        <f>IF(OR(Q_Rech="",$E275=""),"",IF(ISNUMBER(SEARCH(Q_Rech,$E275&amp;" "&amp;$F275&amp;" "&amp;$H275)),COUNT($P$6:$P274)+1,""))</f>
        <v/>
      </c>
    </row>
    <row r="276" ht="21" customHeight="1">
      <c r="A276" s="1" t="n"/>
      <c r="B276" s="1" t="n"/>
      <c r="C276" s="2" t="n"/>
      <c r="E276" s="127" t="n"/>
      <c r="F276" s="127" t="n"/>
      <c r="G276" s="127" t="n"/>
      <c r="H276" s="127" t="n"/>
      <c r="I276" s="133" t="n"/>
      <c r="J276" s="134" t="n"/>
      <c r="K276" s="129">
        <f>IF($E276="","",COUNTIFS(EMP_Membre,$E276,EMP_Retour,""))</f>
        <v/>
      </c>
      <c r="L276" s="129">
        <f>IF($E276="","",COUNTIFS(EMP_Membre,$E276,EMP_Statut,"En retard"))</f>
        <v/>
      </c>
      <c r="M276" s="135">
        <f>IF($E276="","",SUMIFS(EMP_Amende,EMP_Membre,$E276,EMP_Paye,"&lt;&gt;Oui"))</f>
        <v/>
      </c>
      <c r="N276" s="130">
        <f>IF($E276="","",IF($L276&gt;0,"En retard",IF($K276&gt;=P_Max,"Limite atteinte","Actif")))</f>
        <v/>
      </c>
      <c r="P276">
        <f>IF(OR(Q_Rech="",$E276=""),"",IF(ISNUMBER(SEARCH(Q_Rech,$E276&amp;" "&amp;$F276&amp;" "&amp;$H276)),COUNT($P$6:$P275)+1,""))</f>
        <v/>
      </c>
    </row>
    <row r="277" ht="21" customHeight="1">
      <c r="A277" s="1" t="n"/>
      <c r="B277" s="1" t="n"/>
      <c r="C277" s="2" t="n"/>
      <c r="E277" s="127" t="n"/>
      <c r="F277" s="127" t="n"/>
      <c r="G277" s="127" t="n"/>
      <c r="H277" s="127" t="n"/>
      <c r="I277" s="133" t="n"/>
      <c r="J277" s="134" t="n"/>
      <c r="K277" s="129">
        <f>IF($E277="","",COUNTIFS(EMP_Membre,$E277,EMP_Retour,""))</f>
        <v/>
      </c>
      <c r="L277" s="129">
        <f>IF($E277="","",COUNTIFS(EMP_Membre,$E277,EMP_Statut,"En retard"))</f>
        <v/>
      </c>
      <c r="M277" s="135">
        <f>IF($E277="","",SUMIFS(EMP_Amende,EMP_Membre,$E277,EMP_Paye,"&lt;&gt;Oui"))</f>
        <v/>
      </c>
      <c r="N277" s="130">
        <f>IF($E277="","",IF($L277&gt;0,"En retard",IF($K277&gt;=P_Max,"Limite atteinte","Actif")))</f>
        <v/>
      </c>
      <c r="P277">
        <f>IF(OR(Q_Rech="",$E277=""),"",IF(ISNUMBER(SEARCH(Q_Rech,$E277&amp;" "&amp;$F277&amp;" "&amp;$H277)),COUNT($P$6:$P276)+1,""))</f>
        <v/>
      </c>
    </row>
    <row r="278" ht="21" customHeight="1">
      <c r="A278" s="1" t="n"/>
      <c r="B278" s="1" t="n"/>
      <c r="C278" s="2" t="n"/>
      <c r="E278" s="127" t="n"/>
      <c r="F278" s="127" t="n"/>
      <c r="G278" s="127" t="n"/>
      <c r="H278" s="127" t="n"/>
      <c r="I278" s="133" t="n"/>
      <c r="J278" s="134" t="n"/>
      <c r="K278" s="129">
        <f>IF($E278="","",COUNTIFS(EMP_Membre,$E278,EMP_Retour,""))</f>
        <v/>
      </c>
      <c r="L278" s="129">
        <f>IF($E278="","",COUNTIFS(EMP_Membre,$E278,EMP_Statut,"En retard"))</f>
        <v/>
      </c>
      <c r="M278" s="135">
        <f>IF($E278="","",SUMIFS(EMP_Amende,EMP_Membre,$E278,EMP_Paye,"&lt;&gt;Oui"))</f>
        <v/>
      </c>
      <c r="N278" s="130">
        <f>IF($E278="","",IF($L278&gt;0,"En retard",IF($K278&gt;=P_Max,"Limite atteinte","Actif")))</f>
        <v/>
      </c>
      <c r="P278">
        <f>IF(OR(Q_Rech="",$E278=""),"",IF(ISNUMBER(SEARCH(Q_Rech,$E278&amp;" "&amp;$F278&amp;" "&amp;$H278)),COUNT($P$6:$P277)+1,""))</f>
        <v/>
      </c>
    </row>
    <row r="279" ht="21" customHeight="1">
      <c r="A279" s="1" t="n"/>
      <c r="B279" s="1" t="n"/>
      <c r="C279" s="2" t="n"/>
      <c r="E279" s="127" t="n"/>
      <c r="F279" s="127" t="n"/>
      <c r="G279" s="127" t="n"/>
      <c r="H279" s="127" t="n"/>
      <c r="I279" s="133" t="n"/>
      <c r="J279" s="134" t="n"/>
      <c r="K279" s="129">
        <f>IF($E279="","",COUNTIFS(EMP_Membre,$E279,EMP_Retour,""))</f>
        <v/>
      </c>
      <c r="L279" s="129">
        <f>IF($E279="","",COUNTIFS(EMP_Membre,$E279,EMP_Statut,"En retard"))</f>
        <v/>
      </c>
      <c r="M279" s="135">
        <f>IF($E279="","",SUMIFS(EMP_Amende,EMP_Membre,$E279,EMP_Paye,"&lt;&gt;Oui"))</f>
        <v/>
      </c>
      <c r="N279" s="130">
        <f>IF($E279="","",IF($L279&gt;0,"En retard",IF($K279&gt;=P_Max,"Limite atteinte","Actif")))</f>
        <v/>
      </c>
      <c r="P279">
        <f>IF(OR(Q_Rech="",$E279=""),"",IF(ISNUMBER(SEARCH(Q_Rech,$E279&amp;" "&amp;$F279&amp;" "&amp;$H279)),COUNT($P$6:$P278)+1,""))</f>
        <v/>
      </c>
    </row>
    <row r="280" ht="21" customHeight="1">
      <c r="A280" s="1" t="n"/>
      <c r="B280" s="1" t="n"/>
      <c r="C280" s="2" t="n"/>
      <c r="E280" s="127" t="n"/>
      <c r="F280" s="127" t="n"/>
      <c r="G280" s="127" t="n"/>
      <c r="H280" s="127" t="n"/>
      <c r="I280" s="133" t="n"/>
      <c r="J280" s="134" t="n"/>
      <c r="K280" s="129">
        <f>IF($E280="","",COUNTIFS(EMP_Membre,$E280,EMP_Retour,""))</f>
        <v/>
      </c>
      <c r="L280" s="129">
        <f>IF($E280="","",COUNTIFS(EMP_Membre,$E280,EMP_Statut,"En retard"))</f>
        <v/>
      </c>
      <c r="M280" s="135">
        <f>IF($E280="","",SUMIFS(EMP_Amende,EMP_Membre,$E280,EMP_Paye,"&lt;&gt;Oui"))</f>
        <v/>
      </c>
      <c r="N280" s="130">
        <f>IF($E280="","",IF($L280&gt;0,"En retard",IF($K280&gt;=P_Max,"Limite atteinte","Actif")))</f>
        <v/>
      </c>
      <c r="P280">
        <f>IF(OR(Q_Rech="",$E280=""),"",IF(ISNUMBER(SEARCH(Q_Rech,$E280&amp;" "&amp;$F280&amp;" "&amp;$H280)),COUNT($P$6:$P279)+1,""))</f>
        <v/>
      </c>
    </row>
    <row r="281" ht="21" customHeight="1">
      <c r="A281" s="1" t="n"/>
      <c r="B281" s="1" t="n"/>
      <c r="C281" s="2" t="n"/>
      <c r="E281" s="127" t="n"/>
      <c r="F281" s="127" t="n"/>
      <c r="G281" s="127" t="n"/>
      <c r="H281" s="127" t="n"/>
      <c r="I281" s="133" t="n"/>
      <c r="J281" s="134" t="n"/>
      <c r="K281" s="129">
        <f>IF($E281="","",COUNTIFS(EMP_Membre,$E281,EMP_Retour,""))</f>
        <v/>
      </c>
      <c r="L281" s="129">
        <f>IF($E281="","",COUNTIFS(EMP_Membre,$E281,EMP_Statut,"En retard"))</f>
        <v/>
      </c>
      <c r="M281" s="135">
        <f>IF($E281="","",SUMIFS(EMP_Amende,EMP_Membre,$E281,EMP_Paye,"&lt;&gt;Oui"))</f>
        <v/>
      </c>
      <c r="N281" s="130">
        <f>IF($E281="","",IF($L281&gt;0,"En retard",IF($K281&gt;=P_Max,"Limite atteinte","Actif")))</f>
        <v/>
      </c>
      <c r="P281">
        <f>IF(OR(Q_Rech="",$E281=""),"",IF(ISNUMBER(SEARCH(Q_Rech,$E281&amp;" "&amp;$F281&amp;" "&amp;$H281)),COUNT($P$6:$P280)+1,""))</f>
        <v/>
      </c>
    </row>
    <row r="282" ht="21" customHeight="1">
      <c r="A282" s="1" t="n"/>
      <c r="B282" s="1" t="n"/>
      <c r="C282" s="2" t="n"/>
      <c r="E282" s="127" t="n"/>
      <c r="F282" s="127" t="n"/>
      <c r="G282" s="127" t="n"/>
      <c r="H282" s="127" t="n"/>
      <c r="I282" s="133" t="n"/>
      <c r="J282" s="134" t="n"/>
      <c r="K282" s="129">
        <f>IF($E282="","",COUNTIFS(EMP_Membre,$E282,EMP_Retour,""))</f>
        <v/>
      </c>
      <c r="L282" s="129">
        <f>IF($E282="","",COUNTIFS(EMP_Membre,$E282,EMP_Statut,"En retard"))</f>
        <v/>
      </c>
      <c r="M282" s="135">
        <f>IF($E282="","",SUMIFS(EMP_Amende,EMP_Membre,$E282,EMP_Paye,"&lt;&gt;Oui"))</f>
        <v/>
      </c>
      <c r="N282" s="130">
        <f>IF($E282="","",IF($L282&gt;0,"En retard",IF($K282&gt;=P_Max,"Limite atteinte","Actif")))</f>
        <v/>
      </c>
      <c r="P282">
        <f>IF(OR(Q_Rech="",$E282=""),"",IF(ISNUMBER(SEARCH(Q_Rech,$E282&amp;" "&amp;$F282&amp;" "&amp;$H282)),COUNT($P$6:$P281)+1,""))</f>
        <v/>
      </c>
    </row>
    <row r="283" ht="21" customHeight="1">
      <c r="A283" s="1" t="n"/>
      <c r="B283" s="1" t="n"/>
      <c r="C283" s="2" t="n"/>
      <c r="E283" s="127" t="n"/>
      <c r="F283" s="127" t="n"/>
      <c r="G283" s="127" t="n"/>
      <c r="H283" s="127" t="n"/>
      <c r="I283" s="133" t="n"/>
      <c r="J283" s="134" t="n"/>
      <c r="K283" s="129">
        <f>IF($E283="","",COUNTIFS(EMP_Membre,$E283,EMP_Retour,""))</f>
        <v/>
      </c>
      <c r="L283" s="129">
        <f>IF($E283="","",COUNTIFS(EMP_Membre,$E283,EMP_Statut,"En retard"))</f>
        <v/>
      </c>
      <c r="M283" s="135">
        <f>IF($E283="","",SUMIFS(EMP_Amende,EMP_Membre,$E283,EMP_Paye,"&lt;&gt;Oui"))</f>
        <v/>
      </c>
      <c r="N283" s="130">
        <f>IF($E283="","",IF($L283&gt;0,"En retard",IF($K283&gt;=P_Max,"Limite atteinte","Actif")))</f>
        <v/>
      </c>
      <c r="P283">
        <f>IF(OR(Q_Rech="",$E283=""),"",IF(ISNUMBER(SEARCH(Q_Rech,$E283&amp;" "&amp;$F283&amp;" "&amp;$H283)),COUNT($P$6:$P282)+1,""))</f>
        <v/>
      </c>
    </row>
    <row r="284" ht="21" customHeight="1">
      <c r="A284" s="1" t="n"/>
      <c r="B284" s="1" t="n"/>
      <c r="C284" s="2" t="n"/>
      <c r="E284" s="127" t="n"/>
      <c r="F284" s="127" t="n"/>
      <c r="G284" s="127" t="n"/>
      <c r="H284" s="127" t="n"/>
      <c r="I284" s="133" t="n"/>
      <c r="J284" s="134" t="n"/>
      <c r="K284" s="129">
        <f>IF($E284="","",COUNTIFS(EMP_Membre,$E284,EMP_Retour,""))</f>
        <v/>
      </c>
      <c r="L284" s="129">
        <f>IF($E284="","",COUNTIFS(EMP_Membre,$E284,EMP_Statut,"En retard"))</f>
        <v/>
      </c>
      <c r="M284" s="135">
        <f>IF($E284="","",SUMIFS(EMP_Amende,EMP_Membre,$E284,EMP_Paye,"&lt;&gt;Oui"))</f>
        <v/>
      </c>
      <c r="N284" s="130">
        <f>IF($E284="","",IF($L284&gt;0,"En retard",IF($K284&gt;=P_Max,"Limite atteinte","Actif")))</f>
        <v/>
      </c>
      <c r="P284">
        <f>IF(OR(Q_Rech="",$E284=""),"",IF(ISNUMBER(SEARCH(Q_Rech,$E284&amp;" "&amp;$F284&amp;" "&amp;$H284)),COUNT($P$6:$P283)+1,""))</f>
        <v/>
      </c>
    </row>
    <row r="285" ht="21" customHeight="1">
      <c r="A285" s="1" t="n"/>
      <c r="B285" s="1" t="n"/>
      <c r="C285" s="2" t="n"/>
      <c r="E285" s="127" t="n"/>
      <c r="F285" s="127" t="n"/>
      <c r="G285" s="127" t="n"/>
      <c r="H285" s="127" t="n"/>
      <c r="I285" s="133" t="n"/>
      <c r="J285" s="134" t="n"/>
      <c r="K285" s="129">
        <f>IF($E285="","",COUNTIFS(EMP_Membre,$E285,EMP_Retour,""))</f>
        <v/>
      </c>
      <c r="L285" s="129">
        <f>IF($E285="","",COUNTIFS(EMP_Membre,$E285,EMP_Statut,"En retard"))</f>
        <v/>
      </c>
      <c r="M285" s="135">
        <f>IF($E285="","",SUMIFS(EMP_Amende,EMP_Membre,$E285,EMP_Paye,"&lt;&gt;Oui"))</f>
        <v/>
      </c>
      <c r="N285" s="130">
        <f>IF($E285="","",IF($L285&gt;0,"En retard",IF($K285&gt;=P_Max,"Limite atteinte","Actif")))</f>
        <v/>
      </c>
      <c r="P285">
        <f>IF(OR(Q_Rech="",$E285=""),"",IF(ISNUMBER(SEARCH(Q_Rech,$E285&amp;" "&amp;$F285&amp;" "&amp;$H285)),COUNT($P$6:$P284)+1,""))</f>
        <v/>
      </c>
    </row>
    <row r="286" ht="21" customHeight="1">
      <c r="A286" s="1" t="n"/>
      <c r="B286" s="1" t="n"/>
      <c r="C286" s="2" t="n"/>
      <c r="E286" s="127" t="n"/>
      <c r="F286" s="127" t="n"/>
      <c r="G286" s="127" t="n"/>
      <c r="H286" s="127" t="n"/>
      <c r="I286" s="133" t="n"/>
      <c r="J286" s="134" t="n"/>
      <c r="K286" s="129">
        <f>IF($E286="","",COUNTIFS(EMP_Membre,$E286,EMP_Retour,""))</f>
        <v/>
      </c>
      <c r="L286" s="129">
        <f>IF($E286="","",COUNTIFS(EMP_Membre,$E286,EMP_Statut,"En retard"))</f>
        <v/>
      </c>
      <c r="M286" s="135">
        <f>IF($E286="","",SUMIFS(EMP_Amende,EMP_Membre,$E286,EMP_Paye,"&lt;&gt;Oui"))</f>
        <v/>
      </c>
      <c r="N286" s="130">
        <f>IF($E286="","",IF($L286&gt;0,"En retard",IF($K286&gt;=P_Max,"Limite atteinte","Actif")))</f>
        <v/>
      </c>
      <c r="P286">
        <f>IF(OR(Q_Rech="",$E286=""),"",IF(ISNUMBER(SEARCH(Q_Rech,$E286&amp;" "&amp;$F286&amp;" "&amp;$H286)),COUNT($P$6:$P285)+1,""))</f>
        <v/>
      </c>
    </row>
    <row r="287" ht="21" customHeight="1">
      <c r="A287" s="1" t="n"/>
      <c r="B287" s="1" t="n"/>
      <c r="C287" s="2" t="n"/>
      <c r="E287" s="127" t="n"/>
      <c r="F287" s="127" t="n"/>
      <c r="G287" s="127" t="n"/>
      <c r="H287" s="127" t="n"/>
      <c r="I287" s="133" t="n"/>
      <c r="J287" s="134" t="n"/>
      <c r="K287" s="129">
        <f>IF($E287="","",COUNTIFS(EMP_Membre,$E287,EMP_Retour,""))</f>
        <v/>
      </c>
      <c r="L287" s="129">
        <f>IF($E287="","",COUNTIFS(EMP_Membre,$E287,EMP_Statut,"En retard"))</f>
        <v/>
      </c>
      <c r="M287" s="135">
        <f>IF($E287="","",SUMIFS(EMP_Amende,EMP_Membre,$E287,EMP_Paye,"&lt;&gt;Oui"))</f>
        <v/>
      </c>
      <c r="N287" s="130">
        <f>IF($E287="","",IF($L287&gt;0,"En retard",IF($K287&gt;=P_Max,"Limite atteinte","Actif")))</f>
        <v/>
      </c>
      <c r="P287">
        <f>IF(OR(Q_Rech="",$E287=""),"",IF(ISNUMBER(SEARCH(Q_Rech,$E287&amp;" "&amp;$F287&amp;" "&amp;$H287)),COUNT($P$6:$P286)+1,""))</f>
        <v/>
      </c>
    </row>
    <row r="288" ht="21" customHeight="1">
      <c r="A288" s="1" t="n"/>
      <c r="B288" s="1" t="n"/>
      <c r="C288" s="2" t="n"/>
      <c r="E288" s="127" t="n"/>
      <c r="F288" s="127" t="n"/>
      <c r="G288" s="127" t="n"/>
      <c r="H288" s="127" t="n"/>
      <c r="I288" s="133" t="n"/>
      <c r="J288" s="134" t="n"/>
      <c r="K288" s="129">
        <f>IF($E288="","",COUNTIFS(EMP_Membre,$E288,EMP_Retour,""))</f>
        <v/>
      </c>
      <c r="L288" s="129">
        <f>IF($E288="","",COUNTIFS(EMP_Membre,$E288,EMP_Statut,"En retard"))</f>
        <v/>
      </c>
      <c r="M288" s="135">
        <f>IF($E288="","",SUMIFS(EMP_Amende,EMP_Membre,$E288,EMP_Paye,"&lt;&gt;Oui"))</f>
        <v/>
      </c>
      <c r="N288" s="130">
        <f>IF($E288="","",IF($L288&gt;0,"En retard",IF($K288&gt;=P_Max,"Limite atteinte","Actif")))</f>
        <v/>
      </c>
      <c r="P288">
        <f>IF(OR(Q_Rech="",$E288=""),"",IF(ISNUMBER(SEARCH(Q_Rech,$E288&amp;" "&amp;$F288&amp;" "&amp;$H288)),COUNT($P$6:$P287)+1,""))</f>
        <v/>
      </c>
    </row>
    <row r="289" ht="21" customHeight="1">
      <c r="A289" s="1" t="n"/>
      <c r="B289" s="1" t="n"/>
      <c r="C289" s="2" t="n"/>
      <c r="E289" s="127" t="n"/>
      <c r="F289" s="127" t="n"/>
      <c r="G289" s="127" t="n"/>
      <c r="H289" s="127" t="n"/>
      <c r="I289" s="133" t="n"/>
      <c r="J289" s="134" t="n"/>
      <c r="K289" s="129">
        <f>IF($E289="","",COUNTIFS(EMP_Membre,$E289,EMP_Retour,""))</f>
        <v/>
      </c>
      <c r="L289" s="129">
        <f>IF($E289="","",COUNTIFS(EMP_Membre,$E289,EMP_Statut,"En retard"))</f>
        <v/>
      </c>
      <c r="M289" s="135">
        <f>IF($E289="","",SUMIFS(EMP_Amende,EMP_Membre,$E289,EMP_Paye,"&lt;&gt;Oui"))</f>
        <v/>
      </c>
      <c r="N289" s="130">
        <f>IF($E289="","",IF($L289&gt;0,"En retard",IF($K289&gt;=P_Max,"Limite atteinte","Actif")))</f>
        <v/>
      </c>
      <c r="P289">
        <f>IF(OR(Q_Rech="",$E289=""),"",IF(ISNUMBER(SEARCH(Q_Rech,$E289&amp;" "&amp;$F289&amp;" "&amp;$H289)),COUNT($P$6:$P288)+1,""))</f>
        <v/>
      </c>
    </row>
    <row r="290" ht="21" customHeight="1">
      <c r="A290" s="1" t="n"/>
      <c r="B290" s="1" t="n"/>
      <c r="C290" s="2" t="n"/>
      <c r="E290" s="127" t="n"/>
      <c r="F290" s="127" t="n"/>
      <c r="G290" s="127" t="n"/>
      <c r="H290" s="127" t="n"/>
      <c r="I290" s="133" t="n"/>
      <c r="J290" s="134" t="n"/>
      <c r="K290" s="129">
        <f>IF($E290="","",COUNTIFS(EMP_Membre,$E290,EMP_Retour,""))</f>
        <v/>
      </c>
      <c r="L290" s="129">
        <f>IF($E290="","",COUNTIFS(EMP_Membre,$E290,EMP_Statut,"En retard"))</f>
        <v/>
      </c>
      <c r="M290" s="135">
        <f>IF($E290="","",SUMIFS(EMP_Amende,EMP_Membre,$E290,EMP_Paye,"&lt;&gt;Oui"))</f>
        <v/>
      </c>
      <c r="N290" s="130">
        <f>IF($E290="","",IF($L290&gt;0,"En retard",IF($K290&gt;=P_Max,"Limite atteinte","Actif")))</f>
        <v/>
      </c>
      <c r="P290">
        <f>IF(OR(Q_Rech="",$E290=""),"",IF(ISNUMBER(SEARCH(Q_Rech,$E290&amp;" "&amp;$F290&amp;" "&amp;$H290)),COUNT($P$6:$P289)+1,""))</f>
        <v/>
      </c>
    </row>
    <row r="291" ht="21" customHeight="1">
      <c r="A291" s="1" t="n"/>
      <c r="B291" s="1" t="n"/>
      <c r="C291" s="2" t="n"/>
      <c r="E291" s="127" t="n"/>
      <c r="F291" s="127" t="n"/>
      <c r="G291" s="127" t="n"/>
      <c r="H291" s="127" t="n"/>
      <c r="I291" s="133" t="n"/>
      <c r="J291" s="134" t="n"/>
      <c r="K291" s="129">
        <f>IF($E291="","",COUNTIFS(EMP_Membre,$E291,EMP_Retour,""))</f>
        <v/>
      </c>
      <c r="L291" s="129">
        <f>IF($E291="","",COUNTIFS(EMP_Membre,$E291,EMP_Statut,"En retard"))</f>
        <v/>
      </c>
      <c r="M291" s="135">
        <f>IF($E291="","",SUMIFS(EMP_Amende,EMP_Membre,$E291,EMP_Paye,"&lt;&gt;Oui"))</f>
        <v/>
      </c>
      <c r="N291" s="130">
        <f>IF($E291="","",IF($L291&gt;0,"En retard",IF($K291&gt;=P_Max,"Limite atteinte","Actif")))</f>
        <v/>
      </c>
      <c r="P291">
        <f>IF(OR(Q_Rech="",$E291=""),"",IF(ISNUMBER(SEARCH(Q_Rech,$E291&amp;" "&amp;$F291&amp;" "&amp;$H291)),COUNT($P$6:$P290)+1,""))</f>
        <v/>
      </c>
    </row>
    <row r="292" ht="21" customHeight="1">
      <c r="A292" s="1" t="n"/>
      <c r="B292" s="1" t="n"/>
      <c r="C292" s="2" t="n"/>
      <c r="E292" s="127" t="n"/>
      <c r="F292" s="127" t="n"/>
      <c r="G292" s="127" t="n"/>
      <c r="H292" s="127" t="n"/>
      <c r="I292" s="133" t="n"/>
      <c r="J292" s="134" t="n"/>
      <c r="K292" s="129">
        <f>IF($E292="","",COUNTIFS(EMP_Membre,$E292,EMP_Retour,""))</f>
        <v/>
      </c>
      <c r="L292" s="129">
        <f>IF($E292="","",COUNTIFS(EMP_Membre,$E292,EMP_Statut,"En retard"))</f>
        <v/>
      </c>
      <c r="M292" s="135">
        <f>IF($E292="","",SUMIFS(EMP_Amende,EMP_Membre,$E292,EMP_Paye,"&lt;&gt;Oui"))</f>
        <v/>
      </c>
      <c r="N292" s="130">
        <f>IF($E292="","",IF($L292&gt;0,"En retard",IF($K292&gt;=P_Max,"Limite atteinte","Actif")))</f>
        <v/>
      </c>
      <c r="P292">
        <f>IF(OR(Q_Rech="",$E292=""),"",IF(ISNUMBER(SEARCH(Q_Rech,$E292&amp;" "&amp;$F292&amp;" "&amp;$H292)),COUNT($P$6:$P291)+1,""))</f>
        <v/>
      </c>
    </row>
    <row r="293" ht="21" customHeight="1">
      <c r="A293" s="1" t="n"/>
      <c r="B293" s="1" t="n"/>
      <c r="C293" s="2" t="n"/>
      <c r="E293" s="127" t="n"/>
      <c r="F293" s="127" t="n"/>
      <c r="G293" s="127" t="n"/>
      <c r="H293" s="127" t="n"/>
      <c r="I293" s="133" t="n"/>
      <c r="J293" s="134" t="n"/>
      <c r="K293" s="129">
        <f>IF($E293="","",COUNTIFS(EMP_Membre,$E293,EMP_Retour,""))</f>
        <v/>
      </c>
      <c r="L293" s="129">
        <f>IF($E293="","",COUNTIFS(EMP_Membre,$E293,EMP_Statut,"En retard"))</f>
        <v/>
      </c>
      <c r="M293" s="135">
        <f>IF($E293="","",SUMIFS(EMP_Amende,EMP_Membre,$E293,EMP_Paye,"&lt;&gt;Oui"))</f>
        <v/>
      </c>
      <c r="N293" s="130">
        <f>IF($E293="","",IF($L293&gt;0,"En retard",IF($K293&gt;=P_Max,"Limite atteinte","Actif")))</f>
        <v/>
      </c>
      <c r="P293">
        <f>IF(OR(Q_Rech="",$E293=""),"",IF(ISNUMBER(SEARCH(Q_Rech,$E293&amp;" "&amp;$F293&amp;" "&amp;$H293)),COUNT($P$6:$P292)+1,""))</f>
        <v/>
      </c>
    </row>
    <row r="294" ht="21" customHeight="1">
      <c r="A294" s="1" t="n"/>
      <c r="B294" s="1" t="n"/>
      <c r="C294" s="2" t="n"/>
      <c r="E294" s="127" t="n"/>
      <c r="F294" s="127" t="n"/>
      <c r="G294" s="127" t="n"/>
      <c r="H294" s="127" t="n"/>
      <c r="I294" s="133" t="n"/>
      <c r="J294" s="134" t="n"/>
      <c r="K294" s="129">
        <f>IF($E294="","",COUNTIFS(EMP_Membre,$E294,EMP_Retour,""))</f>
        <v/>
      </c>
      <c r="L294" s="129">
        <f>IF($E294="","",COUNTIFS(EMP_Membre,$E294,EMP_Statut,"En retard"))</f>
        <v/>
      </c>
      <c r="M294" s="135">
        <f>IF($E294="","",SUMIFS(EMP_Amende,EMP_Membre,$E294,EMP_Paye,"&lt;&gt;Oui"))</f>
        <v/>
      </c>
      <c r="N294" s="130">
        <f>IF($E294="","",IF($L294&gt;0,"En retard",IF($K294&gt;=P_Max,"Limite atteinte","Actif")))</f>
        <v/>
      </c>
      <c r="P294">
        <f>IF(OR(Q_Rech="",$E294=""),"",IF(ISNUMBER(SEARCH(Q_Rech,$E294&amp;" "&amp;$F294&amp;" "&amp;$H294)),COUNT($P$6:$P293)+1,""))</f>
        <v/>
      </c>
    </row>
    <row r="295" ht="21" customHeight="1">
      <c r="A295" s="1" t="n"/>
      <c r="B295" s="1" t="n"/>
      <c r="C295" s="2" t="n"/>
      <c r="E295" s="127" t="n"/>
      <c r="F295" s="127" t="n"/>
      <c r="G295" s="127" t="n"/>
      <c r="H295" s="127" t="n"/>
      <c r="I295" s="133" t="n"/>
      <c r="J295" s="134" t="n"/>
      <c r="K295" s="129">
        <f>IF($E295="","",COUNTIFS(EMP_Membre,$E295,EMP_Retour,""))</f>
        <v/>
      </c>
      <c r="L295" s="129">
        <f>IF($E295="","",COUNTIFS(EMP_Membre,$E295,EMP_Statut,"En retard"))</f>
        <v/>
      </c>
      <c r="M295" s="135">
        <f>IF($E295="","",SUMIFS(EMP_Amende,EMP_Membre,$E295,EMP_Paye,"&lt;&gt;Oui"))</f>
        <v/>
      </c>
      <c r="N295" s="130">
        <f>IF($E295="","",IF($L295&gt;0,"En retard",IF($K295&gt;=P_Max,"Limite atteinte","Actif")))</f>
        <v/>
      </c>
      <c r="P295">
        <f>IF(OR(Q_Rech="",$E295=""),"",IF(ISNUMBER(SEARCH(Q_Rech,$E295&amp;" "&amp;$F295&amp;" "&amp;$H295)),COUNT($P$6:$P294)+1,""))</f>
        <v/>
      </c>
    </row>
    <row r="296" ht="21" customHeight="1">
      <c r="A296" s="1" t="n"/>
      <c r="B296" s="1" t="n"/>
      <c r="C296" s="2" t="n"/>
      <c r="E296" s="127" t="n"/>
      <c r="F296" s="127" t="n"/>
      <c r="G296" s="127" t="n"/>
      <c r="H296" s="127" t="n"/>
      <c r="I296" s="133" t="n"/>
      <c r="J296" s="134" t="n"/>
      <c r="K296" s="129">
        <f>IF($E296="","",COUNTIFS(EMP_Membre,$E296,EMP_Retour,""))</f>
        <v/>
      </c>
      <c r="L296" s="129">
        <f>IF($E296="","",COUNTIFS(EMP_Membre,$E296,EMP_Statut,"En retard"))</f>
        <v/>
      </c>
      <c r="M296" s="135">
        <f>IF($E296="","",SUMIFS(EMP_Amende,EMP_Membre,$E296,EMP_Paye,"&lt;&gt;Oui"))</f>
        <v/>
      </c>
      <c r="N296" s="130">
        <f>IF($E296="","",IF($L296&gt;0,"En retard",IF($K296&gt;=P_Max,"Limite atteinte","Actif")))</f>
        <v/>
      </c>
      <c r="P296">
        <f>IF(OR(Q_Rech="",$E296=""),"",IF(ISNUMBER(SEARCH(Q_Rech,$E296&amp;" "&amp;$F296&amp;" "&amp;$H296)),COUNT($P$6:$P295)+1,""))</f>
        <v/>
      </c>
    </row>
    <row r="297" ht="21" customHeight="1">
      <c r="A297" s="1" t="n"/>
      <c r="B297" s="1" t="n"/>
      <c r="C297" s="2" t="n"/>
      <c r="E297" s="127" t="n"/>
      <c r="F297" s="127" t="n"/>
      <c r="G297" s="127" t="n"/>
      <c r="H297" s="127" t="n"/>
      <c r="I297" s="133" t="n"/>
      <c r="J297" s="134" t="n"/>
      <c r="K297" s="129">
        <f>IF($E297="","",COUNTIFS(EMP_Membre,$E297,EMP_Retour,""))</f>
        <v/>
      </c>
      <c r="L297" s="129">
        <f>IF($E297="","",COUNTIFS(EMP_Membre,$E297,EMP_Statut,"En retard"))</f>
        <v/>
      </c>
      <c r="M297" s="135">
        <f>IF($E297="","",SUMIFS(EMP_Amende,EMP_Membre,$E297,EMP_Paye,"&lt;&gt;Oui"))</f>
        <v/>
      </c>
      <c r="N297" s="130">
        <f>IF($E297="","",IF($L297&gt;0,"En retard",IF($K297&gt;=P_Max,"Limite atteinte","Actif")))</f>
        <v/>
      </c>
      <c r="P297">
        <f>IF(OR(Q_Rech="",$E297=""),"",IF(ISNUMBER(SEARCH(Q_Rech,$E297&amp;" "&amp;$F297&amp;" "&amp;$H297)),COUNT($P$6:$P296)+1,""))</f>
        <v/>
      </c>
    </row>
    <row r="298" ht="21" customHeight="1">
      <c r="A298" s="1" t="n"/>
      <c r="B298" s="1" t="n"/>
      <c r="C298" s="2" t="n"/>
      <c r="E298" s="127" t="n"/>
      <c r="F298" s="127" t="n"/>
      <c r="G298" s="127" t="n"/>
      <c r="H298" s="127" t="n"/>
      <c r="I298" s="133" t="n"/>
      <c r="J298" s="134" t="n"/>
      <c r="K298" s="129">
        <f>IF($E298="","",COUNTIFS(EMP_Membre,$E298,EMP_Retour,""))</f>
        <v/>
      </c>
      <c r="L298" s="129">
        <f>IF($E298="","",COUNTIFS(EMP_Membre,$E298,EMP_Statut,"En retard"))</f>
        <v/>
      </c>
      <c r="M298" s="135">
        <f>IF($E298="","",SUMIFS(EMP_Amende,EMP_Membre,$E298,EMP_Paye,"&lt;&gt;Oui"))</f>
        <v/>
      </c>
      <c r="N298" s="130">
        <f>IF($E298="","",IF($L298&gt;0,"En retard",IF($K298&gt;=P_Max,"Limite atteinte","Actif")))</f>
        <v/>
      </c>
      <c r="P298">
        <f>IF(OR(Q_Rech="",$E298=""),"",IF(ISNUMBER(SEARCH(Q_Rech,$E298&amp;" "&amp;$F298&amp;" "&amp;$H298)),COUNT($P$6:$P297)+1,""))</f>
        <v/>
      </c>
    </row>
    <row r="299" ht="21" customHeight="1">
      <c r="A299" s="1" t="n"/>
      <c r="B299" s="1" t="n"/>
      <c r="C299" s="2" t="n"/>
      <c r="E299" s="127" t="n"/>
      <c r="F299" s="127" t="n"/>
      <c r="G299" s="127" t="n"/>
      <c r="H299" s="127" t="n"/>
      <c r="I299" s="133" t="n"/>
      <c r="J299" s="134" t="n"/>
      <c r="K299" s="129">
        <f>IF($E299="","",COUNTIFS(EMP_Membre,$E299,EMP_Retour,""))</f>
        <v/>
      </c>
      <c r="L299" s="129">
        <f>IF($E299="","",COUNTIFS(EMP_Membre,$E299,EMP_Statut,"En retard"))</f>
        <v/>
      </c>
      <c r="M299" s="135">
        <f>IF($E299="","",SUMIFS(EMP_Amende,EMP_Membre,$E299,EMP_Paye,"&lt;&gt;Oui"))</f>
        <v/>
      </c>
      <c r="N299" s="130">
        <f>IF($E299="","",IF($L299&gt;0,"En retard",IF($K299&gt;=P_Max,"Limite atteinte","Actif")))</f>
        <v/>
      </c>
      <c r="P299">
        <f>IF(OR(Q_Rech="",$E299=""),"",IF(ISNUMBER(SEARCH(Q_Rech,$E299&amp;" "&amp;$F299&amp;" "&amp;$H299)),COUNT($P$6:$P298)+1,""))</f>
        <v/>
      </c>
    </row>
    <row r="300" ht="21" customHeight="1">
      <c r="A300" s="1" t="n"/>
      <c r="B300" s="1" t="n"/>
      <c r="C300" s="2" t="n"/>
      <c r="E300" s="127" t="n"/>
      <c r="F300" s="127" t="n"/>
      <c r="G300" s="127" t="n"/>
      <c r="H300" s="127" t="n"/>
      <c r="I300" s="133" t="n"/>
      <c r="J300" s="134" t="n"/>
      <c r="K300" s="129">
        <f>IF($E300="","",COUNTIFS(EMP_Membre,$E300,EMP_Retour,""))</f>
        <v/>
      </c>
      <c r="L300" s="129">
        <f>IF($E300="","",COUNTIFS(EMP_Membre,$E300,EMP_Statut,"En retard"))</f>
        <v/>
      </c>
      <c r="M300" s="135">
        <f>IF($E300="","",SUMIFS(EMP_Amende,EMP_Membre,$E300,EMP_Paye,"&lt;&gt;Oui"))</f>
        <v/>
      </c>
      <c r="N300" s="130">
        <f>IF($E300="","",IF($L300&gt;0,"En retard",IF($K300&gt;=P_Max,"Limite atteinte","Actif")))</f>
        <v/>
      </c>
      <c r="P300">
        <f>IF(OR(Q_Rech="",$E300=""),"",IF(ISNUMBER(SEARCH(Q_Rech,$E300&amp;" "&amp;$F300&amp;" "&amp;$H300)),COUNT($P$6:$P299)+1,""))</f>
        <v/>
      </c>
    </row>
    <row r="301" ht="21" customHeight="1">
      <c r="A301" s="1" t="n"/>
      <c r="B301" s="1" t="n"/>
      <c r="C301" s="2" t="n"/>
      <c r="E301" s="127" t="n"/>
      <c r="F301" s="127" t="n"/>
      <c r="G301" s="127" t="n"/>
      <c r="H301" s="127" t="n"/>
      <c r="I301" s="133" t="n"/>
      <c r="J301" s="134" t="n"/>
      <c r="K301" s="129">
        <f>IF($E301="","",COUNTIFS(EMP_Membre,$E301,EMP_Retour,""))</f>
        <v/>
      </c>
      <c r="L301" s="129">
        <f>IF($E301="","",COUNTIFS(EMP_Membre,$E301,EMP_Statut,"En retard"))</f>
        <v/>
      </c>
      <c r="M301" s="135">
        <f>IF($E301="","",SUMIFS(EMP_Amende,EMP_Membre,$E301,EMP_Paye,"&lt;&gt;Oui"))</f>
        <v/>
      </c>
      <c r="N301" s="130">
        <f>IF($E301="","",IF($L301&gt;0,"En retard",IF($K301&gt;=P_Max,"Limite atteinte","Actif")))</f>
        <v/>
      </c>
      <c r="P301">
        <f>IF(OR(Q_Rech="",$E301=""),"",IF(ISNUMBER(SEARCH(Q_Rech,$E301&amp;" "&amp;$F301&amp;" "&amp;$H301)),COUNT($P$6:$P300)+1,""))</f>
        <v/>
      </c>
    </row>
    <row r="302" ht="21" customHeight="1">
      <c r="A302" s="1" t="n"/>
      <c r="B302" s="1" t="n"/>
      <c r="C302" s="2" t="n"/>
      <c r="E302" s="127" t="n"/>
      <c r="F302" s="127" t="n"/>
      <c r="G302" s="127" t="n"/>
      <c r="H302" s="127" t="n"/>
      <c r="I302" s="133" t="n"/>
      <c r="J302" s="134" t="n"/>
      <c r="K302" s="129">
        <f>IF($E302="","",COUNTIFS(EMP_Membre,$E302,EMP_Retour,""))</f>
        <v/>
      </c>
      <c r="L302" s="129">
        <f>IF($E302="","",COUNTIFS(EMP_Membre,$E302,EMP_Statut,"En retard"))</f>
        <v/>
      </c>
      <c r="M302" s="135">
        <f>IF($E302="","",SUMIFS(EMP_Amende,EMP_Membre,$E302,EMP_Paye,"&lt;&gt;Oui"))</f>
        <v/>
      </c>
      <c r="N302" s="130">
        <f>IF($E302="","",IF($L302&gt;0,"En retard",IF($K302&gt;=P_Max,"Limite atteinte","Actif")))</f>
        <v/>
      </c>
      <c r="P302">
        <f>IF(OR(Q_Rech="",$E302=""),"",IF(ISNUMBER(SEARCH(Q_Rech,$E302&amp;" "&amp;$F302&amp;" "&amp;$H302)),COUNT($P$6:$P301)+1,""))</f>
        <v/>
      </c>
    </row>
    <row r="303" ht="21" customHeight="1">
      <c r="A303" s="1" t="n"/>
      <c r="B303" s="1" t="n"/>
      <c r="C303" s="2" t="n"/>
      <c r="E303" s="127" t="n"/>
      <c r="F303" s="127" t="n"/>
      <c r="G303" s="127" t="n"/>
      <c r="H303" s="127" t="n"/>
      <c r="I303" s="133" t="n"/>
      <c r="J303" s="134" t="n"/>
      <c r="K303" s="129">
        <f>IF($E303="","",COUNTIFS(EMP_Membre,$E303,EMP_Retour,""))</f>
        <v/>
      </c>
      <c r="L303" s="129">
        <f>IF($E303="","",COUNTIFS(EMP_Membre,$E303,EMP_Statut,"En retard"))</f>
        <v/>
      </c>
      <c r="M303" s="135">
        <f>IF($E303="","",SUMIFS(EMP_Amende,EMP_Membre,$E303,EMP_Paye,"&lt;&gt;Oui"))</f>
        <v/>
      </c>
      <c r="N303" s="130">
        <f>IF($E303="","",IF($L303&gt;0,"En retard",IF($K303&gt;=P_Max,"Limite atteinte","Actif")))</f>
        <v/>
      </c>
      <c r="P303">
        <f>IF(OR(Q_Rech="",$E303=""),"",IF(ISNUMBER(SEARCH(Q_Rech,$E303&amp;" "&amp;$F303&amp;" "&amp;$H303)),COUNT($P$6:$P302)+1,""))</f>
        <v/>
      </c>
    </row>
    <row r="304" ht="21" customHeight="1">
      <c r="A304" s="1" t="n"/>
      <c r="B304" s="1" t="n"/>
      <c r="C304" s="2" t="n"/>
      <c r="E304" s="127" t="n"/>
      <c r="F304" s="127" t="n"/>
      <c r="G304" s="127" t="n"/>
      <c r="H304" s="127" t="n"/>
      <c r="I304" s="133" t="n"/>
      <c r="J304" s="134" t="n"/>
      <c r="K304" s="129">
        <f>IF($E304="","",COUNTIFS(EMP_Membre,$E304,EMP_Retour,""))</f>
        <v/>
      </c>
      <c r="L304" s="129">
        <f>IF($E304="","",COUNTIFS(EMP_Membre,$E304,EMP_Statut,"En retard"))</f>
        <v/>
      </c>
      <c r="M304" s="135">
        <f>IF($E304="","",SUMIFS(EMP_Amende,EMP_Membre,$E304,EMP_Paye,"&lt;&gt;Oui"))</f>
        <v/>
      </c>
      <c r="N304" s="130">
        <f>IF($E304="","",IF($L304&gt;0,"En retard",IF($K304&gt;=P_Max,"Limite atteinte","Actif")))</f>
        <v/>
      </c>
      <c r="P304">
        <f>IF(OR(Q_Rech="",$E304=""),"",IF(ISNUMBER(SEARCH(Q_Rech,$E304&amp;" "&amp;$F304&amp;" "&amp;$H304)),COUNT($P$6:$P303)+1,""))</f>
        <v/>
      </c>
    </row>
    <row r="305" ht="21" customHeight="1">
      <c r="A305" s="1" t="n"/>
      <c r="B305" s="1" t="n"/>
      <c r="C305" s="2" t="n"/>
      <c r="E305" s="127" t="n"/>
      <c r="F305" s="127" t="n"/>
      <c r="G305" s="127" t="n"/>
      <c r="H305" s="127" t="n"/>
      <c r="I305" s="133" t="n"/>
      <c r="J305" s="134" t="n"/>
      <c r="K305" s="129">
        <f>IF($E305="","",COUNTIFS(EMP_Membre,$E305,EMP_Retour,""))</f>
        <v/>
      </c>
      <c r="L305" s="129">
        <f>IF($E305="","",COUNTIFS(EMP_Membre,$E305,EMP_Statut,"En retard"))</f>
        <v/>
      </c>
      <c r="M305" s="135">
        <f>IF($E305="","",SUMIFS(EMP_Amende,EMP_Membre,$E305,EMP_Paye,"&lt;&gt;Oui"))</f>
        <v/>
      </c>
      <c r="N305" s="130">
        <f>IF($E305="","",IF($L305&gt;0,"En retard",IF($K305&gt;=P_Max,"Limite atteinte","Actif")))</f>
        <v/>
      </c>
      <c r="P305">
        <f>IF(OR(Q_Rech="",$E305=""),"",IF(ISNUMBER(SEARCH(Q_Rech,$E305&amp;" "&amp;$F305&amp;" "&amp;$H305)),COUNT($P$6:$P304)+1,""))</f>
        <v/>
      </c>
    </row>
    <row r="306" ht="21" customHeight="1">
      <c r="A306" s="1" t="n"/>
      <c r="B306" s="1" t="n"/>
      <c r="C306" s="2" t="n"/>
      <c r="E306" s="127" t="n"/>
      <c r="F306" s="127" t="n"/>
      <c r="G306" s="127" t="n"/>
      <c r="H306" s="127" t="n"/>
      <c r="I306" s="133" t="n"/>
      <c r="J306" s="134" t="n"/>
      <c r="K306" s="129">
        <f>IF($E306="","",COUNTIFS(EMP_Membre,$E306,EMP_Retour,""))</f>
        <v/>
      </c>
      <c r="L306" s="129">
        <f>IF($E306="","",COUNTIFS(EMP_Membre,$E306,EMP_Statut,"En retard"))</f>
        <v/>
      </c>
      <c r="M306" s="135">
        <f>IF($E306="","",SUMIFS(EMP_Amende,EMP_Membre,$E306,EMP_Paye,"&lt;&gt;Oui"))</f>
        <v/>
      </c>
      <c r="N306" s="130">
        <f>IF($E306="","",IF($L306&gt;0,"En retard",IF($K306&gt;=P_Max,"Limite atteinte","Actif")))</f>
        <v/>
      </c>
      <c r="P306">
        <f>IF(OR(Q_Rech="",$E306=""),"",IF(ISNUMBER(SEARCH(Q_Rech,$E306&amp;" "&amp;$F306&amp;" "&amp;$H306)),COUNT($P$6:$P305)+1,""))</f>
        <v/>
      </c>
    </row>
    <row r="307">
      <c r="A307" s="1" t="n"/>
      <c r="B307" s="1" t="n"/>
      <c r="C307" s="2" t="n"/>
    </row>
    <row r="308">
      <c r="A308" s="1" t="n"/>
      <c r="B308" s="1" t="n"/>
      <c r="C308" s="2" t="n"/>
    </row>
  </sheetData>
  <autoFilter ref="E6:N306"/>
  <mergeCells count="15">
    <mergeCell ref="B13:C13"/>
    <mergeCell ref="G4:H4"/>
    <mergeCell ref="E4:F4"/>
    <mergeCell ref="M2:N2"/>
    <mergeCell ref="B16:C16"/>
    <mergeCell ref="I4:J4"/>
    <mergeCell ref="B15:C15"/>
    <mergeCell ref="B11:C11"/>
    <mergeCell ref="K4:L4"/>
    <mergeCell ref="K2:L2"/>
    <mergeCell ref="B10:C10"/>
    <mergeCell ref="B14:C14"/>
    <mergeCell ref="B9:C9"/>
    <mergeCell ref="B8:C8"/>
    <mergeCell ref="B12:C12"/>
  </mergeCells>
  <conditionalFormatting sqref="N7:N306">
    <cfRule type="expression" priority="1" dxfId="2" stopIfTrue="1">
      <formula>OR($N7="Disponible",$N7="Rendu",$N7="En stock",$N7="Actif",$N7="Entrée",$N7="Oui")</formula>
    </cfRule>
    <cfRule type="expression" priority="2" dxfId="3" stopIfTrue="1">
      <formula>OR($N7="En retard",$N7="Rupture",$N7="Indisponible",$N7="Non")</formula>
    </cfRule>
    <cfRule type="expression" priority="3" dxfId="4" stopIfTrue="1">
      <formula>OR($N7="Stock faible",$N7="Dernier exemplaire",$N7="Rendu en retard",$N7="Limite atteinte",$N7="Sortie")</formula>
    </cfRule>
    <cfRule type="expression" priority="4" dxfId="5" stopIfTrue="1">
      <formula>OR($N7="En cours")</formula>
    </cfRule>
  </conditionalFormatting>
  <conditionalFormatting sqref="E7:N306">
    <cfRule type="expression" priority="5" dxfId="6">
      <formula>AND($E7&lt;&gt;"",MOD(ROW(),2)=0)</formula>
    </cfRule>
  </conditionalFormatting>
  <dataValidations count="4">
    <dataValidation sqref="G7:G306" showDropDown="0" showInputMessage="0" showErrorMessage="1" allowBlank="1" errorTitle="Valeur non valide" error="Choisissez : Élève, Enseignant ou Personnel." type="list">
      <formula1>=L_TypesMembre</formula1>
    </dataValidation>
    <dataValidation sqref="H7:H306" showDropDown="0" showInputMessage="0" showErrorMessage="1" allowBlank="1" errorTitle="Valeur non valide" error="Choisissez une classe de la liste (modifiable dans Paramètres)." type="list">
      <formula1>=L_Classes</formula1>
    </dataValidation>
    <dataValidation sqref="I7:I306" showDropDown="0" showInputMessage="0" showErrorMessage="1" allowBlank="1" errorTitle="Valeur non valide" error="Saisissez M ou F." type="list">
      <formula1>="M,F"</formula1>
    </dataValidation>
    <dataValidation sqref="J7:J306" showDropDown="0" showInputMessage="0" showErrorMessage="1" allowBlank="1" errorTitle="Date non valide" error="Saisissez une date au format jj/mm/aaaa." type="date" operator="greaterThan">
      <formula1>36526</formula1>
    </dataValidation>
  </dataValidations>
  <pageMargins left="0.75" right="0.75" top="1" bottom="1" header="0.5" footer="0.5"/>
  <pageSetup orientation="landscape" fitToHeight="0" fitToWidth="1"/>
  <drawing xmlns:r="http://schemas.openxmlformats.org/officeDocument/2006/relationships" r:id="rId1"/>
</worksheet>
</file>

<file path=xl/worksheets/sheet4.xml><?xml version="1.0" encoding="utf-8"?>
<worksheet xmlns="http://schemas.openxmlformats.org/spreadsheetml/2006/main">
  <sheetPr>
    <tabColor rgb="000B3C5D"/>
    <outlinePr summaryBelow="1" summaryRight="1"/>
    <pageSetUpPr fitToPage="1"/>
  </sheetPr>
  <dimension ref="A1:T1008"/>
  <sheetViews>
    <sheetView showGridLines="0" zoomScale="100" workbookViewId="0">
      <pane xSplit="4" ySplit="6" topLeftCell="E7" activePane="bottomRight" state="frozen"/>
      <selection pane="topRight"/>
      <selection pane="bottomLeft"/>
      <selection pane="bottomRight" activeCell="A1" sqref="A1"/>
    </sheetView>
  </sheetViews>
  <sheetFormatPr baseColWidth="8" defaultRowHeight="15"/>
  <cols>
    <col width="1" customWidth="1" min="1" max="1"/>
    <col width="23" customWidth="1" min="2" max="2"/>
    <col width="12" customWidth="1" min="3" max="3"/>
    <col width="3" customWidth="1" min="4" max="4"/>
    <col width="11" customWidth="1" min="5" max="5"/>
    <col width="14" customWidth="1" min="6" max="6"/>
    <col width="12" customWidth="1" min="7" max="7"/>
    <col width="24" customWidth="1" min="8" max="8"/>
    <col width="11" customWidth="1" min="9" max="9"/>
    <col width="32" customWidth="1" min="10" max="10"/>
    <col width="13" customWidth="1" min="11" max="11"/>
    <col width="14" customWidth="1" min="12" max="12"/>
    <col width="17" customWidth="1" min="13" max="13"/>
    <col width="11" customWidth="1" min="14" max="14"/>
    <col width="12" customWidth="1" min="15" max="15"/>
    <col width="11" customWidth="1" min="16" max="16"/>
    <col width="3" customWidth="1" min="17" max="17"/>
    <col hidden="1" width="13" customWidth="1" min="18" max="18"/>
    <col hidden="1" width="13" customWidth="1" min="19" max="19"/>
    <col hidden="1" width="13" customWidth="1" min="20" max="20"/>
  </cols>
  <sheetData>
    <row r="1" ht="8" customHeight="1">
      <c r="A1" s="1" t="n"/>
      <c r="B1" s="1" t="n"/>
      <c r="C1" s="2" t="n"/>
    </row>
    <row r="2" ht="32" customHeight="1">
      <c r="A2" s="1" t="n"/>
      <c r="B2" s="1" t="n"/>
      <c r="C2" s="2" t="n"/>
      <c r="E2" s="113" t="inlineStr">
        <is>
          <t>🔄  Emprunts &amp; retours</t>
        </is>
      </c>
      <c r="M2" s="114">
        <f>HYPERLINK("#'Tableau de bord'!A1","⌂  Tableau de bord")</f>
        <v/>
      </c>
      <c r="N2" s="115" t="n"/>
      <c r="O2" s="116">
        <f>HYPERLINK("#'Emprunts'!F"&amp;(7+COUNTIF(EMP_Date,"?*")),"＋  Nouvel emprunt")</f>
        <v/>
      </c>
      <c r="P2" s="117" t="n"/>
    </row>
    <row r="3" ht="18" customHeight="1">
      <c r="A3" s="1" t="n"/>
      <c r="B3" s="1" t="n"/>
      <c r="C3" s="2" t="n"/>
      <c r="E3" s="118" t="inlineStr">
        <is>
          <t>Nouvel emprunt : date, ID membre, code livre. Retour : saisissez simplement la date de retour.</t>
        </is>
      </c>
    </row>
    <row r="4" ht="26" customHeight="1">
      <c r="A4" s="1" t="n"/>
      <c r="B4" s="1" t="n"/>
      <c r="C4" s="2" t="n"/>
      <c r="E4" s="123">
        <f>COUNTIFS(EMP_Livre,"?*",EMP_Retour,"")&amp;" en cours"</f>
        <v/>
      </c>
      <c r="F4" s="120" t="n"/>
      <c r="G4" s="131">
        <f>COUNTIF(EMP_Statut,"En retard")&amp;" en retard"</f>
        <v/>
      </c>
      <c r="H4" s="132" t="n"/>
      <c r="I4" s="121">
        <f>COUNTIF(EMP_Statut,"Rendu*")&amp;" rendus"</f>
        <v/>
      </c>
      <c r="J4" s="122" t="n"/>
      <c r="K4" s="136">
        <f>FIXED(SUMIFS(EMP_Amende,EMP_Paye,"&lt;&gt;Oui"),0)&amp;" FC dus"</f>
        <v/>
      </c>
      <c r="L4" s="137" t="n"/>
    </row>
    <row r="5" ht="10" customHeight="1">
      <c r="A5" s="1" t="n"/>
      <c r="B5" s="1" t="n"/>
      <c r="C5" s="2" t="n"/>
    </row>
    <row r="6" ht="30" customHeight="1">
      <c r="A6" s="1" t="n"/>
      <c r="B6" s="1" t="n"/>
      <c r="C6" s="2" t="n"/>
      <c r="E6" s="126" t="inlineStr">
        <is>
          <t>N°</t>
        </is>
      </c>
      <c r="F6" s="124" t="inlineStr">
        <is>
          <t>Date d'emprunt</t>
        </is>
      </c>
      <c r="G6" s="124" t="inlineStr">
        <is>
          <t>ID membre</t>
        </is>
      </c>
      <c r="H6" s="126" t="inlineStr">
        <is>
          <t>Nom du membre</t>
        </is>
      </c>
      <c r="I6" s="124" t="inlineStr">
        <is>
          <t>Code livre</t>
        </is>
      </c>
      <c r="J6" s="126" t="inlineStr">
        <is>
          <t>Titre du livre</t>
        </is>
      </c>
      <c r="K6" s="126" t="inlineStr">
        <is>
          <t>Retour prévu</t>
        </is>
      </c>
      <c r="L6" s="124" t="inlineStr">
        <is>
          <t>Date de retour</t>
        </is>
      </c>
      <c r="M6" s="126" t="inlineStr">
        <is>
          <t>Statut</t>
        </is>
      </c>
      <c r="N6" s="126" t="inlineStr">
        <is>
          <t>Jours de retard</t>
        </is>
      </c>
      <c r="O6" s="126" t="inlineStr">
        <is>
          <t>Amende</t>
        </is>
      </c>
      <c r="P6" s="124" t="inlineStr">
        <is>
          <t>Amende payée</t>
        </is>
      </c>
    </row>
    <row r="7" ht="21" customHeight="1">
      <c r="A7" s="1" t="n"/>
      <c r="B7" s="1" t="n"/>
      <c r="C7" s="2" t="n"/>
      <c r="E7" s="130">
        <f>IF($F7="","","EMP-"&amp;TEXT(ROW()-6,"0000"))</f>
        <v/>
      </c>
      <c r="F7" s="134" t="n">
        <v>45943</v>
      </c>
      <c r="G7" s="127" t="inlineStr">
        <is>
          <t>MEM-009</t>
        </is>
      </c>
      <c r="H7" s="130">
        <f>IF($G7="","",IFERROR(INDEX(MEM_Nom,MATCH($G7,MEM_ID,0)),"⚠ ID inconnu"))</f>
        <v/>
      </c>
      <c r="I7" s="127" t="inlineStr">
        <is>
          <t>LIV-011</t>
        </is>
      </c>
      <c r="J7" s="130">
        <f>IF($I7="","",IFERROR(INDEX(LIV_Titre,MATCH($I7,LIV_Code,0)),"⚠ Code inconnu"))</f>
        <v/>
      </c>
      <c r="K7" s="138">
        <f>IF($F7="","",$F7+P_Duree)</f>
        <v/>
      </c>
      <c r="L7" s="134" t="n">
        <v>45952</v>
      </c>
      <c r="M7" s="130">
        <f>IF(OR($F7="",$I7=""),"",IF($L7&lt;&gt;"",IF($L7&gt;$K7,"Rendu en retard","Rendu"),IF(TODAY()&gt;$K7,"En retard","En cours")))</f>
        <v/>
      </c>
      <c r="N7" s="139">
        <f>IF(OR($F7="",$I7=""),"",MAX(0,IF($L7&lt;&gt;"",$L7,TODAY())-$K7))</f>
        <v/>
      </c>
      <c r="O7" s="135">
        <f>IF(OR($F7="",$I7=""),"",$N7*P_Amende)</f>
        <v/>
      </c>
      <c r="P7" s="133" t="n"/>
      <c r="R7">
        <f>IF($M7="En retard",$N7+ROW()/100000,"")</f>
        <v/>
      </c>
      <c r="S7">
        <f>IF(OR($F7="",$I7=""),"",$F7+ROW()/100000)</f>
        <v/>
      </c>
      <c r="T7">
        <f>IF($I7="","",IFERROR(INDEX(LIV_Cat,MATCH($I7,LIV_Code,0)),""))</f>
        <v/>
      </c>
    </row>
    <row r="8" ht="21" customHeight="1">
      <c r="A8" s="1" t="n"/>
      <c r="B8" s="53">
        <f>HYPERLINK("#'Tableau de bord'!A1","▦   Tableau de bord")</f>
        <v/>
      </c>
      <c r="C8" s="54" t="n"/>
      <c r="E8" s="130">
        <f>IF($F8="","","EMP-"&amp;TEXT(ROW()-6,"0000"))</f>
        <v/>
      </c>
      <c r="F8" s="134" t="n">
        <v>45943</v>
      </c>
      <c r="G8" s="127" t="inlineStr">
        <is>
          <t>MEM-025</t>
        </is>
      </c>
      <c r="H8" s="130">
        <f>IF($G8="","",IFERROR(INDEX(MEM_Nom,MATCH($G8,MEM_ID,0)),"⚠ ID inconnu"))</f>
        <v/>
      </c>
      <c r="I8" s="127" t="inlineStr">
        <is>
          <t>LIV-020</t>
        </is>
      </c>
      <c r="J8" s="130">
        <f>IF($I8="","",IFERROR(INDEX(LIV_Titre,MATCH($I8,LIV_Code,0)),"⚠ Code inconnu"))</f>
        <v/>
      </c>
      <c r="K8" s="138">
        <f>IF($F8="","",$F8+P_Duree)</f>
        <v/>
      </c>
      <c r="L8" s="134" t="n">
        <v>45962</v>
      </c>
      <c r="M8" s="130">
        <f>IF(OR($F8="",$I8=""),"",IF($L8&lt;&gt;"",IF($L8&gt;$K8,"Rendu en retard","Rendu"),IF(TODAY()&gt;$K8,"En retard","En cours")))</f>
        <v/>
      </c>
      <c r="N8" s="139">
        <f>IF(OR($F8="",$I8=""),"",MAX(0,IF($L8&lt;&gt;"",$L8,TODAY())-$K8))</f>
        <v/>
      </c>
      <c r="O8" s="135">
        <f>IF(OR($F8="",$I8=""),"",$N8*P_Amende)</f>
        <v/>
      </c>
      <c r="P8" s="133" t="inlineStr">
        <is>
          <t>Oui</t>
        </is>
      </c>
      <c r="R8">
        <f>IF($M8="En retard",$N8+ROW()/100000,"")</f>
        <v/>
      </c>
      <c r="S8">
        <f>IF(OR($F8="",$I8=""),"",$F8+ROW()/100000)</f>
        <v/>
      </c>
      <c r="T8">
        <f>IF($I8="","",IFERROR(INDEX(LIV_Cat,MATCH($I8,LIV_Code,0)),""))</f>
        <v/>
      </c>
    </row>
    <row r="9" ht="21" customHeight="1">
      <c r="A9" s="1" t="n"/>
      <c r="B9" s="53">
        <f>HYPERLINK("#'Livres'!A1","📚   Livres")</f>
        <v/>
      </c>
      <c r="C9" s="54" t="n"/>
      <c r="E9" s="130">
        <f>IF($F9="","","EMP-"&amp;TEXT(ROW()-6,"0000"))</f>
        <v/>
      </c>
      <c r="F9" s="134" t="n">
        <v>45944</v>
      </c>
      <c r="G9" s="127" t="inlineStr">
        <is>
          <t>MEM-040</t>
        </is>
      </c>
      <c r="H9" s="130">
        <f>IF($G9="","",IFERROR(INDEX(MEM_Nom,MATCH($G9,MEM_ID,0)),"⚠ ID inconnu"))</f>
        <v/>
      </c>
      <c r="I9" s="127" t="inlineStr">
        <is>
          <t>LIV-054</t>
        </is>
      </c>
      <c r="J9" s="130">
        <f>IF($I9="","",IFERROR(INDEX(LIV_Titre,MATCH($I9,LIV_Code,0)),"⚠ Code inconnu"))</f>
        <v/>
      </c>
      <c r="K9" s="138">
        <f>IF($F9="","",$F9+P_Duree)</f>
        <v/>
      </c>
      <c r="L9" s="134" t="n">
        <v>45960</v>
      </c>
      <c r="M9" s="130">
        <f>IF(OR($F9="",$I9=""),"",IF($L9&lt;&gt;"",IF($L9&gt;$K9,"Rendu en retard","Rendu"),IF(TODAY()&gt;$K9,"En retard","En cours")))</f>
        <v/>
      </c>
      <c r="N9" s="139">
        <f>IF(OR($F9="",$I9=""),"",MAX(0,IF($L9&lt;&gt;"",$L9,TODAY())-$K9))</f>
        <v/>
      </c>
      <c r="O9" s="135">
        <f>IF(OR($F9="",$I9=""),"",$N9*P_Amende)</f>
        <v/>
      </c>
      <c r="P9" s="133" t="inlineStr">
        <is>
          <t>Oui</t>
        </is>
      </c>
      <c r="R9">
        <f>IF($M9="En retard",$N9+ROW()/100000,"")</f>
        <v/>
      </c>
      <c r="S9">
        <f>IF(OR($F9="",$I9=""),"",$F9+ROW()/100000)</f>
        <v/>
      </c>
      <c r="T9">
        <f>IF($I9="","",IFERROR(INDEX(LIV_Cat,MATCH($I9,LIV_Code,0)),""))</f>
        <v/>
      </c>
    </row>
    <row r="10" ht="21" customHeight="1">
      <c r="A10" s="1" t="n"/>
      <c r="B10" s="53">
        <f>HYPERLINK("#'Membres'!A1","👥   Membres")</f>
        <v/>
      </c>
      <c r="C10" s="54" t="n"/>
      <c r="E10" s="130">
        <f>IF($F10="","","EMP-"&amp;TEXT(ROW()-6,"0000"))</f>
        <v/>
      </c>
      <c r="F10" s="134" t="n">
        <v>45944</v>
      </c>
      <c r="G10" s="127" t="inlineStr">
        <is>
          <t>MEM-036</t>
        </is>
      </c>
      <c r="H10" s="130">
        <f>IF($G10="","",IFERROR(INDEX(MEM_Nom,MATCH($G10,MEM_ID,0)),"⚠ ID inconnu"))</f>
        <v/>
      </c>
      <c r="I10" s="127" t="inlineStr">
        <is>
          <t>LIV-012</t>
        </is>
      </c>
      <c r="J10" s="130">
        <f>IF($I10="","",IFERROR(INDEX(LIV_Titre,MATCH($I10,LIV_Code,0)),"⚠ Code inconnu"))</f>
        <v/>
      </c>
      <c r="K10" s="138">
        <f>IF($F10="","",$F10+P_Duree)</f>
        <v/>
      </c>
      <c r="L10" s="134" t="n">
        <v>45948</v>
      </c>
      <c r="M10" s="130">
        <f>IF(OR($F10="",$I10=""),"",IF($L10&lt;&gt;"",IF($L10&gt;$K10,"Rendu en retard","Rendu"),IF(TODAY()&gt;$K10,"En retard","En cours")))</f>
        <v/>
      </c>
      <c r="N10" s="139">
        <f>IF(OR($F10="",$I10=""),"",MAX(0,IF($L10&lt;&gt;"",$L10,TODAY())-$K10))</f>
        <v/>
      </c>
      <c r="O10" s="135">
        <f>IF(OR($F10="",$I10=""),"",$N10*P_Amende)</f>
        <v/>
      </c>
      <c r="P10" s="133" t="n"/>
      <c r="R10">
        <f>IF($M10="En retard",$N10+ROW()/100000,"")</f>
        <v/>
      </c>
      <c r="S10">
        <f>IF(OR($F10="",$I10=""),"",$F10+ROW()/100000)</f>
        <v/>
      </c>
      <c r="T10">
        <f>IF($I10="","",IFERROR(INDEX(LIV_Cat,MATCH($I10,LIV_Code,0)),""))</f>
        <v/>
      </c>
    </row>
    <row r="11" ht="21" customHeight="1">
      <c r="A11" s="45" t="n"/>
      <c r="B11" s="46">
        <f>HYPERLINK("#'Emprunts'!A1","🔄   Emprunts")</f>
        <v/>
      </c>
      <c r="C11" s="47" t="n"/>
      <c r="E11" s="130">
        <f>IF($F11="","","EMP-"&amp;TEXT(ROW()-6,"0000"))</f>
        <v/>
      </c>
      <c r="F11" s="134" t="n">
        <v>45950</v>
      </c>
      <c r="G11" s="127" t="inlineStr">
        <is>
          <t>MEM-039</t>
        </is>
      </c>
      <c r="H11" s="130">
        <f>IF($G11="","",IFERROR(INDEX(MEM_Nom,MATCH($G11,MEM_ID,0)),"⚠ ID inconnu"))</f>
        <v/>
      </c>
      <c r="I11" s="127" t="inlineStr">
        <is>
          <t>LIV-045</t>
        </is>
      </c>
      <c r="J11" s="130">
        <f>IF($I11="","",IFERROR(INDEX(LIV_Titre,MATCH($I11,LIV_Code,0)),"⚠ Code inconnu"))</f>
        <v/>
      </c>
      <c r="K11" s="138">
        <f>IF($F11="","",$F11+P_Duree)</f>
        <v/>
      </c>
      <c r="L11" s="134" t="n">
        <v>45969</v>
      </c>
      <c r="M11" s="130">
        <f>IF(OR($F11="",$I11=""),"",IF($L11&lt;&gt;"",IF($L11&gt;$K11,"Rendu en retard","Rendu"),IF(TODAY()&gt;$K11,"En retard","En cours")))</f>
        <v/>
      </c>
      <c r="N11" s="139">
        <f>IF(OR($F11="",$I11=""),"",MAX(0,IF($L11&lt;&gt;"",$L11,TODAY())-$K11))</f>
        <v/>
      </c>
      <c r="O11" s="135">
        <f>IF(OR($F11="",$I11=""),"",$N11*P_Amende)</f>
        <v/>
      </c>
      <c r="P11" s="133" t="inlineStr">
        <is>
          <t>Non</t>
        </is>
      </c>
      <c r="R11">
        <f>IF($M11="En retard",$N11+ROW()/100000,"")</f>
        <v/>
      </c>
      <c r="S11">
        <f>IF(OR($F11="",$I11=""),"",$F11+ROW()/100000)</f>
        <v/>
      </c>
      <c r="T11">
        <f>IF($I11="","",IFERROR(INDEX(LIV_Cat,MATCH($I11,LIV_Code,0)),""))</f>
        <v/>
      </c>
    </row>
    <row r="12" ht="21" customHeight="1">
      <c r="A12" s="1" t="n"/>
      <c r="B12" s="53">
        <f>HYPERLINK("#'Fournitures'!A1","📦   Fournitures")</f>
        <v/>
      </c>
      <c r="C12" s="54" t="n"/>
      <c r="E12" s="130">
        <f>IF($F12="","","EMP-"&amp;TEXT(ROW()-6,"0000"))</f>
        <v/>
      </c>
      <c r="F12" s="134" t="n">
        <v>45952</v>
      </c>
      <c r="G12" s="127" t="inlineStr">
        <is>
          <t>MEM-014</t>
        </is>
      </c>
      <c r="H12" s="130">
        <f>IF($G12="","",IFERROR(INDEX(MEM_Nom,MATCH($G12,MEM_ID,0)),"⚠ ID inconnu"))</f>
        <v/>
      </c>
      <c r="I12" s="127" t="inlineStr">
        <is>
          <t>LIV-022</t>
        </is>
      </c>
      <c r="J12" s="130">
        <f>IF($I12="","",IFERROR(INDEX(LIV_Titre,MATCH($I12,LIV_Code,0)),"⚠ Code inconnu"))</f>
        <v/>
      </c>
      <c r="K12" s="138">
        <f>IF($F12="","",$F12+P_Duree)</f>
        <v/>
      </c>
      <c r="L12" s="134" t="n">
        <v>45966</v>
      </c>
      <c r="M12" s="130">
        <f>IF(OR($F12="",$I12=""),"",IF($L12&lt;&gt;"",IF($L12&gt;$K12,"Rendu en retard","Rendu"),IF(TODAY()&gt;$K12,"En retard","En cours")))</f>
        <v/>
      </c>
      <c r="N12" s="139">
        <f>IF(OR($F12="",$I12=""),"",MAX(0,IF($L12&lt;&gt;"",$L12,TODAY())-$K12))</f>
        <v/>
      </c>
      <c r="O12" s="135">
        <f>IF(OR($F12="",$I12=""),"",$N12*P_Amende)</f>
        <v/>
      </c>
      <c r="P12" s="133" t="n"/>
      <c r="R12">
        <f>IF($M12="En retard",$N12+ROW()/100000,"")</f>
        <v/>
      </c>
      <c r="S12">
        <f>IF(OR($F12="",$I12=""),"",$F12+ROW()/100000)</f>
        <v/>
      </c>
      <c r="T12">
        <f>IF($I12="","",IFERROR(INDEX(LIV_Cat,MATCH($I12,LIV_Code,0)),""))</f>
        <v/>
      </c>
    </row>
    <row r="13" ht="21" customHeight="1">
      <c r="A13" s="1" t="n"/>
      <c r="B13" s="53">
        <f>HYPERLINK("#'Mouvements'!A1","↕   Mouvements de stock")</f>
        <v/>
      </c>
      <c r="C13" s="54" t="n"/>
      <c r="E13" s="130">
        <f>IF($F13="","","EMP-"&amp;TEXT(ROW()-6,"0000"))</f>
        <v/>
      </c>
      <c r="F13" s="134" t="n">
        <v>45953</v>
      </c>
      <c r="G13" s="127" t="inlineStr">
        <is>
          <t>MEM-011</t>
        </is>
      </c>
      <c r="H13" s="130">
        <f>IF($G13="","",IFERROR(INDEX(MEM_Nom,MATCH($G13,MEM_ID,0)),"⚠ ID inconnu"))</f>
        <v/>
      </c>
      <c r="I13" s="127" t="inlineStr">
        <is>
          <t>LIV-045</t>
        </is>
      </c>
      <c r="J13" s="130">
        <f>IF($I13="","",IFERROR(INDEX(LIV_Titre,MATCH($I13,LIV_Code,0)),"⚠ Code inconnu"))</f>
        <v/>
      </c>
      <c r="K13" s="138">
        <f>IF($F13="","",$F13+P_Duree)</f>
        <v/>
      </c>
      <c r="L13" s="134" t="n">
        <v>45972</v>
      </c>
      <c r="M13" s="130">
        <f>IF(OR($F13="",$I13=""),"",IF($L13&lt;&gt;"",IF($L13&gt;$K13,"Rendu en retard","Rendu"),IF(TODAY()&gt;$K13,"En retard","En cours")))</f>
        <v/>
      </c>
      <c r="N13" s="139">
        <f>IF(OR($F13="",$I13=""),"",MAX(0,IF($L13&lt;&gt;"",$L13,TODAY())-$K13))</f>
        <v/>
      </c>
      <c r="O13" s="135">
        <f>IF(OR($F13="",$I13=""),"",$N13*P_Amende)</f>
        <v/>
      </c>
      <c r="P13" s="133" t="inlineStr">
        <is>
          <t>Non</t>
        </is>
      </c>
      <c r="R13">
        <f>IF($M13="En retard",$N13+ROW()/100000,"")</f>
        <v/>
      </c>
      <c r="S13">
        <f>IF(OR($F13="",$I13=""),"",$F13+ROW()/100000)</f>
        <v/>
      </c>
      <c r="T13">
        <f>IF($I13="","",IFERROR(INDEX(LIV_Cat,MATCH($I13,LIV_Code,0)),""))</f>
        <v/>
      </c>
    </row>
    <row r="14" ht="21" customHeight="1">
      <c r="A14" s="1" t="n"/>
      <c r="B14" s="53">
        <f>HYPERLINK("#'Recherche'!A1","🔍   Recherche")</f>
        <v/>
      </c>
      <c r="C14" s="54" t="n"/>
      <c r="E14" s="130">
        <f>IF($F14="","","EMP-"&amp;TEXT(ROW()-6,"0000"))</f>
        <v/>
      </c>
      <c r="F14" s="134" t="n">
        <v>45958</v>
      </c>
      <c r="G14" s="127" t="inlineStr">
        <is>
          <t>MEM-040</t>
        </is>
      </c>
      <c r="H14" s="130">
        <f>IF($G14="","",IFERROR(INDEX(MEM_Nom,MATCH($G14,MEM_ID,0)),"⚠ ID inconnu"))</f>
        <v/>
      </c>
      <c r="I14" s="127" t="inlineStr">
        <is>
          <t>LIV-035</t>
        </is>
      </c>
      <c r="J14" s="130">
        <f>IF($I14="","",IFERROR(INDEX(LIV_Titre,MATCH($I14,LIV_Code,0)),"⚠ Code inconnu"))</f>
        <v/>
      </c>
      <c r="K14" s="138">
        <f>IF($F14="","",$F14+P_Duree)</f>
        <v/>
      </c>
      <c r="L14" s="134" t="n">
        <v>45970</v>
      </c>
      <c r="M14" s="130">
        <f>IF(OR($F14="",$I14=""),"",IF($L14&lt;&gt;"",IF($L14&gt;$K14,"Rendu en retard","Rendu"),IF(TODAY()&gt;$K14,"En retard","En cours")))</f>
        <v/>
      </c>
      <c r="N14" s="139">
        <f>IF(OR($F14="",$I14=""),"",MAX(0,IF($L14&lt;&gt;"",$L14,TODAY())-$K14))</f>
        <v/>
      </c>
      <c r="O14" s="135">
        <f>IF(OR($F14="",$I14=""),"",$N14*P_Amende)</f>
        <v/>
      </c>
      <c r="P14" s="133" t="n"/>
      <c r="R14">
        <f>IF($M14="En retard",$N14+ROW()/100000,"")</f>
        <v/>
      </c>
      <c r="S14">
        <f>IF(OR($F14="",$I14=""),"",$F14+ROW()/100000)</f>
        <v/>
      </c>
      <c r="T14">
        <f>IF($I14="","",IFERROR(INDEX(LIV_Cat,MATCH($I14,LIV_Code,0)),""))</f>
        <v/>
      </c>
    </row>
    <row r="15" ht="21" customHeight="1">
      <c r="A15" s="1" t="n"/>
      <c r="B15" s="53">
        <f>HYPERLINK("#'Rapport mensuel'!A1","🖨   Rapport mensuel")</f>
        <v/>
      </c>
      <c r="C15" s="54" t="n"/>
      <c r="E15" s="130">
        <f>IF($F15="","","EMP-"&amp;TEXT(ROW()-6,"0000"))</f>
        <v/>
      </c>
      <c r="F15" s="134" t="n">
        <v>45961</v>
      </c>
      <c r="G15" s="127" t="inlineStr">
        <is>
          <t>MEM-013</t>
        </is>
      </c>
      <c r="H15" s="130">
        <f>IF($G15="","",IFERROR(INDEX(MEM_Nom,MATCH($G15,MEM_ID,0)),"⚠ ID inconnu"))</f>
        <v/>
      </c>
      <c r="I15" s="127" t="inlineStr">
        <is>
          <t>LIV-013</t>
        </is>
      </c>
      <c r="J15" s="130">
        <f>IF($I15="","",IFERROR(INDEX(LIV_Titre,MATCH($I15,LIV_Code,0)),"⚠ Code inconnu"))</f>
        <v/>
      </c>
      <c r="K15" s="138">
        <f>IF($F15="","",$F15+P_Duree)</f>
        <v/>
      </c>
      <c r="L15" s="134" t="n">
        <v>45968</v>
      </c>
      <c r="M15" s="130">
        <f>IF(OR($F15="",$I15=""),"",IF($L15&lt;&gt;"",IF($L15&gt;$K15,"Rendu en retard","Rendu"),IF(TODAY()&gt;$K15,"En retard","En cours")))</f>
        <v/>
      </c>
      <c r="N15" s="139">
        <f>IF(OR($F15="",$I15=""),"",MAX(0,IF($L15&lt;&gt;"",$L15,TODAY())-$K15))</f>
        <v/>
      </c>
      <c r="O15" s="135">
        <f>IF(OR($F15="",$I15=""),"",$N15*P_Amende)</f>
        <v/>
      </c>
      <c r="P15" s="133" t="n"/>
      <c r="R15">
        <f>IF($M15="En retard",$N15+ROW()/100000,"")</f>
        <v/>
      </c>
      <c r="S15">
        <f>IF(OR($F15="",$I15=""),"",$F15+ROW()/100000)</f>
        <v/>
      </c>
      <c r="T15">
        <f>IF($I15="","",IFERROR(INDEX(LIV_Cat,MATCH($I15,LIV_Code,0)),""))</f>
        <v/>
      </c>
    </row>
    <row r="16" ht="21" customHeight="1">
      <c r="A16" s="1" t="n"/>
      <c r="B16" s="53">
        <f>HYPERLINK("#'Paramètres'!A1","⚙   Paramètres")</f>
        <v/>
      </c>
      <c r="C16" s="54" t="n"/>
      <c r="E16" s="130">
        <f>IF($F16="","","EMP-"&amp;TEXT(ROW()-6,"0000"))</f>
        <v/>
      </c>
      <c r="F16" s="134" t="n">
        <v>45961</v>
      </c>
      <c r="G16" s="127" t="inlineStr">
        <is>
          <t>MEM-016</t>
        </is>
      </c>
      <c r="H16" s="130">
        <f>IF($G16="","",IFERROR(INDEX(MEM_Nom,MATCH($G16,MEM_ID,0)),"⚠ ID inconnu"))</f>
        <v/>
      </c>
      <c r="I16" s="127" t="inlineStr">
        <is>
          <t>LIV-001</t>
        </is>
      </c>
      <c r="J16" s="130">
        <f>IF($I16="","",IFERROR(INDEX(LIV_Titre,MATCH($I16,LIV_Code,0)),"⚠ Code inconnu"))</f>
        <v/>
      </c>
      <c r="K16" s="138">
        <f>IF($F16="","",$F16+P_Duree)</f>
        <v/>
      </c>
      <c r="L16" s="134" t="n">
        <v>45975</v>
      </c>
      <c r="M16" s="130">
        <f>IF(OR($F16="",$I16=""),"",IF($L16&lt;&gt;"",IF($L16&gt;$K16,"Rendu en retard","Rendu"),IF(TODAY()&gt;$K16,"En retard","En cours")))</f>
        <v/>
      </c>
      <c r="N16" s="139">
        <f>IF(OR($F16="",$I16=""),"",MAX(0,IF($L16&lt;&gt;"",$L16,TODAY())-$K16))</f>
        <v/>
      </c>
      <c r="O16" s="135">
        <f>IF(OR($F16="",$I16=""),"",$N16*P_Amende)</f>
        <v/>
      </c>
      <c r="P16" s="133" t="n"/>
      <c r="R16">
        <f>IF($M16="En retard",$N16+ROW()/100000,"")</f>
        <v/>
      </c>
      <c r="S16">
        <f>IF(OR($F16="",$I16=""),"",$F16+ROW()/100000)</f>
        <v/>
      </c>
      <c r="T16">
        <f>IF($I16="","",IFERROR(INDEX(LIV_Cat,MATCH($I16,LIV_Code,0)),""))</f>
        <v/>
      </c>
    </row>
    <row r="17" ht="21" customHeight="1">
      <c r="A17" s="1" t="n"/>
      <c r="B17" s="1" t="n"/>
      <c r="C17" s="2" t="n"/>
      <c r="E17" s="130">
        <f>IF($F17="","","EMP-"&amp;TEXT(ROW()-6,"0000"))</f>
        <v/>
      </c>
      <c r="F17" s="134" t="n">
        <v>45964</v>
      </c>
      <c r="G17" s="127" t="inlineStr">
        <is>
          <t>MEM-005</t>
        </is>
      </c>
      <c r="H17" s="130">
        <f>IF($G17="","",IFERROR(INDEX(MEM_Nom,MATCH($G17,MEM_ID,0)),"⚠ ID inconnu"))</f>
        <v/>
      </c>
      <c r="I17" s="127" t="inlineStr">
        <is>
          <t>LIV-049</t>
        </is>
      </c>
      <c r="J17" s="130">
        <f>IF($I17="","",IFERROR(INDEX(LIV_Titre,MATCH($I17,LIV_Code,0)),"⚠ Code inconnu"))</f>
        <v/>
      </c>
      <c r="K17" s="138">
        <f>IF($F17="","",$F17+P_Duree)</f>
        <v/>
      </c>
      <c r="L17" s="134" t="n">
        <v>45978</v>
      </c>
      <c r="M17" s="130">
        <f>IF(OR($F17="",$I17=""),"",IF($L17&lt;&gt;"",IF($L17&gt;$K17,"Rendu en retard","Rendu"),IF(TODAY()&gt;$K17,"En retard","En cours")))</f>
        <v/>
      </c>
      <c r="N17" s="139">
        <f>IF(OR($F17="",$I17=""),"",MAX(0,IF($L17&lt;&gt;"",$L17,TODAY())-$K17))</f>
        <v/>
      </c>
      <c r="O17" s="135">
        <f>IF(OR($F17="",$I17=""),"",$N17*P_Amende)</f>
        <v/>
      </c>
      <c r="P17" s="133" t="n"/>
      <c r="R17">
        <f>IF($M17="En retard",$N17+ROW()/100000,"")</f>
        <v/>
      </c>
      <c r="S17">
        <f>IF(OR($F17="",$I17=""),"",$F17+ROW()/100000)</f>
        <v/>
      </c>
      <c r="T17">
        <f>IF($I17="","",IFERROR(INDEX(LIV_Cat,MATCH($I17,LIV_Code,0)),""))</f>
        <v/>
      </c>
    </row>
    <row r="18" ht="21" customHeight="1">
      <c r="A18" s="1" t="n"/>
      <c r="B18" s="1" t="n"/>
      <c r="C18" s="2" t="n"/>
      <c r="E18" s="130">
        <f>IF($F18="","","EMP-"&amp;TEXT(ROW()-6,"0000"))</f>
        <v/>
      </c>
      <c r="F18" s="134" t="n">
        <v>45965</v>
      </c>
      <c r="G18" s="127" t="inlineStr">
        <is>
          <t>MEM-037</t>
        </is>
      </c>
      <c r="H18" s="130">
        <f>IF($G18="","",IFERROR(INDEX(MEM_Nom,MATCH($G18,MEM_ID,0)),"⚠ ID inconnu"))</f>
        <v/>
      </c>
      <c r="I18" s="127" t="inlineStr">
        <is>
          <t>LIV-053</t>
        </is>
      </c>
      <c r="J18" s="130">
        <f>IF($I18="","",IFERROR(INDEX(LIV_Titre,MATCH($I18,LIV_Code,0)),"⚠ Code inconnu"))</f>
        <v/>
      </c>
      <c r="K18" s="138">
        <f>IF($F18="","",$F18+P_Duree)</f>
        <v/>
      </c>
      <c r="L18" s="134" t="n">
        <v>45974</v>
      </c>
      <c r="M18" s="130">
        <f>IF(OR($F18="",$I18=""),"",IF($L18&lt;&gt;"",IF($L18&gt;$K18,"Rendu en retard","Rendu"),IF(TODAY()&gt;$K18,"En retard","En cours")))</f>
        <v/>
      </c>
      <c r="N18" s="139">
        <f>IF(OR($F18="",$I18=""),"",MAX(0,IF($L18&lt;&gt;"",$L18,TODAY())-$K18))</f>
        <v/>
      </c>
      <c r="O18" s="135">
        <f>IF(OR($F18="",$I18=""),"",$N18*P_Amende)</f>
        <v/>
      </c>
      <c r="P18" s="133" t="n"/>
      <c r="R18">
        <f>IF($M18="En retard",$N18+ROW()/100000,"")</f>
        <v/>
      </c>
      <c r="S18">
        <f>IF(OR($F18="",$I18=""),"",$F18+ROW()/100000)</f>
        <v/>
      </c>
      <c r="T18">
        <f>IF($I18="","",IFERROR(INDEX(LIV_Cat,MATCH($I18,LIV_Code,0)),""))</f>
        <v/>
      </c>
    </row>
    <row r="19" ht="21" customHeight="1">
      <c r="A19" s="1" t="n"/>
      <c r="B19" s="1" t="n"/>
      <c r="C19" s="2" t="n"/>
      <c r="E19" s="130">
        <f>IF($F19="","","EMP-"&amp;TEXT(ROW()-6,"0000"))</f>
        <v/>
      </c>
      <c r="F19" s="134" t="n">
        <v>45966</v>
      </c>
      <c r="G19" s="127" t="inlineStr">
        <is>
          <t>MEM-032</t>
        </is>
      </c>
      <c r="H19" s="130">
        <f>IF($G19="","",IFERROR(INDEX(MEM_Nom,MATCH($G19,MEM_ID,0)),"⚠ ID inconnu"))</f>
        <v/>
      </c>
      <c r="I19" s="127" t="inlineStr">
        <is>
          <t>LIV-037</t>
        </is>
      </c>
      <c r="J19" s="130">
        <f>IF($I19="","",IFERROR(INDEX(LIV_Titre,MATCH($I19,LIV_Code,0)),"⚠ Code inconnu"))</f>
        <v/>
      </c>
      <c r="K19" s="138">
        <f>IF($F19="","",$F19+P_Duree)</f>
        <v/>
      </c>
      <c r="L19" s="134" t="n">
        <v>45979</v>
      </c>
      <c r="M19" s="130">
        <f>IF(OR($F19="",$I19=""),"",IF($L19&lt;&gt;"",IF($L19&gt;$K19,"Rendu en retard","Rendu"),IF(TODAY()&gt;$K19,"En retard","En cours")))</f>
        <v/>
      </c>
      <c r="N19" s="139">
        <f>IF(OR($F19="",$I19=""),"",MAX(0,IF($L19&lt;&gt;"",$L19,TODAY())-$K19))</f>
        <v/>
      </c>
      <c r="O19" s="135">
        <f>IF(OR($F19="",$I19=""),"",$N19*P_Amende)</f>
        <v/>
      </c>
      <c r="P19" s="133" t="n"/>
      <c r="R19">
        <f>IF($M19="En retard",$N19+ROW()/100000,"")</f>
        <v/>
      </c>
      <c r="S19">
        <f>IF(OR($F19="",$I19=""),"",$F19+ROW()/100000)</f>
        <v/>
      </c>
      <c r="T19">
        <f>IF($I19="","",IFERROR(INDEX(LIV_Cat,MATCH($I19,LIV_Code,0)),""))</f>
        <v/>
      </c>
    </row>
    <row r="20" ht="21" customHeight="1">
      <c r="A20" s="1" t="n"/>
      <c r="B20" s="1" t="n"/>
      <c r="C20" s="2" t="n"/>
      <c r="E20" s="130">
        <f>IF($F20="","","EMP-"&amp;TEXT(ROW()-6,"0000"))</f>
        <v/>
      </c>
      <c r="F20" s="134" t="n">
        <v>45966</v>
      </c>
      <c r="G20" s="127" t="inlineStr">
        <is>
          <t>MEM-001</t>
        </is>
      </c>
      <c r="H20" s="130">
        <f>IF($G20="","",IFERROR(INDEX(MEM_Nom,MATCH($G20,MEM_ID,0)),"⚠ ID inconnu"))</f>
        <v/>
      </c>
      <c r="I20" s="127" t="inlineStr">
        <is>
          <t>LIV-010</t>
        </is>
      </c>
      <c r="J20" s="130">
        <f>IF($I20="","",IFERROR(INDEX(LIV_Titre,MATCH($I20,LIV_Code,0)),"⚠ Code inconnu"))</f>
        <v/>
      </c>
      <c r="K20" s="138">
        <f>IF($F20="","",$F20+P_Duree)</f>
        <v/>
      </c>
      <c r="L20" s="134" t="n">
        <v>45972</v>
      </c>
      <c r="M20" s="130">
        <f>IF(OR($F20="",$I20=""),"",IF($L20&lt;&gt;"",IF($L20&gt;$K20,"Rendu en retard","Rendu"),IF(TODAY()&gt;$K20,"En retard","En cours")))</f>
        <v/>
      </c>
      <c r="N20" s="139">
        <f>IF(OR($F20="",$I20=""),"",MAX(0,IF($L20&lt;&gt;"",$L20,TODAY())-$K20))</f>
        <v/>
      </c>
      <c r="O20" s="135">
        <f>IF(OR($F20="",$I20=""),"",$N20*P_Amende)</f>
        <v/>
      </c>
      <c r="P20" s="133" t="n"/>
      <c r="R20">
        <f>IF($M20="En retard",$N20+ROW()/100000,"")</f>
        <v/>
      </c>
      <c r="S20">
        <f>IF(OR($F20="",$I20=""),"",$F20+ROW()/100000)</f>
        <v/>
      </c>
      <c r="T20">
        <f>IF($I20="","",IFERROR(INDEX(LIV_Cat,MATCH($I20,LIV_Code,0)),""))</f>
        <v/>
      </c>
    </row>
    <row r="21" ht="21" customHeight="1">
      <c r="A21" s="1" t="n"/>
      <c r="B21" s="1" t="n"/>
      <c r="C21" s="2" t="n"/>
      <c r="E21" s="130">
        <f>IF($F21="","","EMP-"&amp;TEXT(ROW()-6,"0000"))</f>
        <v/>
      </c>
      <c r="F21" s="134" t="n">
        <v>45967</v>
      </c>
      <c r="G21" s="127" t="inlineStr">
        <is>
          <t>MEM-034</t>
        </is>
      </c>
      <c r="H21" s="130">
        <f>IF($G21="","",IFERROR(INDEX(MEM_Nom,MATCH($G21,MEM_ID,0)),"⚠ ID inconnu"))</f>
        <v/>
      </c>
      <c r="I21" s="127" t="inlineStr">
        <is>
          <t>LIV-010</t>
        </is>
      </c>
      <c r="J21" s="130">
        <f>IF($I21="","",IFERROR(INDEX(LIV_Titre,MATCH($I21,LIV_Code,0)),"⚠ Code inconnu"))</f>
        <v/>
      </c>
      <c r="K21" s="138">
        <f>IF($F21="","",$F21+P_Duree)</f>
        <v/>
      </c>
      <c r="L21" s="134" t="n">
        <v>45981</v>
      </c>
      <c r="M21" s="130">
        <f>IF(OR($F21="",$I21=""),"",IF($L21&lt;&gt;"",IF($L21&gt;$K21,"Rendu en retard","Rendu"),IF(TODAY()&gt;$K21,"En retard","En cours")))</f>
        <v/>
      </c>
      <c r="N21" s="139">
        <f>IF(OR($F21="",$I21=""),"",MAX(0,IF($L21&lt;&gt;"",$L21,TODAY())-$K21))</f>
        <v/>
      </c>
      <c r="O21" s="135">
        <f>IF(OR($F21="",$I21=""),"",$N21*P_Amende)</f>
        <v/>
      </c>
      <c r="P21" s="133" t="n"/>
      <c r="R21">
        <f>IF($M21="En retard",$N21+ROW()/100000,"")</f>
        <v/>
      </c>
      <c r="S21">
        <f>IF(OR($F21="",$I21=""),"",$F21+ROW()/100000)</f>
        <v/>
      </c>
      <c r="T21">
        <f>IF($I21="","",IFERROR(INDEX(LIV_Cat,MATCH($I21,LIV_Code,0)),""))</f>
        <v/>
      </c>
    </row>
    <row r="22" ht="21" customHeight="1">
      <c r="A22" s="1" t="n"/>
      <c r="B22" s="1" t="n"/>
      <c r="C22" s="2" t="n"/>
      <c r="E22" s="130">
        <f>IF($F22="","","EMP-"&amp;TEXT(ROW()-6,"0000"))</f>
        <v/>
      </c>
      <c r="F22" s="134" t="n">
        <v>45971</v>
      </c>
      <c r="G22" s="127" t="inlineStr">
        <is>
          <t>MEM-008</t>
        </is>
      </c>
      <c r="H22" s="130">
        <f>IF($G22="","",IFERROR(INDEX(MEM_Nom,MATCH($G22,MEM_ID,0)),"⚠ ID inconnu"))</f>
        <v/>
      </c>
      <c r="I22" s="127" t="inlineStr">
        <is>
          <t>LIV-010</t>
        </is>
      </c>
      <c r="J22" s="130">
        <f>IF($I22="","",IFERROR(INDEX(LIV_Titre,MATCH($I22,LIV_Code,0)),"⚠ Code inconnu"))</f>
        <v/>
      </c>
      <c r="K22" s="138">
        <f>IF($F22="","",$F22+P_Duree)</f>
        <v/>
      </c>
      <c r="L22" s="134" t="n">
        <v>45985</v>
      </c>
      <c r="M22" s="130">
        <f>IF(OR($F22="",$I22=""),"",IF($L22&lt;&gt;"",IF($L22&gt;$K22,"Rendu en retard","Rendu"),IF(TODAY()&gt;$K22,"En retard","En cours")))</f>
        <v/>
      </c>
      <c r="N22" s="139">
        <f>IF(OR($F22="",$I22=""),"",MAX(0,IF($L22&lt;&gt;"",$L22,TODAY())-$K22))</f>
        <v/>
      </c>
      <c r="O22" s="135">
        <f>IF(OR($F22="",$I22=""),"",$N22*P_Amende)</f>
        <v/>
      </c>
      <c r="P22" s="133" t="n"/>
      <c r="R22">
        <f>IF($M22="En retard",$N22+ROW()/100000,"")</f>
        <v/>
      </c>
      <c r="S22">
        <f>IF(OR($F22="",$I22=""),"",$F22+ROW()/100000)</f>
        <v/>
      </c>
      <c r="T22">
        <f>IF($I22="","",IFERROR(INDEX(LIV_Cat,MATCH($I22,LIV_Code,0)),""))</f>
        <v/>
      </c>
    </row>
    <row r="23" ht="21" customHeight="1">
      <c r="A23" s="1" t="n"/>
      <c r="B23" s="1" t="n"/>
      <c r="C23" s="2" t="n"/>
      <c r="E23" s="130">
        <f>IF($F23="","","EMP-"&amp;TEXT(ROW()-6,"0000"))</f>
        <v/>
      </c>
      <c r="F23" s="134" t="n">
        <v>45973</v>
      </c>
      <c r="G23" s="127" t="inlineStr">
        <is>
          <t>MEM-036</t>
        </is>
      </c>
      <c r="H23" s="130">
        <f>IF($G23="","",IFERROR(INDEX(MEM_Nom,MATCH($G23,MEM_ID,0)),"⚠ ID inconnu"))</f>
        <v/>
      </c>
      <c r="I23" s="127" t="inlineStr">
        <is>
          <t>LIV-035</t>
        </is>
      </c>
      <c r="J23" s="130">
        <f>IF($I23="","",IFERROR(INDEX(LIV_Titre,MATCH($I23,LIV_Code,0)),"⚠ Code inconnu"))</f>
        <v/>
      </c>
      <c r="K23" s="138">
        <f>IF($F23="","",$F23+P_Duree)</f>
        <v/>
      </c>
      <c r="L23" s="134" t="n">
        <v>45989</v>
      </c>
      <c r="M23" s="130">
        <f>IF(OR($F23="",$I23=""),"",IF($L23&lt;&gt;"",IF($L23&gt;$K23,"Rendu en retard","Rendu"),IF(TODAY()&gt;$K23,"En retard","En cours")))</f>
        <v/>
      </c>
      <c r="N23" s="139">
        <f>IF(OR($F23="",$I23=""),"",MAX(0,IF($L23&lt;&gt;"",$L23,TODAY())-$K23))</f>
        <v/>
      </c>
      <c r="O23" s="135">
        <f>IF(OR($F23="",$I23=""),"",$N23*P_Amende)</f>
        <v/>
      </c>
      <c r="P23" s="133" t="inlineStr">
        <is>
          <t>Oui</t>
        </is>
      </c>
      <c r="R23">
        <f>IF($M23="En retard",$N23+ROW()/100000,"")</f>
        <v/>
      </c>
      <c r="S23">
        <f>IF(OR($F23="",$I23=""),"",$F23+ROW()/100000)</f>
        <v/>
      </c>
      <c r="T23">
        <f>IF($I23="","",IFERROR(INDEX(LIV_Cat,MATCH($I23,LIV_Code,0)),""))</f>
        <v/>
      </c>
    </row>
    <row r="24" ht="21" customHeight="1">
      <c r="A24" s="1" t="n"/>
      <c r="B24" s="1" t="n"/>
      <c r="C24" s="2" t="n"/>
      <c r="E24" s="130">
        <f>IF($F24="","","EMP-"&amp;TEXT(ROW()-6,"0000"))</f>
        <v/>
      </c>
      <c r="F24" s="134" t="n">
        <v>45975</v>
      </c>
      <c r="G24" s="127" t="inlineStr">
        <is>
          <t>MEM-033</t>
        </is>
      </c>
      <c r="H24" s="130">
        <f>IF($G24="","",IFERROR(INDEX(MEM_Nom,MATCH($G24,MEM_ID,0)),"⚠ ID inconnu"))</f>
        <v/>
      </c>
      <c r="I24" s="127" t="inlineStr">
        <is>
          <t>LIV-032</t>
        </is>
      </c>
      <c r="J24" s="130">
        <f>IF($I24="","",IFERROR(INDEX(LIV_Titre,MATCH($I24,LIV_Code,0)),"⚠ Code inconnu"))</f>
        <v/>
      </c>
      <c r="K24" s="138">
        <f>IF($F24="","",$F24+P_Duree)</f>
        <v/>
      </c>
      <c r="L24" s="134" t="n">
        <v>45988</v>
      </c>
      <c r="M24" s="130">
        <f>IF(OR($F24="",$I24=""),"",IF($L24&lt;&gt;"",IF($L24&gt;$K24,"Rendu en retard","Rendu"),IF(TODAY()&gt;$K24,"En retard","En cours")))</f>
        <v/>
      </c>
      <c r="N24" s="139">
        <f>IF(OR($F24="",$I24=""),"",MAX(0,IF($L24&lt;&gt;"",$L24,TODAY())-$K24))</f>
        <v/>
      </c>
      <c r="O24" s="135">
        <f>IF(OR($F24="",$I24=""),"",$N24*P_Amende)</f>
        <v/>
      </c>
      <c r="P24" s="133" t="n"/>
      <c r="R24">
        <f>IF($M24="En retard",$N24+ROW()/100000,"")</f>
        <v/>
      </c>
      <c r="S24">
        <f>IF(OR($F24="",$I24=""),"",$F24+ROW()/100000)</f>
        <v/>
      </c>
      <c r="T24">
        <f>IF($I24="","",IFERROR(INDEX(LIV_Cat,MATCH($I24,LIV_Code,0)),""))</f>
        <v/>
      </c>
    </row>
    <row r="25" ht="21" customHeight="1">
      <c r="A25" s="1" t="n"/>
      <c r="B25" s="1" t="n"/>
      <c r="C25" s="2" t="n"/>
      <c r="E25" s="130">
        <f>IF($F25="","","EMP-"&amp;TEXT(ROW()-6,"0000"))</f>
        <v/>
      </c>
      <c r="F25" s="134" t="n">
        <v>45978</v>
      </c>
      <c r="G25" s="127" t="inlineStr">
        <is>
          <t>MEM-011</t>
        </is>
      </c>
      <c r="H25" s="130">
        <f>IF($G25="","",IFERROR(INDEX(MEM_Nom,MATCH($G25,MEM_ID,0)),"⚠ ID inconnu"))</f>
        <v/>
      </c>
      <c r="I25" s="127" t="inlineStr">
        <is>
          <t>LIV-023</t>
        </is>
      </c>
      <c r="J25" s="130">
        <f>IF($I25="","",IFERROR(INDEX(LIV_Titre,MATCH($I25,LIV_Code,0)),"⚠ Code inconnu"))</f>
        <v/>
      </c>
      <c r="K25" s="138">
        <f>IF($F25="","",$F25+P_Duree)</f>
        <v/>
      </c>
      <c r="L25" s="134" t="n">
        <v>46001</v>
      </c>
      <c r="M25" s="130">
        <f>IF(OR($F25="",$I25=""),"",IF($L25&lt;&gt;"",IF($L25&gt;$K25,"Rendu en retard","Rendu"),IF(TODAY()&gt;$K25,"En retard","En cours")))</f>
        <v/>
      </c>
      <c r="N25" s="139">
        <f>IF(OR($F25="",$I25=""),"",MAX(0,IF($L25&lt;&gt;"",$L25,TODAY())-$K25))</f>
        <v/>
      </c>
      <c r="O25" s="135">
        <f>IF(OR($F25="",$I25=""),"",$N25*P_Amende)</f>
        <v/>
      </c>
      <c r="P25" s="133" t="inlineStr">
        <is>
          <t>Oui</t>
        </is>
      </c>
      <c r="R25">
        <f>IF($M25="En retard",$N25+ROW()/100000,"")</f>
        <v/>
      </c>
      <c r="S25">
        <f>IF(OR($F25="",$I25=""),"",$F25+ROW()/100000)</f>
        <v/>
      </c>
      <c r="T25">
        <f>IF($I25="","",IFERROR(INDEX(LIV_Cat,MATCH($I25,LIV_Code,0)),""))</f>
        <v/>
      </c>
    </row>
    <row r="26" ht="21" customHeight="1">
      <c r="A26" s="1" t="n"/>
      <c r="B26" s="1" t="n"/>
      <c r="C26" s="2" t="n"/>
      <c r="E26" s="130">
        <f>IF($F26="","","EMP-"&amp;TEXT(ROW()-6,"0000"))</f>
        <v/>
      </c>
      <c r="F26" s="134" t="n">
        <v>45979</v>
      </c>
      <c r="G26" s="127" t="inlineStr">
        <is>
          <t>MEM-016</t>
        </is>
      </c>
      <c r="H26" s="130">
        <f>IF($G26="","",IFERROR(INDEX(MEM_Nom,MATCH($G26,MEM_ID,0)),"⚠ ID inconnu"))</f>
        <v/>
      </c>
      <c r="I26" s="127" t="inlineStr">
        <is>
          <t>LIV-023</t>
        </is>
      </c>
      <c r="J26" s="130">
        <f>IF($I26="","",IFERROR(INDEX(LIV_Titre,MATCH($I26,LIV_Code,0)),"⚠ Code inconnu"))</f>
        <v/>
      </c>
      <c r="K26" s="138">
        <f>IF($F26="","",$F26+P_Duree)</f>
        <v/>
      </c>
      <c r="L26" s="134" t="n">
        <v>45998</v>
      </c>
      <c r="M26" s="130">
        <f>IF(OR($F26="",$I26=""),"",IF($L26&lt;&gt;"",IF($L26&gt;$K26,"Rendu en retard","Rendu"),IF(TODAY()&gt;$K26,"En retard","En cours")))</f>
        <v/>
      </c>
      <c r="N26" s="139">
        <f>IF(OR($F26="",$I26=""),"",MAX(0,IF($L26&lt;&gt;"",$L26,TODAY())-$K26))</f>
        <v/>
      </c>
      <c r="O26" s="135">
        <f>IF(OR($F26="",$I26=""),"",$N26*P_Amende)</f>
        <v/>
      </c>
      <c r="P26" s="133" t="inlineStr">
        <is>
          <t>Oui</t>
        </is>
      </c>
      <c r="R26">
        <f>IF($M26="En retard",$N26+ROW()/100000,"")</f>
        <v/>
      </c>
      <c r="S26">
        <f>IF(OR($F26="",$I26=""),"",$F26+ROW()/100000)</f>
        <v/>
      </c>
      <c r="T26">
        <f>IF($I26="","",IFERROR(INDEX(LIV_Cat,MATCH($I26,LIV_Code,0)),""))</f>
        <v/>
      </c>
    </row>
    <row r="27" ht="21" customHeight="1">
      <c r="A27" s="1" t="n"/>
      <c r="B27" s="1" t="n"/>
      <c r="C27" s="2" t="n"/>
      <c r="E27" s="130">
        <f>IF($F27="","","EMP-"&amp;TEXT(ROW()-6,"0000"))</f>
        <v/>
      </c>
      <c r="F27" s="134" t="n">
        <v>45981</v>
      </c>
      <c r="G27" s="127" t="inlineStr">
        <is>
          <t>MEM-016</t>
        </is>
      </c>
      <c r="H27" s="130">
        <f>IF($G27="","",IFERROR(INDEX(MEM_Nom,MATCH($G27,MEM_ID,0)),"⚠ ID inconnu"))</f>
        <v/>
      </c>
      <c r="I27" s="127" t="inlineStr">
        <is>
          <t>LIV-023</t>
        </is>
      </c>
      <c r="J27" s="130">
        <f>IF($I27="","",IFERROR(INDEX(LIV_Titre,MATCH($I27,LIV_Code,0)),"⚠ Code inconnu"))</f>
        <v/>
      </c>
      <c r="K27" s="138">
        <f>IF($F27="","",$F27+P_Duree)</f>
        <v/>
      </c>
      <c r="L27" s="134" t="n">
        <v>45991</v>
      </c>
      <c r="M27" s="130">
        <f>IF(OR($F27="",$I27=""),"",IF($L27&lt;&gt;"",IF($L27&gt;$K27,"Rendu en retard","Rendu"),IF(TODAY()&gt;$K27,"En retard","En cours")))</f>
        <v/>
      </c>
      <c r="N27" s="139">
        <f>IF(OR($F27="",$I27=""),"",MAX(0,IF($L27&lt;&gt;"",$L27,TODAY())-$K27))</f>
        <v/>
      </c>
      <c r="O27" s="135">
        <f>IF(OR($F27="",$I27=""),"",$N27*P_Amende)</f>
        <v/>
      </c>
      <c r="P27" s="133" t="n"/>
      <c r="R27">
        <f>IF($M27="En retard",$N27+ROW()/100000,"")</f>
        <v/>
      </c>
      <c r="S27">
        <f>IF(OR($F27="",$I27=""),"",$F27+ROW()/100000)</f>
        <v/>
      </c>
      <c r="T27">
        <f>IF($I27="","",IFERROR(INDEX(LIV_Cat,MATCH($I27,LIV_Code,0)),""))</f>
        <v/>
      </c>
    </row>
    <row r="28" ht="21" customHeight="1">
      <c r="A28" s="1" t="n"/>
      <c r="B28" s="1" t="n"/>
      <c r="C28" s="2" t="n"/>
      <c r="E28" s="130">
        <f>IF($F28="","","EMP-"&amp;TEXT(ROW()-6,"0000"))</f>
        <v/>
      </c>
      <c r="F28" s="134" t="n">
        <v>45982</v>
      </c>
      <c r="G28" s="127" t="inlineStr">
        <is>
          <t>MEM-019</t>
        </is>
      </c>
      <c r="H28" s="130">
        <f>IF($G28="","",IFERROR(INDEX(MEM_Nom,MATCH($G28,MEM_ID,0)),"⚠ ID inconnu"))</f>
        <v/>
      </c>
      <c r="I28" s="127" t="inlineStr">
        <is>
          <t>LIV-002</t>
        </is>
      </c>
      <c r="J28" s="130">
        <f>IF($I28="","",IFERROR(INDEX(LIV_Titre,MATCH($I28,LIV_Code,0)),"⚠ Code inconnu"))</f>
        <v/>
      </c>
      <c r="K28" s="138">
        <f>IF($F28="","",$F28+P_Duree)</f>
        <v/>
      </c>
      <c r="L28" s="134" t="n">
        <v>45991</v>
      </c>
      <c r="M28" s="130">
        <f>IF(OR($F28="",$I28=""),"",IF($L28&lt;&gt;"",IF($L28&gt;$K28,"Rendu en retard","Rendu"),IF(TODAY()&gt;$K28,"En retard","En cours")))</f>
        <v/>
      </c>
      <c r="N28" s="139">
        <f>IF(OR($F28="",$I28=""),"",MAX(0,IF($L28&lt;&gt;"",$L28,TODAY())-$K28))</f>
        <v/>
      </c>
      <c r="O28" s="135">
        <f>IF(OR($F28="",$I28=""),"",$N28*P_Amende)</f>
        <v/>
      </c>
      <c r="P28" s="133" t="n"/>
      <c r="R28">
        <f>IF($M28="En retard",$N28+ROW()/100000,"")</f>
        <v/>
      </c>
      <c r="S28">
        <f>IF(OR($F28="",$I28=""),"",$F28+ROW()/100000)</f>
        <v/>
      </c>
      <c r="T28">
        <f>IF($I28="","",IFERROR(INDEX(LIV_Cat,MATCH($I28,LIV_Code,0)),""))</f>
        <v/>
      </c>
    </row>
    <row r="29" ht="21" customHeight="1">
      <c r="A29" s="1" t="n"/>
      <c r="B29" s="1" t="n"/>
      <c r="C29" s="2" t="n"/>
      <c r="E29" s="130">
        <f>IF($F29="","","EMP-"&amp;TEXT(ROW()-6,"0000"))</f>
        <v/>
      </c>
      <c r="F29" s="134" t="n">
        <v>45988</v>
      </c>
      <c r="G29" s="127" t="inlineStr">
        <is>
          <t>MEM-010</t>
        </is>
      </c>
      <c r="H29" s="130">
        <f>IF($G29="","",IFERROR(INDEX(MEM_Nom,MATCH($G29,MEM_ID,0)),"⚠ ID inconnu"))</f>
        <v/>
      </c>
      <c r="I29" s="127" t="inlineStr">
        <is>
          <t>LIV-002</t>
        </is>
      </c>
      <c r="J29" s="130">
        <f>IF($I29="","",IFERROR(INDEX(LIV_Titre,MATCH($I29,LIV_Code,0)),"⚠ Code inconnu"))</f>
        <v/>
      </c>
      <c r="K29" s="138">
        <f>IF($F29="","",$F29+P_Duree)</f>
        <v/>
      </c>
      <c r="L29" s="134" t="n">
        <v>45997</v>
      </c>
      <c r="M29" s="130">
        <f>IF(OR($F29="",$I29=""),"",IF($L29&lt;&gt;"",IF($L29&gt;$K29,"Rendu en retard","Rendu"),IF(TODAY()&gt;$K29,"En retard","En cours")))</f>
        <v/>
      </c>
      <c r="N29" s="139">
        <f>IF(OR($F29="",$I29=""),"",MAX(0,IF($L29&lt;&gt;"",$L29,TODAY())-$K29))</f>
        <v/>
      </c>
      <c r="O29" s="135">
        <f>IF(OR($F29="",$I29=""),"",$N29*P_Amende)</f>
        <v/>
      </c>
      <c r="P29" s="133" t="n"/>
      <c r="R29">
        <f>IF($M29="En retard",$N29+ROW()/100000,"")</f>
        <v/>
      </c>
      <c r="S29">
        <f>IF(OR($F29="",$I29=""),"",$F29+ROW()/100000)</f>
        <v/>
      </c>
      <c r="T29">
        <f>IF($I29="","",IFERROR(INDEX(LIV_Cat,MATCH($I29,LIV_Code,0)),""))</f>
        <v/>
      </c>
    </row>
    <row r="30" ht="21" customHeight="1">
      <c r="A30" s="1" t="n"/>
      <c r="B30" s="1" t="n"/>
      <c r="C30" s="2" t="n"/>
      <c r="E30" s="130">
        <f>IF($F30="","","EMP-"&amp;TEXT(ROW()-6,"0000"))</f>
        <v/>
      </c>
      <c r="F30" s="134" t="n">
        <v>45989</v>
      </c>
      <c r="G30" s="127" t="inlineStr">
        <is>
          <t>MEM-014</t>
        </is>
      </c>
      <c r="H30" s="130">
        <f>IF($G30="","",IFERROR(INDEX(MEM_Nom,MATCH($G30,MEM_ID,0)),"⚠ ID inconnu"))</f>
        <v/>
      </c>
      <c r="I30" s="127" t="inlineStr">
        <is>
          <t>LIV-037</t>
        </is>
      </c>
      <c r="J30" s="130">
        <f>IF($I30="","",IFERROR(INDEX(LIV_Titre,MATCH($I30,LIV_Code,0)),"⚠ Code inconnu"))</f>
        <v/>
      </c>
      <c r="K30" s="138">
        <f>IF($F30="","",$F30+P_Duree)</f>
        <v/>
      </c>
      <c r="L30" s="134" t="n">
        <v>45995</v>
      </c>
      <c r="M30" s="130">
        <f>IF(OR($F30="",$I30=""),"",IF($L30&lt;&gt;"",IF($L30&gt;$K30,"Rendu en retard","Rendu"),IF(TODAY()&gt;$K30,"En retard","En cours")))</f>
        <v/>
      </c>
      <c r="N30" s="139">
        <f>IF(OR($F30="",$I30=""),"",MAX(0,IF($L30&lt;&gt;"",$L30,TODAY())-$K30))</f>
        <v/>
      </c>
      <c r="O30" s="135">
        <f>IF(OR($F30="",$I30=""),"",$N30*P_Amende)</f>
        <v/>
      </c>
      <c r="P30" s="133" t="n"/>
      <c r="R30">
        <f>IF($M30="En retard",$N30+ROW()/100000,"")</f>
        <v/>
      </c>
      <c r="S30">
        <f>IF(OR($F30="",$I30=""),"",$F30+ROW()/100000)</f>
        <v/>
      </c>
      <c r="T30">
        <f>IF($I30="","",IFERROR(INDEX(LIV_Cat,MATCH($I30,LIV_Code,0)),""))</f>
        <v/>
      </c>
    </row>
    <row r="31" ht="21" customHeight="1">
      <c r="A31" s="1" t="n"/>
      <c r="B31" s="1" t="n"/>
      <c r="C31" s="2" t="n"/>
      <c r="E31" s="130">
        <f>IF($F31="","","EMP-"&amp;TEXT(ROW()-6,"0000"))</f>
        <v/>
      </c>
      <c r="F31" s="134" t="n">
        <v>45992</v>
      </c>
      <c r="G31" s="127" t="inlineStr">
        <is>
          <t>MEM-035</t>
        </is>
      </c>
      <c r="H31" s="130">
        <f>IF($G31="","",IFERROR(INDEX(MEM_Nom,MATCH($G31,MEM_ID,0)),"⚠ ID inconnu"))</f>
        <v/>
      </c>
      <c r="I31" s="127" t="inlineStr">
        <is>
          <t>LIV-019</t>
        </is>
      </c>
      <c r="J31" s="130">
        <f>IF($I31="","",IFERROR(INDEX(LIV_Titre,MATCH($I31,LIV_Code,0)),"⚠ Code inconnu"))</f>
        <v/>
      </c>
      <c r="K31" s="138">
        <f>IF($F31="","",$F31+P_Duree)</f>
        <v/>
      </c>
      <c r="L31" s="134" t="n">
        <v>46006</v>
      </c>
      <c r="M31" s="130">
        <f>IF(OR($F31="",$I31=""),"",IF($L31&lt;&gt;"",IF($L31&gt;$K31,"Rendu en retard","Rendu"),IF(TODAY()&gt;$K31,"En retard","En cours")))</f>
        <v/>
      </c>
      <c r="N31" s="139">
        <f>IF(OR($F31="",$I31=""),"",MAX(0,IF($L31&lt;&gt;"",$L31,TODAY())-$K31))</f>
        <v/>
      </c>
      <c r="O31" s="135">
        <f>IF(OR($F31="",$I31=""),"",$N31*P_Amende)</f>
        <v/>
      </c>
      <c r="P31" s="133" t="n"/>
      <c r="R31">
        <f>IF($M31="En retard",$N31+ROW()/100000,"")</f>
        <v/>
      </c>
      <c r="S31">
        <f>IF(OR($F31="",$I31=""),"",$F31+ROW()/100000)</f>
        <v/>
      </c>
      <c r="T31">
        <f>IF($I31="","",IFERROR(INDEX(LIV_Cat,MATCH($I31,LIV_Code,0)),""))</f>
        <v/>
      </c>
    </row>
    <row r="32" ht="21" customHeight="1">
      <c r="A32" s="1" t="n"/>
      <c r="B32" s="1" t="n"/>
      <c r="C32" s="2" t="n"/>
      <c r="E32" s="130">
        <f>IF($F32="","","EMP-"&amp;TEXT(ROW()-6,"0000"))</f>
        <v/>
      </c>
      <c r="F32" s="134" t="n">
        <v>45993</v>
      </c>
      <c r="G32" s="127" t="inlineStr">
        <is>
          <t>MEM-027</t>
        </is>
      </c>
      <c r="H32" s="130">
        <f>IF($G32="","",IFERROR(INDEX(MEM_Nom,MATCH($G32,MEM_ID,0)),"⚠ ID inconnu"))</f>
        <v/>
      </c>
      <c r="I32" s="127" t="inlineStr">
        <is>
          <t>LIV-002</t>
        </is>
      </c>
      <c r="J32" s="130">
        <f>IF($I32="","",IFERROR(INDEX(LIV_Titre,MATCH($I32,LIV_Code,0)),"⚠ Code inconnu"))</f>
        <v/>
      </c>
      <c r="K32" s="138">
        <f>IF($F32="","",$F32+P_Duree)</f>
        <v/>
      </c>
      <c r="L32" s="134" t="n">
        <v>46006</v>
      </c>
      <c r="M32" s="130">
        <f>IF(OR($F32="",$I32=""),"",IF($L32&lt;&gt;"",IF($L32&gt;$K32,"Rendu en retard","Rendu"),IF(TODAY()&gt;$K32,"En retard","En cours")))</f>
        <v/>
      </c>
      <c r="N32" s="139">
        <f>IF(OR($F32="",$I32=""),"",MAX(0,IF($L32&lt;&gt;"",$L32,TODAY())-$K32))</f>
        <v/>
      </c>
      <c r="O32" s="135">
        <f>IF(OR($F32="",$I32=""),"",$N32*P_Amende)</f>
        <v/>
      </c>
      <c r="P32" s="133" t="n"/>
      <c r="R32">
        <f>IF($M32="En retard",$N32+ROW()/100000,"")</f>
        <v/>
      </c>
      <c r="S32">
        <f>IF(OR($F32="",$I32=""),"",$F32+ROW()/100000)</f>
        <v/>
      </c>
      <c r="T32">
        <f>IF($I32="","",IFERROR(INDEX(LIV_Cat,MATCH($I32,LIV_Code,0)),""))</f>
        <v/>
      </c>
    </row>
    <row r="33" ht="21" customHeight="1">
      <c r="A33" s="1" t="n"/>
      <c r="B33" s="1" t="n"/>
      <c r="C33" s="2" t="n"/>
      <c r="E33" s="130">
        <f>IF($F33="","","EMP-"&amp;TEXT(ROW()-6,"0000"))</f>
        <v/>
      </c>
      <c r="F33" s="134" t="n">
        <v>45994</v>
      </c>
      <c r="G33" s="127" t="inlineStr">
        <is>
          <t>MEM-002</t>
        </is>
      </c>
      <c r="H33" s="130">
        <f>IF($G33="","",IFERROR(INDEX(MEM_Nom,MATCH($G33,MEM_ID,0)),"⚠ ID inconnu"))</f>
        <v/>
      </c>
      <c r="I33" s="127" t="inlineStr">
        <is>
          <t>LIV-059</t>
        </is>
      </c>
      <c r="J33" s="130">
        <f>IF($I33="","",IFERROR(INDEX(LIV_Titre,MATCH($I33,LIV_Code,0)),"⚠ Code inconnu"))</f>
        <v/>
      </c>
      <c r="K33" s="138">
        <f>IF($F33="","",$F33+P_Duree)</f>
        <v/>
      </c>
      <c r="L33" s="134" t="n">
        <v>46010</v>
      </c>
      <c r="M33" s="130">
        <f>IF(OR($F33="",$I33=""),"",IF($L33&lt;&gt;"",IF($L33&gt;$K33,"Rendu en retard","Rendu"),IF(TODAY()&gt;$K33,"En retard","En cours")))</f>
        <v/>
      </c>
      <c r="N33" s="139">
        <f>IF(OR($F33="",$I33=""),"",MAX(0,IF($L33&lt;&gt;"",$L33,TODAY())-$K33))</f>
        <v/>
      </c>
      <c r="O33" s="135">
        <f>IF(OR($F33="",$I33=""),"",$N33*P_Amende)</f>
        <v/>
      </c>
      <c r="P33" s="133" t="inlineStr">
        <is>
          <t>Non</t>
        </is>
      </c>
      <c r="R33">
        <f>IF($M33="En retard",$N33+ROW()/100000,"")</f>
        <v/>
      </c>
      <c r="S33">
        <f>IF(OR($F33="",$I33=""),"",$F33+ROW()/100000)</f>
        <v/>
      </c>
      <c r="T33">
        <f>IF($I33="","",IFERROR(INDEX(LIV_Cat,MATCH($I33,LIV_Code,0)),""))</f>
        <v/>
      </c>
    </row>
    <row r="34" ht="21" customHeight="1">
      <c r="A34" s="1" t="n"/>
      <c r="B34" s="1" t="n"/>
      <c r="C34" s="2" t="n"/>
      <c r="E34" s="130">
        <f>IF($F34="","","EMP-"&amp;TEXT(ROW()-6,"0000"))</f>
        <v/>
      </c>
      <c r="F34" s="134" t="n">
        <v>45995</v>
      </c>
      <c r="G34" s="127" t="inlineStr">
        <is>
          <t>MEM-023</t>
        </is>
      </c>
      <c r="H34" s="130">
        <f>IF($G34="","",IFERROR(INDEX(MEM_Nom,MATCH($G34,MEM_ID,0)),"⚠ ID inconnu"))</f>
        <v/>
      </c>
      <c r="I34" s="127" t="inlineStr">
        <is>
          <t>LIV-023</t>
        </is>
      </c>
      <c r="J34" s="130">
        <f>IF($I34="","",IFERROR(INDEX(LIV_Titre,MATCH($I34,LIV_Code,0)),"⚠ Code inconnu"))</f>
        <v/>
      </c>
      <c r="K34" s="138">
        <f>IF($F34="","",$F34+P_Duree)</f>
        <v/>
      </c>
      <c r="L34" s="134" t="n">
        <v>46005</v>
      </c>
      <c r="M34" s="130">
        <f>IF(OR($F34="",$I34=""),"",IF($L34&lt;&gt;"",IF($L34&gt;$K34,"Rendu en retard","Rendu"),IF(TODAY()&gt;$K34,"En retard","En cours")))</f>
        <v/>
      </c>
      <c r="N34" s="139">
        <f>IF(OR($F34="",$I34=""),"",MAX(0,IF($L34&lt;&gt;"",$L34,TODAY())-$K34))</f>
        <v/>
      </c>
      <c r="O34" s="135">
        <f>IF(OR($F34="",$I34=""),"",$N34*P_Amende)</f>
        <v/>
      </c>
      <c r="P34" s="133" t="n"/>
      <c r="R34">
        <f>IF($M34="En retard",$N34+ROW()/100000,"")</f>
        <v/>
      </c>
      <c r="S34">
        <f>IF(OR($F34="",$I34=""),"",$F34+ROW()/100000)</f>
        <v/>
      </c>
      <c r="T34">
        <f>IF($I34="","",IFERROR(INDEX(LIV_Cat,MATCH($I34,LIV_Code,0)),""))</f>
        <v/>
      </c>
    </row>
    <row r="35" ht="21" customHeight="1">
      <c r="A35" s="1" t="n"/>
      <c r="B35" s="1" t="n"/>
      <c r="C35" s="2" t="n"/>
      <c r="E35" s="130">
        <f>IF($F35="","","EMP-"&amp;TEXT(ROW()-6,"0000"))</f>
        <v/>
      </c>
      <c r="F35" s="134" t="n">
        <v>45996</v>
      </c>
      <c r="G35" s="127" t="inlineStr">
        <is>
          <t>MEM-027</t>
        </is>
      </c>
      <c r="H35" s="130">
        <f>IF($G35="","",IFERROR(INDEX(MEM_Nom,MATCH($G35,MEM_ID,0)),"⚠ ID inconnu"))</f>
        <v/>
      </c>
      <c r="I35" s="127" t="inlineStr">
        <is>
          <t>LIV-049</t>
        </is>
      </c>
      <c r="J35" s="130">
        <f>IF($I35="","",IFERROR(INDEX(LIV_Titre,MATCH($I35,LIV_Code,0)),"⚠ Code inconnu"))</f>
        <v/>
      </c>
      <c r="K35" s="138">
        <f>IF($F35="","",$F35+P_Duree)</f>
        <v/>
      </c>
      <c r="L35" s="134" t="n">
        <v>46010</v>
      </c>
      <c r="M35" s="130">
        <f>IF(OR($F35="",$I35=""),"",IF($L35&lt;&gt;"",IF($L35&gt;$K35,"Rendu en retard","Rendu"),IF(TODAY()&gt;$K35,"En retard","En cours")))</f>
        <v/>
      </c>
      <c r="N35" s="139">
        <f>IF(OR($F35="",$I35=""),"",MAX(0,IF($L35&lt;&gt;"",$L35,TODAY())-$K35))</f>
        <v/>
      </c>
      <c r="O35" s="135">
        <f>IF(OR($F35="",$I35=""),"",$N35*P_Amende)</f>
        <v/>
      </c>
      <c r="P35" s="133" t="n"/>
      <c r="R35">
        <f>IF($M35="En retard",$N35+ROW()/100000,"")</f>
        <v/>
      </c>
      <c r="S35">
        <f>IF(OR($F35="",$I35=""),"",$F35+ROW()/100000)</f>
        <v/>
      </c>
      <c r="T35">
        <f>IF($I35="","",IFERROR(INDEX(LIV_Cat,MATCH($I35,LIV_Code,0)),""))</f>
        <v/>
      </c>
    </row>
    <row r="36" ht="21" customHeight="1">
      <c r="A36" s="1" t="n"/>
      <c r="B36" s="1" t="n"/>
      <c r="C36" s="2" t="n"/>
      <c r="E36" s="130">
        <f>IF($F36="","","EMP-"&amp;TEXT(ROW()-6,"0000"))</f>
        <v/>
      </c>
      <c r="F36" s="134" t="n">
        <v>45999</v>
      </c>
      <c r="G36" s="127" t="inlineStr">
        <is>
          <t>MEM-039</t>
        </is>
      </c>
      <c r="H36" s="130">
        <f>IF($G36="","",IFERROR(INDEX(MEM_Nom,MATCH($G36,MEM_ID,0)),"⚠ ID inconnu"))</f>
        <v/>
      </c>
      <c r="I36" s="127" t="inlineStr">
        <is>
          <t>LIV-041</t>
        </is>
      </c>
      <c r="J36" s="130">
        <f>IF($I36="","",IFERROR(INDEX(LIV_Titre,MATCH($I36,LIV_Code,0)),"⚠ Code inconnu"))</f>
        <v/>
      </c>
      <c r="K36" s="138">
        <f>IF($F36="","",$F36+P_Duree)</f>
        <v/>
      </c>
      <c r="L36" s="134" t="n">
        <v>46008</v>
      </c>
      <c r="M36" s="130">
        <f>IF(OR($F36="",$I36=""),"",IF($L36&lt;&gt;"",IF($L36&gt;$K36,"Rendu en retard","Rendu"),IF(TODAY()&gt;$K36,"En retard","En cours")))</f>
        <v/>
      </c>
      <c r="N36" s="139">
        <f>IF(OR($F36="",$I36=""),"",MAX(0,IF($L36&lt;&gt;"",$L36,TODAY())-$K36))</f>
        <v/>
      </c>
      <c r="O36" s="135">
        <f>IF(OR($F36="",$I36=""),"",$N36*P_Amende)</f>
        <v/>
      </c>
      <c r="P36" s="133" t="n"/>
      <c r="R36">
        <f>IF($M36="En retard",$N36+ROW()/100000,"")</f>
        <v/>
      </c>
      <c r="S36">
        <f>IF(OR($F36="",$I36=""),"",$F36+ROW()/100000)</f>
        <v/>
      </c>
      <c r="T36">
        <f>IF($I36="","",IFERROR(INDEX(LIV_Cat,MATCH($I36,LIV_Code,0)),""))</f>
        <v/>
      </c>
    </row>
    <row r="37" ht="21" customHeight="1">
      <c r="A37" s="1" t="n"/>
      <c r="B37" s="1" t="n"/>
      <c r="C37" s="2" t="n"/>
      <c r="E37" s="130">
        <f>IF($F37="","","EMP-"&amp;TEXT(ROW()-6,"0000"))</f>
        <v/>
      </c>
      <c r="F37" s="134" t="n">
        <v>45999</v>
      </c>
      <c r="G37" s="127" t="inlineStr">
        <is>
          <t>MEM-018</t>
        </is>
      </c>
      <c r="H37" s="130">
        <f>IF($G37="","",IFERROR(INDEX(MEM_Nom,MATCH($G37,MEM_ID,0)),"⚠ ID inconnu"))</f>
        <v/>
      </c>
      <c r="I37" s="127" t="inlineStr">
        <is>
          <t>LIV-023</t>
        </is>
      </c>
      <c r="J37" s="130">
        <f>IF($I37="","",IFERROR(INDEX(LIV_Titre,MATCH($I37,LIV_Code,0)),"⚠ Code inconnu"))</f>
        <v/>
      </c>
      <c r="K37" s="138">
        <f>IF($F37="","",$F37+P_Duree)</f>
        <v/>
      </c>
      <c r="L37" s="134" t="n">
        <v>46012</v>
      </c>
      <c r="M37" s="130">
        <f>IF(OR($F37="",$I37=""),"",IF($L37&lt;&gt;"",IF($L37&gt;$K37,"Rendu en retard","Rendu"),IF(TODAY()&gt;$K37,"En retard","En cours")))</f>
        <v/>
      </c>
      <c r="N37" s="139">
        <f>IF(OR($F37="",$I37=""),"",MAX(0,IF($L37&lt;&gt;"",$L37,TODAY())-$K37))</f>
        <v/>
      </c>
      <c r="O37" s="135">
        <f>IF(OR($F37="",$I37=""),"",$N37*P_Amende)</f>
        <v/>
      </c>
      <c r="P37" s="133" t="n"/>
      <c r="R37">
        <f>IF($M37="En retard",$N37+ROW()/100000,"")</f>
        <v/>
      </c>
      <c r="S37">
        <f>IF(OR($F37="",$I37=""),"",$F37+ROW()/100000)</f>
        <v/>
      </c>
      <c r="T37">
        <f>IF($I37="","",IFERROR(INDEX(LIV_Cat,MATCH($I37,LIV_Code,0)),""))</f>
        <v/>
      </c>
    </row>
    <row r="38" ht="21" customHeight="1">
      <c r="A38" s="1" t="n"/>
      <c r="B38" s="1" t="n"/>
      <c r="C38" s="2" t="n"/>
      <c r="E38" s="130">
        <f>IF($F38="","","EMP-"&amp;TEXT(ROW()-6,"0000"))</f>
        <v/>
      </c>
      <c r="F38" s="134" t="n">
        <v>46000</v>
      </c>
      <c r="G38" s="127" t="inlineStr">
        <is>
          <t>MEM-022</t>
        </is>
      </c>
      <c r="H38" s="130">
        <f>IF($G38="","",IFERROR(INDEX(MEM_Nom,MATCH($G38,MEM_ID,0)),"⚠ ID inconnu"))</f>
        <v/>
      </c>
      <c r="I38" s="127" t="inlineStr">
        <is>
          <t>LIV-001</t>
        </is>
      </c>
      <c r="J38" s="130">
        <f>IF($I38="","",IFERROR(INDEX(LIV_Titre,MATCH($I38,LIV_Code,0)),"⚠ Code inconnu"))</f>
        <v/>
      </c>
      <c r="K38" s="138">
        <f>IF($F38="","",$F38+P_Duree)</f>
        <v/>
      </c>
      <c r="L38" s="134" t="n">
        <v>46019</v>
      </c>
      <c r="M38" s="130">
        <f>IF(OR($F38="",$I38=""),"",IF($L38&lt;&gt;"",IF($L38&gt;$K38,"Rendu en retard","Rendu"),IF(TODAY()&gt;$K38,"En retard","En cours")))</f>
        <v/>
      </c>
      <c r="N38" s="139">
        <f>IF(OR($F38="",$I38=""),"",MAX(0,IF($L38&lt;&gt;"",$L38,TODAY())-$K38))</f>
        <v/>
      </c>
      <c r="O38" s="135">
        <f>IF(OR($F38="",$I38=""),"",$N38*P_Amende)</f>
        <v/>
      </c>
      <c r="P38" s="133" t="inlineStr">
        <is>
          <t>Oui</t>
        </is>
      </c>
      <c r="R38">
        <f>IF($M38="En retard",$N38+ROW()/100000,"")</f>
        <v/>
      </c>
      <c r="S38">
        <f>IF(OR($F38="",$I38=""),"",$F38+ROW()/100000)</f>
        <v/>
      </c>
      <c r="T38">
        <f>IF($I38="","",IFERROR(INDEX(LIV_Cat,MATCH($I38,LIV_Code,0)),""))</f>
        <v/>
      </c>
    </row>
    <row r="39" ht="21" customHeight="1">
      <c r="A39" s="1" t="n"/>
      <c r="B39" s="1" t="n"/>
      <c r="C39" s="2" t="n"/>
      <c r="E39" s="130">
        <f>IF($F39="","","EMP-"&amp;TEXT(ROW()-6,"0000"))</f>
        <v/>
      </c>
      <c r="F39" s="134" t="n">
        <v>46001</v>
      </c>
      <c r="G39" s="127" t="inlineStr">
        <is>
          <t>MEM-011</t>
        </is>
      </c>
      <c r="H39" s="130">
        <f>IF($G39="","",IFERROR(INDEX(MEM_Nom,MATCH($G39,MEM_ID,0)),"⚠ ID inconnu"))</f>
        <v/>
      </c>
      <c r="I39" s="127" t="inlineStr">
        <is>
          <t>LIV-045</t>
        </is>
      </c>
      <c r="J39" s="130">
        <f>IF($I39="","",IFERROR(INDEX(LIV_Titre,MATCH($I39,LIV_Code,0)),"⚠ Code inconnu"))</f>
        <v/>
      </c>
      <c r="K39" s="138">
        <f>IF($F39="","",$F39+P_Duree)</f>
        <v/>
      </c>
      <c r="L39" s="134" t="n">
        <v>46015</v>
      </c>
      <c r="M39" s="130">
        <f>IF(OR($F39="",$I39=""),"",IF($L39&lt;&gt;"",IF($L39&gt;$K39,"Rendu en retard","Rendu"),IF(TODAY()&gt;$K39,"En retard","En cours")))</f>
        <v/>
      </c>
      <c r="N39" s="139">
        <f>IF(OR($F39="",$I39=""),"",MAX(0,IF($L39&lt;&gt;"",$L39,TODAY())-$K39))</f>
        <v/>
      </c>
      <c r="O39" s="135">
        <f>IF(OR($F39="",$I39=""),"",$N39*P_Amende)</f>
        <v/>
      </c>
      <c r="P39" s="133" t="n"/>
      <c r="R39">
        <f>IF($M39="En retard",$N39+ROW()/100000,"")</f>
        <v/>
      </c>
      <c r="S39">
        <f>IF(OR($F39="",$I39=""),"",$F39+ROW()/100000)</f>
        <v/>
      </c>
      <c r="T39">
        <f>IF($I39="","",IFERROR(INDEX(LIV_Cat,MATCH($I39,LIV_Code,0)),""))</f>
        <v/>
      </c>
    </row>
    <row r="40" ht="21" customHeight="1">
      <c r="A40" s="1" t="n"/>
      <c r="B40" s="1" t="n"/>
      <c r="C40" s="2" t="n"/>
      <c r="E40" s="130">
        <f>IF($F40="","","EMP-"&amp;TEXT(ROW()-6,"0000"))</f>
        <v/>
      </c>
      <c r="F40" s="134" t="n">
        <v>46001</v>
      </c>
      <c r="G40" s="127" t="inlineStr">
        <is>
          <t>MEM-040</t>
        </is>
      </c>
      <c r="H40" s="130">
        <f>IF($G40="","",IFERROR(INDEX(MEM_Nom,MATCH($G40,MEM_ID,0)),"⚠ ID inconnu"))</f>
        <v/>
      </c>
      <c r="I40" s="127" t="inlineStr">
        <is>
          <t>LIV-056</t>
        </is>
      </c>
      <c r="J40" s="130">
        <f>IF($I40="","",IFERROR(INDEX(LIV_Titre,MATCH($I40,LIV_Code,0)),"⚠ Code inconnu"))</f>
        <v/>
      </c>
      <c r="K40" s="138">
        <f>IF($F40="","",$F40+P_Duree)</f>
        <v/>
      </c>
      <c r="L40" s="134" t="n">
        <v>46015</v>
      </c>
      <c r="M40" s="130">
        <f>IF(OR($F40="",$I40=""),"",IF($L40&lt;&gt;"",IF($L40&gt;$K40,"Rendu en retard","Rendu"),IF(TODAY()&gt;$K40,"En retard","En cours")))</f>
        <v/>
      </c>
      <c r="N40" s="139">
        <f>IF(OR($F40="",$I40=""),"",MAX(0,IF($L40&lt;&gt;"",$L40,TODAY())-$K40))</f>
        <v/>
      </c>
      <c r="O40" s="135">
        <f>IF(OR($F40="",$I40=""),"",$N40*P_Amende)</f>
        <v/>
      </c>
      <c r="P40" s="133" t="n"/>
      <c r="R40">
        <f>IF($M40="En retard",$N40+ROW()/100000,"")</f>
        <v/>
      </c>
      <c r="S40">
        <f>IF(OR($F40="",$I40=""),"",$F40+ROW()/100000)</f>
        <v/>
      </c>
      <c r="T40">
        <f>IF($I40="","",IFERROR(INDEX(LIV_Cat,MATCH($I40,LIV_Code,0)),""))</f>
        <v/>
      </c>
    </row>
    <row r="41" ht="21" customHeight="1">
      <c r="A41" s="1" t="n"/>
      <c r="B41" s="1" t="n"/>
      <c r="C41" s="2" t="n"/>
      <c r="E41" s="130">
        <f>IF($F41="","","EMP-"&amp;TEXT(ROW()-6,"0000"))</f>
        <v/>
      </c>
      <c r="F41" s="134" t="n">
        <v>46003</v>
      </c>
      <c r="G41" s="127" t="inlineStr">
        <is>
          <t>MEM-002</t>
        </is>
      </c>
      <c r="H41" s="130">
        <f>IF($G41="","",IFERROR(INDEX(MEM_Nom,MATCH($G41,MEM_ID,0)),"⚠ ID inconnu"))</f>
        <v/>
      </c>
      <c r="I41" s="127" t="inlineStr">
        <is>
          <t>LIV-030</t>
        </is>
      </c>
      <c r="J41" s="130">
        <f>IF($I41="","",IFERROR(INDEX(LIV_Titre,MATCH($I41,LIV_Code,0)),"⚠ Code inconnu"))</f>
        <v/>
      </c>
      <c r="K41" s="138">
        <f>IF($F41="","",$F41+P_Duree)</f>
        <v/>
      </c>
      <c r="L41" s="134" t="n">
        <v>46009</v>
      </c>
      <c r="M41" s="130">
        <f>IF(OR($F41="",$I41=""),"",IF($L41&lt;&gt;"",IF($L41&gt;$K41,"Rendu en retard","Rendu"),IF(TODAY()&gt;$K41,"En retard","En cours")))</f>
        <v/>
      </c>
      <c r="N41" s="139">
        <f>IF(OR($F41="",$I41=""),"",MAX(0,IF($L41&lt;&gt;"",$L41,TODAY())-$K41))</f>
        <v/>
      </c>
      <c r="O41" s="135">
        <f>IF(OR($F41="",$I41=""),"",$N41*P_Amende)</f>
        <v/>
      </c>
      <c r="P41" s="133" t="n"/>
      <c r="R41">
        <f>IF($M41="En retard",$N41+ROW()/100000,"")</f>
        <v/>
      </c>
      <c r="S41">
        <f>IF(OR($F41="",$I41=""),"",$F41+ROW()/100000)</f>
        <v/>
      </c>
      <c r="T41">
        <f>IF($I41="","",IFERROR(INDEX(LIV_Cat,MATCH($I41,LIV_Code,0)),""))</f>
        <v/>
      </c>
    </row>
    <row r="42" ht="21" customHeight="1">
      <c r="A42" s="1" t="n"/>
      <c r="B42" s="1" t="n"/>
      <c r="C42" s="2" t="n"/>
      <c r="E42" s="130">
        <f>IF($F42="","","EMP-"&amp;TEXT(ROW()-6,"0000"))</f>
        <v/>
      </c>
      <c r="F42" s="134" t="n">
        <v>46006</v>
      </c>
      <c r="G42" s="127" t="inlineStr">
        <is>
          <t>MEM-030</t>
        </is>
      </c>
      <c r="H42" s="130">
        <f>IF($G42="","",IFERROR(INDEX(MEM_Nom,MATCH($G42,MEM_ID,0)),"⚠ ID inconnu"))</f>
        <v/>
      </c>
      <c r="I42" s="127" t="inlineStr">
        <is>
          <t>LIV-021</t>
        </is>
      </c>
      <c r="J42" s="130">
        <f>IF($I42="","",IFERROR(INDEX(LIV_Titre,MATCH($I42,LIV_Code,0)),"⚠ Code inconnu"))</f>
        <v/>
      </c>
      <c r="K42" s="138">
        <f>IF($F42="","",$F42+P_Duree)</f>
        <v/>
      </c>
      <c r="L42" s="134" t="n">
        <v>46013</v>
      </c>
      <c r="M42" s="130">
        <f>IF(OR($F42="",$I42=""),"",IF($L42&lt;&gt;"",IF($L42&gt;$K42,"Rendu en retard","Rendu"),IF(TODAY()&gt;$K42,"En retard","En cours")))</f>
        <v/>
      </c>
      <c r="N42" s="139">
        <f>IF(OR($F42="",$I42=""),"",MAX(0,IF($L42&lt;&gt;"",$L42,TODAY())-$K42))</f>
        <v/>
      </c>
      <c r="O42" s="135">
        <f>IF(OR($F42="",$I42=""),"",$N42*P_Amende)</f>
        <v/>
      </c>
      <c r="P42" s="133" t="n"/>
      <c r="R42">
        <f>IF($M42="En retard",$N42+ROW()/100000,"")</f>
        <v/>
      </c>
      <c r="S42">
        <f>IF(OR($F42="",$I42=""),"",$F42+ROW()/100000)</f>
        <v/>
      </c>
      <c r="T42">
        <f>IF($I42="","",IFERROR(INDEX(LIV_Cat,MATCH($I42,LIV_Code,0)),""))</f>
        <v/>
      </c>
    </row>
    <row r="43" ht="21" customHeight="1">
      <c r="A43" s="1" t="n"/>
      <c r="B43" s="1" t="n"/>
      <c r="C43" s="2" t="n"/>
      <c r="E43" s="130">
        <f>IF($F43="","","EMP-"&amp;TEXT(ROW()-6,"0000"))</f>
        <v/>
      </c>
      <c r="F43" s="134" t="n">
        <v>46006</v>
      </c>
      <c r="G43" s="127" t="inlineStr">
        <is>
          <t>MEM-025</t>
        </is>
      </c>
      <c r="H43" s="130">
        <f>IF($G43="","",IFERROR(INDEX(MEM_Nom,MATCH($G43,MEM_ID,0)),"⚠ ID inconnu"))</f>
        <v/>
      </c>
      <c r="I43" s="127" t="inlineStr">
        <is>
          <t>LIV-002</t>
        </is>
      </c>
      <c r="J43" s="130">
        <f>IF($I43="","",IFERROR(INDEX(LIV_Titre,MATCH($I43,LIV_Code,0)),"⚠ Code inconnu"))</f>
        <v/>
      </c>
      <c r="K43" s="138">
        <f>IF($F43="","",$F43+P_Duree)</f>
        <v/>
      </c>
      <c r="L43" s="134" t="n">
        <v>46018</v>
      </c>
      <c r="M43" s="130">
        <f>IF(OR($F43="",$I43=""),"",IF($L43&lt;&gt;"",IF($L43&gt;$K43,"Rendu en retard","Rendu"),IF(TODAY()&gt;$K43,"En retard","En cours")))</f>
        <v/>
      </c>
      <c r="N43" s="139">
        <f>IF(OR($F43="",$I43=""),"",MAX(0,IF($L43&lt;&gt;"",$L43,TODAY())-$K43))</f>
        <v/>
      </c>
      <c r="O43" s="135">
        <f>IF(OR($F43="",$I43=""),"",$N43*P_Amende)</f>
        <v/>
      </c>
      <c r="P43" s="133" t="n"/>
      <c r="R43">
        <f>IF($M43="En retard",$N43+ROW()/100000,"")</f>
        <v/>
      </c>
      <c r="S43">
        <f>IF(OR($F43="",$I43=""),"",$F43+ROW()/100000)</f>
        <v/>
      </c>
      <c r="T43">
        <f>IF($I43="","",IFERROR(INDEX(LIV_Cat,MATCH($I43,LIV_Code,0)),""))</f>
        <v/>
      </c>
    </row>
    <row r="44" ht="21" customHeight="1">
      <c r="A44" s="1" t="n"/>
      <c r="B44" s="1" t="n"/>
      <c r="C44" s="2" t="n"/>
      <c r="E44" s="130">
        <f>IF($F44="","","EMP-"&amp;TEXT(ROW()-6,"0000"))</f>
        <v/>
      </c>
      <c r="F44" s="134" t="n">
        <v>46008</v>
      </c>
      <c r="G44" s="127" t="inlineStr">
        <is>
          <t>MEM-025</t>
        </is>
      </c>
      <c r="H44" s="130">
        <f>IF($G44="","",IFERROR(INDEX(MEM_Nom,MATCH($G44,MEM_ID,0)),"⚠ ID inconnu"))</f>
        <v/>
      </c>
      <c r="I44" s="127" t="inlineStr">
        <is>
          <t>LIV-014</t>
        </is>
      </c>
      <c r="J44" s="130">
        <f>IF($I44="","",IFERROR(INDEX(LIV_Titre,MATCH($I44,LIV_Code,0)),"⚠ Code inconnu"))</f>
        <v/>
      </c>
      <c r="K44" s="138">
        <f>IF($F44="","",$F44+P_Duree)</f>
        <v/>
      </c>
      <c r="L44" s="134" t="n">
        <v>46018</v>
      </c>
      <c r="M44" s="130">
        <f>IF(OR($F44="",$I44=""),"",IF($L44&lt;&gt;"",IF($L44&gt;$K44,"Rendu en retard","Rendu"),IF(TODAY()&gt;$K44,"En retard","En cours")))</f>
        <v/>
      </c>
      <c r="N44" s="139">
        <f>IF(OR($F44="",$I44=""),"",MAX(0,IF($L44&lt;&gt;"",$L44,TODAY())-$K44))</f>
        <v/>
      </c>
      <c r="O44" s="135">
        <f>IF(OR($F44="",$I44=""),"",$N44*P_Amende)</f>
        <v/>
      </c>
      <c r="P44" s="133" t="n"/>
      <c r="R44">
        <f>IF($M44="En retard",$N44+ROW()/100000,"")</f>
        <v/>
      </c>
      <c r="S44">
        <f>IF(OR($F44="",$I44=""),"",$F44+ROW()/100000)</f>
        <v/>
      </c>
      <c r="T44">
        <f>IF($I44="","",IFERROR(INDEX(LIV_Cat,MATCH($I44,LIV_Code,0)),""))</f>
        <v/>
      </c>
    </row>
    <row r="45" ht="21" customHeight="1">
      <c r="A45" s="1" t="n"/>
      <c r="B45" s="1" t="n"/>
      <c r="C45" s="2" t="n"/>
      <c r="E45" s="130">
        <f>IF($F45="","","EMP-"&amp;TEXT(ROW()-6,"0000"))</f>
        <v/>
      </c>
      <c r="F45" s="134" t="n">
        <v>46009</v>
      </c>
      <c r="G45" s="127" t="inlineStr">
        <is>
          <t>MEM-006</t>
        </is>
      </c>
      <c r="H45" s="130">
        <f>IF($G45="","",IFERROR(INDEX(MEM_Nom,MATCH($G45,MEM_ID,0)),"⚠ ID inconnu"))</f>
        <v/>
      </c>
      <c r="I45" s="127" t="inlineStr">
        <is>
          <t>LIV-011</t>
        </is>
      </c>
      <c r="J45" s="130">
        <f>IF($I45="","",IFERROR(INDEX(LIV_Titre,MATCH($I45,LIV_Code,0)),"⚠ Code inconnu"))</f>
        <v/>
      </c>
      <c r="K45" s="138">
        <f>IF($F45="","",$F45+P_Duree)</f>
        <v/>
      </c>
      <c r="L45" s="134" t="n">
        <v>46023</v>
      </c>
      <c r="M45" s="130">
        <f>IF(OR($F45="",$I45=""),"",IF($L45&lt;&gt;"",IF($L45&gt;$K45,"Rendu en retard","Rendu"),IF(TODAY()&gt;$K45,"En retard","En cours")))</f>
        <v/>
      </c>
      <c r="N45" s="139">
        <f>IF(OR($F45="",$I45=""),"",MAX(0,IF($L45&lt;&gt;"",$L45,TODAY())-$K45))</f>
        <v/>
      </c>
      <c r="O45" s="135">
        <f>IF(OR($F45="",$I45=""),"",$N45*P_Amende)</f>
        <v/>
      </c>
      <c r="P45" s="133" t="n"/>
      <c r="R45">
        <f>IF($M45="En retard",$N45+ROW()/100000,"")</f>
        <v/>
      </c>
      <c r="S45">
        <f>IF(OR($F45="",$I45=""),"",$F45+ROW()/100000)</f>
        <v/>
      </c>
      <c r="T45">
        <f>IF($I45="","",IFERROR(INDEX(LIV_Cat,MATCH($I45,LIV_Code,0)),""))</f>
        <v/>
      </c>
    </row>
    <row r="46" ht="21" customHeight="1">
      <c r="A46" s="1" t="n"/>
      <c r="B46" s="1" t="n"/>
      <c r="C46" s="2" t="n"/>
      <c r="E46" s="130">
        <f>IF($F46="","","EMP-"&amp;TEXT(ROW()-6,"0000"))</f>
        <v/>
      </c>
      <c r="F46" s="134" t="n">
        <v>46013</v>
      </c>
      <c r="G46" s="127" t="inlineStr">
        <is>
          <t>MEM-023</t>
        </is>
      </c>
      <c r="H46" s="130">
        <f>IF($G46="","",IFERROR(INDEX(MEM_Nom,MATCH($G46,MEM_ID,0)),"⚠ ID inconnu"))</f>
        <v/>
      </c>
      <c r="I46" s="127" t="inlineStr">
        <is>
          <t>LIV-029</t>
        </is>
      </c>
      <c r="J46" s="130">
        <f>IF($I46="","",IFERROR(INDEX(LIV_Titre,MATCH($I46,LIV_Code,0)),"⚠ Code inconnu"))</f>
        <v/>
      </c>
      <c r="K46" s="138">
        <f>IF($F46="","",$F46+P_Duree)</f>
        <v/>
      </c>
      <c r="L46" s="134" t="n">
        <v>46022</v>
      </c>
      <c r="M46" s="130">
        <f>IF(OR($F46="",$I46=""),"",IF($L46&lt;&gt;"",IF($L46&gt;$K46,"Rendu en retard","Rendu"),IF(TODAY()&gt;$K46,"En retard","En cours")))</f>
        <v/>
      </c>
      <c r="N46" s="139">
        <f>IF(OR($F46="",$I46=""),"",MAX(0,IF($L46&lt;&gt;"",$L46,TODAY())-$K46))</f>
        <v/>
      </c>
      <c r="O46" s="135">
        <f>IF(OR($F46="",$I46=""),"",$N46*P_Amende)</f>
        <v/>
      </c>
      <c r="P46" s="133" t="n"/>
      <c r="R46">
        <f>IF($M46="En retard",$N46+ROW()/100000,"")</f>
        <v/>
      </c>
      <c r="S46">
        <f>IF(OR($F46="",$I46=""),"",$F46+ROW()/100000)</f>
        <v/>
      </c>
      <c r="T46">
        <f>IF($I46="","",IFERROR(INDEX(LIV_Cat,MATCH($I46,LIV_Code,0)),""))</f>
        <v/>
      </c>
    </row>
    <row r="47" ht="21" customHeight="1">
      <c r="A47" s="1" t="n"/>
      <c r="B47" s="1" t="n"/>
      <c r="C47" s="2" t="n"/>
      <c r="E47" s="130">
        <f>IF($F47="","","EMP-"&amp;TEXT(ROW()-6,"0000"))</f>
        <v/>
      </c>
      <c r="F47" s="134" t="n">
        <v>46013</v>
      </c>
      <c r="G47" s="127" t="inlineStr">
        <is>
          <t>MEM-003</t>
        </is>
      </c>
      <c r="H47" s="130">
        <f>IF($G47="","",IFERROR(INDEX(MEM_Nom,MATCH($G47,MEM_ID,0)),"⚠ ID inconnu"))</f>
        <v/>
      </c>
      <c r="I47" s="127" t="inlineStr">
        <is>
          <t>LIV-035</t>
        </is>
      </c>
      <c r="J47" s="130">
        <f>IF($I47="","",IFERROR(INDEX(LIV_Titre,MATCH($I47,LIV_Code,0)),"⚠ Code inconnu"))</f>
        <v/>
      </c>
      <c r="K47" s="138">
        <f>IF($F47="","",$F47+P_Duree)</f>
        <v/>
      </c>
      <c r="L47" s="134" t="n">
        <v>46017</v>
      </c>
      <c r="M47" s="130">
        <f>IF(OR($F47="",$I47=""),"",IF($L47&lt;&gt;"",IF($L47&gt;$K47,"Rendu en retard","Rendu"),IF(TODAY()&gt;$K47,"En retard","En cours")))</f>
        <v/>
      </c>
      <c r="N47" s="139">
        <f>IF(OR($F47="",$I47=""),"",MAX(0,IF($L47&lt;&gt;"",$L47,TODAY())-$K47))</f>
        <v/>
      </c>
      <c r="O47" s="135">
        <f>IF(OR($F47="",$I47=""),"",$N47*P_Amende)</f>
        <v/>
      </c>
      <c r="P47" s="133" t="n"/>
      <c r="R47">
        <f>IF($M47="En retard",$N47+ROW()/100000,"")</f>
        <v/>
      </c>
      <c r="S47">
        <f>IF(OR($F47="",$I47=""),"",$F47+ROW()/100000)</f>
        <v/>
      </c>
      <c r="T47">
        <f>IF($I47="","",IFERROR(INDEX(LIV_Cat,MATCH($I47,LIV_Code,0)),""))</f>
        <v/>
      </c>
    </row>
    <row r="48" ht="21" customHeight="1">
      <c r="A48" s="1" t="n"/>
      <c r="B48" s="1" t="n"/>
      <c r="C48" s="2" t="n"/>
      <c r="E48" s="130">
        <f>IF($F48="","","EMP-"&amp;TEXT(ROW()-6,"0000"))</f>
        <v/>
      </c>
      <c r="F48" s="134" t="n">
        <v>46017</v>
      </c>
      <c r="G48" s="127" t="inlineStr">
        <is>
          <t>MEM-009</t>
        </is>
      </c>
      <c r="H48" s="130">
        <f>IF($G48="","",IFERROR(INDEX(MEM_Nom,MATCH($G48,MEM_ID,0)),"⚠ ID inconnu"))</f>
        <v/>
      </c>
      <c r="I48" s="127" t="inlineStr">
        <is>
          <t>LIV-004</t>
        </is>
      </c>
      <c r="J48" s="130">
        <f>IF($I48="","",IFERROR(INDEX(LIV_Titre,MATCH($I48,LIV_Code,0)),"⚠ Code inconnu"))</f>
        <v/>
      </c>
      <c r="K48" s="138">
        <f>IF($F48="","",$F48+P_Duree)</f>
        <v/>
      </c>
      <c r="L48" s="134" t="n">
        <v>46031</v>
      </c>
      <c r="M48" s="130">
        <f>IF(OR($F48="",$I48=""),"",IF($L48&lt;&gt;"",IF($L48&gt;$K48,"Rendu en retard","Rendu"),IF(TODAY()&gt;$K48,"En retard","En cours")))</f>
        <v/>
      </c>
      <c r="N48" s="139">
        <f>IF(OR($F48="",$I48=""),"",MAX(0,IF($L48&lt;&gt;"",$L48,TODAY())-$K48))</f>
        <v/>
      </c>
      <c r="O48" s="135">
        <f>IF(OR($F48="",$I48=""),"",$N48*P_Amende)</f>
        <v/>
      </c>
      <c r="P48" s="133" t="n"/>
      <c r="R48">
        <f>IF($M48="En retard",$N48+ROW()/100000,"")</f>
        <v/>
      </c>
      <c r="S48">
        <f>IF(OR($F48="",$I48=""),"",$F48+ROW()/100000)</f>
        <v/>
      </c>
      <c r="T48">
        <f>IF($I48="","",IFERROR(INDEX(LIV_Cat,MATCH($I48,LIV_Code,0)),""))</f>
        <v/>
      </c>
    </row>
    <row r="49" ht="21" customHeight="1">
      <c r="A49" s="1" t="n"/>
      <c r="B49" s="1" t="n"/>
      <c r="C49" s="2" t="n"/>
      <c r="E49" s="130">
        <f>IF($F49="","","EMP-"&amp;TEXT(ROW()-6,"0000"))</f>
        <v/>
      </c>
      <c r="F49" s="134" t="n">
        <v>46020</v>
      </c>
      <c r="G49" s="127" t="inlineStr">
        <is>
          <t>MEM-014</t>
        </is>
      </c>
      <c r="H49" s="130">
        <f>IF($G49="","",IFERROR(INDEX(MEM_Nom,MATCH($G49,MEM_ID,0)),"⚠ ID inconnu"))</f>
        <v/>
      </c>
      <c r="I49" s="127" t="inlineStr">
        <is>
          <t>LIV-004</t>
        </is>
      </c>
      <c r="J49" s="130">
        <f>IF($I49="","",IFERROR(INDEX(LIV_Titre,MATCH($I49,LIV_Code,0)),"⚠ Code inconnu"))</f>
        <v/>
      </c>
      <c r="K49" s="138">
        <f>IF($F49="","",$F49+P_Duree)</f>
        <v/>
      </c>
      <c r="L49" s="134" t="n">
        <v>46034</v>
      </c>
      <c r="M49" s="130">
        <f>IF(OR($F49="",$I49=""),"",IF($L49&lt;&gt;"",IF($L49&gt;$K49,"Rendu en retard","Rendu"),IF(TODAY()&gt;$K49,"En retard","En cours")))</f>
        <v/>
      </c>
      <c r="N49" s="139">
        <f>IF(OR($F49="",$I49=""),"",MAX(0,IF($L49&lt;&gt;"",$L49,TODAY())-$K49))</f>
        <v/>
      </c>
      <c r="O49" s="135">
        <f>IF(OR($F49="",$I49=""),"",$N49*P_Amende)</f>
        <v/>
      </c>
      <c r="P49" s="133" t="n"/>
      <c r="R49">
        <f>IF($M49="En retard",$N49+ROW()/100000,"")</f>
        <v/>
      </c>
      <c r="S49">
        <f>IF(OR($F49="",$I49=""),"",$F49+ROW()/100000)</f>
        <v/>
      </c>
      <c r="T49">
        <f>IF($I49="","",IFERROR(INDEX(LIV_Cat,MATCH($I49,LIV_Code,0)),""))</f>
        <v/>
      </c>
    </row>
    <row r="50" ht="21" customHeight="1">
      <c r="A50" s="1" t="n"/>
      <c r="B50" s="1" t="n"/>
      <c r="C50" s="2" t="n"/>
      <c r="E50" s="130">
        <f>IF($F50="","","EMP-"&amp;TEXT(ROW()-6,"0000"))</f>
        <v/>
      </c>
      <c r="F50" s="134" t="n">
        <v>46020</v>
      </c>
      <c r="G50" s="127" t="inlineStr">
        <is>
          <t>MEM-024</t>
        </is>
      </c>
      <c r="H50" s="130">
        <f>IF($G50="","",IFERROR(INDEX(MEM_Nom,MATCH($G50,MEM_ID,0)),"⚠ ID inconnu"))</f>
        <v/>
      </c>
      <c r="I50" s="127" t="inlineStr">
        <is>
          <t>LIV-037</t>
        </is>
      </c>
      <c r="J50" s="130">
        <f>IF($I50="","",IFERROR(INDEX(LIV_Titre,MATCH($I50,LIV_Code,0)),"⚠ Code inconnu"))</f>
        <v/>
      </c>
      <c r="K50" s="138">
        <f>IF($F50="","",$F50+P_Duree)</f>
        <v/>
      </c>
      <c r="L50" s="134" t="n">
        <v>46027</v>
      </c>
      <c r="M50" s="130">
        <f>IF(OR($F50="",$I50=""),"",IF($L50&lt;&gt;"",IF($L50&gt;$K50,"Rendu en retard","Rendu"),IF(TODAY()&gt;$K50,"En retard","En cours")))</f>
        <v/>
      </c>
      <c r="N50" s="139">
        <f>IF(OR($F50="",$I50=""),"",MAX(0,IF($L50&lt;&gt;"",$L50,TODAY())-$K50))</f>
        <v/>
      </c>
      <c r="O50" s="135">
        <f>IF(OR($F50="",$I50=""),"",$N50*P_Amende)</f>
        <v/>
      </c>
      <c r="P50" s="133" t="n"/>
      <c r="R50">
        <f>IF($M50="En retard",$N50+ROW()/100000,"")</f>
        <v/>
      </c>
      <c r="S50">
        <f>IF(OR($F50="",$I50=""),"",$F50+ROW()/100000)</f>
        <v/>
      </c>
      <c r="T50">
        <f>IF($I50="","",IFERROR(INDEX(LIV_Cat,MATCH($I50,LIV_Code,0)),""))</f>
        <v/>
      </c>
    </row>
    <row r="51" ht="21" customHeight="1">
      <c r="A51" s="1" t="n"/>
      <c r="B51" s="1" t="n"/>
      <c r="C51" s="2" t="n"/>
      <c r="E51" s="130">
        <f>IF($F51="","","EMP-"&amp;TEXT(ROW()-6,"0000"))</f>
        <v/>
      </c>
      <c r="F51" s="134" t="n">
        <v>46021</v>
      </c>
      <c r="G51" s="127" t="inlineStr">
        <is>
          <t>MEM-008</t>
        </is>
      </c>
      <c r="H51" s="130">
        <f>IF($G51="","",IFERROR(INDEX(MEM_Nom,MATCH($G51,MEM_ID,0)),"⚠ ID inconnu"))</f>
        <v/>
      </c>
      <c r="I51" s="127" t="inlineStr">
        <is>
          <t>LIV-032</t>
        </is>
      </c>
      <c r="J51" s="130">
        <f>IF($I51="","",IFERROR(INDEX(LIV_Titre,MATCH($I51,LIV_Code,0)),"⚠ Code inconnu"))</f>
        <v/>
      </c>
      <c r="K51" s="138">
        <f>IF($F51="","",$F51+P_Duree)</f>
        <v/>
      </c>
      <c r="L51" s="134" t="n">
        <v>46028</v>
      </c>
      <c r="M51" s="130">
        <f>IF(OR($F51="",$I51=""),"",IF($L51&lt;&gt;"",IF($L51&gt;$K51,"Rendu en retard","Rendu"),IF(TODAY()&gt;$K51,"En retard","En cours")))</f>
        <v/>
      </c>
      <c r="N51" s="139">
        <f>IF(OR($F51="",$I51=""),"",MAX(0,IF($L51&lt;&gt;"",$L51,TODAY())-$K51))</f>
        <v/>
      </c>
      <c r="O51" s="135">
        <f>IF(OR($F51="",$I51=""),"",$N51*P_Amende)</f>
        <v/>
      </c>
      <c r="P51" s="133" t="n"/>
      <c r="R51">
        <f>IF($M51="En retard",$N51+ROW()/100000,"")</f>
        <v/>
      </c>
      <c r="S51">
        <f>IF(OR($F51="",$I51=""),"",$F51+ROW()/100000)</f>
        <v/>
      </c>
      <c r="T51">
        <f>IF($I51="","",IFERROR(INDEX(LIV_Cat,MATCH($I51,LIV_Code,0)),""))</f>
        <v/>
      </c>
    </row>
    <row r="52" ht="21" customHeight="1">
      <c r="A52" s="1" t="n"/>
      <c r="B52" s="1" t="n"/>
      <c r="C52" s="2" t="n"/>
      <c r="E52" s="130">
        <f>IF($F52="","","EMP-"&amp;TEXT(ROW()-6,"0000"))</f>
        <v/>
      </c>
      <c r="F52" s="134" t="n">
        <v>46024</v>
      </c>
      <c r="G52" s="127" t="inlineStr">
        <is>
          <t>MEM-020</t>
        </is>
      </c>
      <c r="H52" s="130">
        <f>IF($G52="","",IFERROR(INDEX(MEM_Nom,MATCH($G52,MEM_ID,0)),"⚠ ID inconnu"))</f>
        <v/>
      </c>
      <c r="I52" s="127" t="inlineStr">
        <is>
          <t>LIV-001</t>
        </is>
      </c>
      <c r="J52" s="130">
        <f>IF($I52="","",IFERROR(INDEX(LIV_Titre,MATCH($I52,LIV_Code,0)),"⚠ Code inconnu"))</f>
        <v/>
      </c>
      <c r="K52" s="138">
        <f>IF($F52="","",$F52+P_Duree)</f>
        <v/>
      </c>
      <c r="L52" s="134" t="n">
        <v>46040</v>
      </c>
      <c r="M52" s="130">
        <f>IF(OR($F52="",$I52=""),"",IF($L52&lt;&gt;"",IF($L52&gt;$K52,"Rendu en retard","Rendu"),IF(TODAY()&gt;$K52,"En retard","En cours")))</f>
        <v/>
      </c>
      <c r="N52" s="139">
        <f>IF(OR($F52="",$I52=""),"",MAX(0,IF($L52&lt;&gt;"",$L52,TODAY())-$K52))</f>
        <v/>
      </c>
      <c r="O52" s="135">
        <f>IF(OR($F52="",$I52=""),"",$N52*P_Amende)</f>
        <v/>
      </c>
      <c r="P52" s="133" t="inlineStr">
        <is>
          <t>Oui</t>
        </is>
      </c>
      <c r="R52">
        <f>IF($M52="En retard",$N52+ROW()/100000,"")</f>
        <v/>
      </c>
      <c r="S52">
        <f>IF(OR($F52="",$I52=""),"",$F52+ROW()/100000)</f>
        <v/>
      </c>
      <c r="T52">
        <f>IF($I52="","",IFERROR(INDEX(LIV_Cat,MATCH($I52,LIV_Code,0)),""))</f>
        <v/>
      </c>
    </row>
    <row r="53" ht="21" customHeight="1">
      <c r="A53" s="1" t="n"/>
      <c r="B53" s="1" t="n"/>
      <c r="C53" s="2" t="n"/>
      <c r="E53" s="130">
        <f>IF($F53="","","EMP-"&amp;TEXT(ROW()-6,"0000"))</f>
        <v/>
      </c>
      <c r="F53" s="134" t="n">
        <v>46027</v>
      </c>
      <c r="G53" s="127" t="inlineStr">
        <is>
          <t>MEM-025</t>
        </is>
      </c>
      <c r="H53" s="130">
        <f>IF($G53="","",IFERROR(INDEX(MEM_Nom,MATCH($G53,MEM_ID,0)),"⚠ ID inconnu"))</f>
        <v/>
      </c>
      <c r="I53" s="127" t="inlineStr">
        <is>
          <t>LIV-055</t>
        </is>
      </c>
      <c r="J53" s="130">
        <f>IF($I53="","",IFERROR(INDEX(LIV_Titre,MATCH($I53,LIV_Code,0)),"⚠ Code inconnu"))</f>
        <v/>
      </c>
      <c r="K53" s="138">
        <f>IF($F53="","",$F53+P_Duree)</f>
        <v/>
      </c>
      <c r="L53" s="134" t="n">
        <v>46040</v>
      </c>
      <c r="M53" s="130">
        <f>IF(OR($F53="",$I53=""),"",IF($L53&lt;&gt;"",IF($L53&gt;$K53,"Rendu en retard","Rendu"),IF(TODAY()&gt;$K53,"En retard","En cours")))</f>
        <v/>
      </c>
      <c r="N53" s="139">
        <f>IF(OR($F53="",$I53=""),"",MAX(0,IF($L53&lt;&gt;"",$L53,TODAY())-$K53))</f>
        <v/>
      </c>
      <c r="O53" s="135">
        <f>IF(OR($F53="",$I53=""),"",$N53*P_Amende)</f>
        <v/>
      </c>
      <c r="P53" s="133" t="n"/>
      <c r="R53">
        <f>IF($M53="En retard",$N53+ROW()/100000,"")</f>
        <v/>
      </c>
      <c r="S53">
        <f>IF(OR($F53="",$I53=""),"",$F53+ROW()/100000)</f>
        <v/>
      </c>
      <c r="T53">
        <f>IF($I53="","",IFERROR(INDEX(LIV_Cat,MATCH($I53,LIV_Code,0)),""))</f>
        <v/>
      </c>
    </row>
    <row r="54" ht="21" customHeight="1">
      <c r="A54" s="1" t="n"/>
      <c r="B54" s="1" t="n"/>
      <c r="C54" s="2" t="n"/>
      <c r="E54" s="130">
        <f>IF($F54="","","EMP-"&amp;TEXT(ROW()-6,"0000"))</f>
        <v/>
      </c>
      <c r="F54" s="134" t="n">
        <v>46027</v>
      </c>
      <c r="G54" s="127" t="inlineStr">
        <is>
          <t>MEM-013</t>
        </is>
      </c>
      <c r="H54" s="130">
        <f>IF($G54="","",IFERROR(INDEX(MEM_Nom,MATCH($G54,MEM_ID,0)),"⚠ ID inconnu"))</f>
        <v/>
      </c>
      <c r="I54" s="127" t="inlineStr">
        <is>
          <t>LIV-058</t>
        </is>
      </c>
      <c r="J54" s="130">
        <f>IF($I54="","",IFERROR(INDEX(LIV_Titre,MATCH($I54,LIV_Code,0)),"⚠ Code inconnu"))</f>
        <v/>
      </c>
      <c r="K54" s="138">
        <f>IF($F54="","",$F54+P_Duree)</f>
        <v/>
      </c>
      <c r="L54" s="134" t="n">
        <v>46033</v>
      </c>
      <c r="M54" s="130">
        <f>IF(OR($F54="",$I54=""),"",IF($L54&lt;&gt;"",IF($L54&gt;$K54,"Rendu en retard","Rendu"),IF(TODAY()&gt;$K54,"En retard","En cours")))</f>
        <v/>
      </c>
      <c r="N54" s="139">
        <f>IF(OR($F54="",$I54=""),"",MAX(0,IF($L54&lt;&gt;"",$L54,TODAY())-$K54))</f>
        <v/>
      </c>
      <c r="O54" s="135">
        <f>IF(OR($F54="",$I54=""),"",$N54*P_Amende)</f>
        <v/>
      </c>
      <c r="P54" s="133" t="n"/>
      <c r="R54">
        <f>IF($M54="En retard",$N54+ROW()/100000,"")</f>
        <v/>
      </c>
      <c r="S54">
        <f>IF(OR($F54="",$I54=""),"",$F54+ROW()/100000)</f>
        <v/>
      </c>
      <c r="T54">
        <f>IF($I54="","",IFERROR(INDEX(LIV_Cat,MATCH($I54,LIV_Code,0)),""))</f>
        <v/>
      </c>
    </row>
    <row r="55" ht="21" customHeight="1">
      <c r="A55" s="1" t="n"/>
      <c r="B55" s="1" t="n"/>
      <c r="C55" s="2" t="n"/>
      <c r="E55" s="130">
        <f>IF($F55="","","EMP-"&amp;TEXT(ROW()-6,"0000"))</f>
        <v/>
      </c>
      <c r="F55" s="134" t="n">
        <v>46028</v>
      </c>
      <c r="G55" s="127" t="inlineStr">
        <is>
          <t>MEM-016</t>
        </is>
      </c>
      <c r="H55" s="130">
        <f>IF($G55="","",IFERROR(INDEX(MEM_Nom,MATCH($G55,MEM_ID,0)),"⚠ ID inconnu"))</f>
        <v/>
      </c>
      <c r="I55" s="127" t="inlineStr">
        <is>
          <t>LIV-036</t>
        </is>
      </c>
      <c r="J55" s="130">
        <f>IF($I55="","",IFERROR(INDEX(LIV_Titre,MATCH($I55,LIV_Code,0)),"⚠ Code inconnu"))</f>
        <v/>
      </c>
      <c r="K55" s="138">
        <f>IF($F55="","",$F55+P_Duree)</f>
        <v/>
      </c>
      <c r="L55" s="134" t="n">
        <v>46034</v>
      </c>
      <c r="M55" s="130">
        <f>IF(OR($F55="",$I55=""),"",IF($L55&lt;&gt;"",IF($L55&gt;$K55,"Rendu en retard","Rendu"),IF(TODAY()&gt;$K55,"En retard","En cours")))</f>
        <v/>
      </c>
      <c r="N55" s="139">
        <f>IF(OR($F55="",$I55=""),"",MAX(0,IF($L55&lt;&gt;"",$L55,TODAY())-$K55))</f>
        <v/>
      </c>
      <c r="O55" s="135">
        <f>IF(OR($F55="",$I55=""),"",$N55*P_Amende)</f>
        <v/>
      </c>
      <c r="P55" s="133" t="n"/>
      <c r="R55">
        <f>IF($M55="En retard",$N55+ROW()/100000,"")</f>
        <v/>
      </c>
      <c r="S55">
        <f>IF(OR($F55="",$I55=""),"",$F55+ROW()/100000)</f>
        <v/>
      </c>
      <c r="T55">
        <f>IF($I55="","",IFERROR(INDEX(LIV_Cat,MATCH($I55,LIV_Code,0)),""))</f>
        <v/>
      </c>
    </row>
    <row r="56" ht="21" customHeight="1">
      <c r="A56" s="1" t="n"/>
      <c r="B56" s="1" t="n"/>
      <c r="C56" s="2" t="n"/>
      <c r="E56" s="130">
        <f>IF($F56="","","EMP-"&amp;TEXT(ROW()-6,"0000"))</f>
        <v/>
      </c>
      <c r="F56" s="134" t="n">
        <v>46029</v>
      </c>
      <c r="G56" s="127" t="inlineStr">
        <is>
          <t>MEM-039</t>
        </is>
      </c>
      <c r="H56" s="130">
        <f>IF($G56="","",IFERROR(INDEX(MEM_Nom,MATCH($G56,MEM_ID,0)),"⚠ ID inconnu"))</f>
        <v/>
      </c>
      <c r="I56" s="127" t="inlineStr">
        <is>
          <t>LIV-045</t>
        </is>
      </c>
      <c r="J56" s="130">
        <f>IF($I56="","",IFERROR(INDEX(LIV_Titre,MATCH($I56,LIV_Code,0)),"⚠ Code inconnu"))</f>
        <v/>
      </c>
      <c r="K56" s="138">
        <f>IF($F56="","",$F56+P_Duree)</f>
        <v/>
      </c>
      <c r="L56" s="134" t="n">
        <v>46035</v>
      </c>
      <c r="M56" s="130">
        <f>IF(OR($F56="",$I56=""),"",IF($L56&lt;&gt;"",IF($L56&gt;$K56,"Rendu en retard","Rendu"),IF(TODAY()&gt;$K56,"En retard","En cours")))</f>
        <v/>
      </c>
      <c r="N56" s="139">
        <f>IF(OR($F56="",$I56=""),"",MAX(0,IF($L56&lt;&gt;"",$L56,TODAY())-$K56))</f>
        <v/>
      </c>
      <c r="O56" s="135">
        <f>IF(OR($F56="",$I56=""),"",$N56*P_Amende)</f>
        <v/>
      </c>
      <c r="P56" s="133" t="n"/>
      <c r="R56">
        <f>IF($M56="En retard",$N56+ROW()/100000,"")</f>
        <v/>
      </c>
      <c r="S56">
        <f>IF(OR($F56="",$I56=""),"",$F56+ROW()/100000)</f>
        <v/>
      </c>
      <c r="T56">
        <f>IF($I56="","",IFERROR(INDEX(LIV_Cat,MATCH($I56,LIV_Code,0)),""))</f>
        <v/>
      </c>
    </row>
    <row r="57" ht="21" customHeight="1">
      <c r="A57" s="1" t="n"/>
      <c r="B57" s="1" t="n"/>
      <c r="C57" s="2" t="n"/>
      <c r="E57" s="130">
        <f>IF($F57="","","EMP-"&amp;TEXT(ROW()-6,"0000"))</f>
        <v/>
      </c>
      <c r="F57" s="134" t="n">
        <v>46029</v>
      </c>
      <c r="G57" s="127" t="inlineStr">
        <is>
          <t>MEM-037</t>
        </is>
      </c>
      <c r="H57" s="130">
        <f>IF($G57="","",IFERROR(INDEX(MEM_Nom,MATCH($G57,MEM_ID,0)),"⚠ ID inconnu"))</f>
        <v/>
      </c>
      <c r="I57" s="127" t="inlineStr">
        <is>
          <t>LIV-045</t>
        </is>
      </c>
      <c r="J57" s="130">
        <f>IF($I57="","",IFERROR(INDEX(LIV_Titre,MATCH($I57,LIV_Code,0)),"⚠ Code inconnu"))</f>
        <v/>
      </c>
      <c r="K57" s="138">
        <f>IF($F57="","",$F57+P_Duree)</f>
        <v/>
      </c>
      <c r="L57" s="134" t="n">
        <v>46033</v>
      </c>
      <c r="M57" s="130">
        <f>IF(OR($F57="",$I57=""),"",IF($L57&lt;&gt;"",IF($L57&gt;$K57,"Rendu en retard","Rendu"),IF(TODAY()&gt;$K57,"En retard","En cours")))</f>
        <v/>
      </c>
      <c r="N57" s="139">
        <f>IF(OR($F57="",$I57=""),"",MAX(0,IF($L57&lt;&gt;"",$L57,TODAY())-$K57))</f>
        <v/>
      </c>
      <c r="O57" s="135">
        <f>IF(OR($F57="",$I57=""),"",$N57*P_Amende)</f>
        <v/>
      </c>
      <c r="P57" s="133" t="n"/>
      <c r="R57">
        <f>IF($M57="En retard",$N57+ROW()/100000,"")</f>
        <v/>
      </c>
      <c r="S57">
        <f>IF(OR($F57="",$I57=""),"",$F57+ROW()/100000)</f>
        <v/>
      </c>
      <c r="T57">
        <f>IF($I57="","",IFERROR(INDEX(LIV_Cat,MATCH($I57,LIV_Code,0)),""))</f>
        <v/>
      </c>
    </row>
    <row r="58" ht="21" customHeight="1">
      <c r="A58" s="1" t="n"/>
      <c r="B58" s="1" t="n"/>
      <c r="C58" s="2" t="n"/>
      <c r="E58" s="130">
        <f>IF($F58="","","EMP-"&amp;TEXT(ROW()-6,"0000"))</f>
        <v/>
      </c>
      <c r="F58" s="134" t="n">
        <v>46031</v>
      </c>
      <c r="G58" s="127" t="inlineStr">
        <is>
          <t>MEM-024</t>
        </is>
      </c>
      <c r="H58" s="130">
        <f>IF($G58="","",IFERROR(INDEX(MEM_Nom,MATCH($G58,MEM_ID,0)),"⚠ ID inconnu"))</f>
        <v/>
      </c>
      <c r="I58" s="127" t="inlineStr">
        <is>
          <t>LIV-021</t>
        </is>
      </c>
      <c r="J58" s="130">
        <f>IF($I58="","",IFERROR(INDEX(LIV_Titre,MATCH($I58,LIV_Code,0)),"⚠ Code inconnu"))</f>
        <v/>
      </c>
      <c r="K58" s="138">
        <f>IF($F58="","",$F58+P_Duree)</f>
        <v/>
      </c>
      <c r="L58" s="134" t="n">
        <v>46037</v>
      </c>
      <c r="M58" s="130">
        <f>IF(OR($F58="",$I58=""),"",IF($L58&lt;&gt;"",IF($L58&gt;$K58,"Rendu en retard","Rendu"),IF(TODAY()&gt;$K58,"En retard","En cours")))</f>
        <v/>
      </c>
      <c r="N58" s="139">
        <f>IF(OR($F58="",$I58=""),"",MAX(0,IF($L58&lt;&gt;"",$L58,TODAY())-$K58))</f>
        <v/>
      </c>
      <c r="O58" s="135">
        <f>IF(OR($F58="",$I58=""),"",$N58*P_Amende)</f>
        <v/>
      </c>
      <c r="P58" s="133" t="n"/>
      <c r="R58">
        <f>IF($M58="En retard",$N58+ROW()/100000,"")</f>
        <v/>
      </c>
      <c r="S58">
        <f>IF(OR($F58="",$I58=""),"",$F58+ROW()/100000)</f>
        <v/>
      </c>
      <c r="T58">
        <f>IF($I58="","",IFERROR(INDEX(LIV_Cat,MATCH($I58,LIV_Code,0)),""))</f>
        <v/>
      </c>
    </row>
    <row r="59" ht="21" customHeight="1">
      <c r="A59" s="1" t="n"/>
      <c r="B59" s="1" t="n"/>
      <c r="C59" s="2" t="n"/>
      <c r="E59" s="130">
        <f>IF($F59="","","EMP-"&amp;TEXT(ROW()-6,"0000"))</f>
        <v/>
      </c>
      <c r="F59" s="134" t="n">
        <v>46034</v>
      </c>
      <c r="G59" s="127" t="inlineStr">
        <is>
          <t>MEM-001</t>
        </is>
      </c>
      <c r="H59" s="130">
        <f>IF($G59="","",IFERROR(INDEX(MEM_Nom,MATCH($G59,MEM_ID,0)),"⚠ ID inconnu"))</f>
        <v/>
      </c>
      <c r="I59" s="127" t="inlineStr">
        <is>
          <t>LIV-035</t>
        </is>
      </c>
      <c r="J59" s="130">
        <f>IF($I59="","",IFERROR(INDEX(LIV_Titre,MATCH($I59,LIV_Code,0)),"⚠ Code inconnu"))</f>
        <v/>
      </c>
      <c r="K59" s="138">
        <f>IF($F59="","",$F59+P_Duree)</f>
        <v/>
      </c>
      <c r="L59" s="134" t="n">
        <v>46047</v>
      </c>
      <c r="M59" s="130">
        <f>IF(OR($F59="",$I59=""),"",IF($L59&lt;&gt;"",IF($L59&gt;$K59,"Rendu en retard","Rendu"),IF(TODAY()&gt;$K59,"En retard","En cours")))</f>
        <v/>
      </c>
      <c r="N59" s="139">
        <f>IF(OR($F59="",$I59=""),"",MAX(0,IF($L59&lt;&gt;"",$L59,TODAY())-$K59))</f>
        <v/>
      </c>
      <c r="O59" s="135">
        <f>IF(OR($F59="",$I59=""),"",$N59*P_Amende)</f>
        <v/>
      </c>
      <c r="P59" s="133" t="n"/>
      <c r="R59">
        <f>IF($M59="En retard",$N59+ROW()/100000,"")</f>
        <v/>
      </c>
      <c r="S59">
        <f>IF(OR($F59="",$I59=""),"",$F59+ROW()/100000)</f>
        <v/>
      </c>
      <c r="T59">
        <f>IF($I59="","",IFERROR(INDEX(LIV_Cat,MATCH($I59,LIV_Code,0)),""))</f>
        <v/>
      </c>
    </row>
    <row r="60" ht="21" customHeight="1">
      <c r="A60" s="1" t="n"/>
      <c r="B60" s="1" t="n"/>
      <c r="C60" s="2" t="n"/>
      <c r="E60" s="130">
        <f>IF($F60="","","EMP-"&amp;TEXT(ROW()-6,"0000"))</f>
        <v/>
      </c>
      <c r="F60" s="134" t="n">
        <v>46035</v>
      </c>
      <c r="G60" s="127" t="inlineStr">
        <is>
          <t>MEM-024</t>
        </is>
      </c>
      <c r="H60" s="130">
        <f>IF($G60="","",IFERROR(INDEX(MEM_Nom,MATCH($G60,MEM_ID,0)),"⚠ ID inconnu"))</f>
        <v/>
      </c>
      <c r="I60" s="127" t="inlineStr">
        <is>
          <t>LIV-003</t>
        </is>
      </c>
      <c r="J60" s="130">
        <f>IF($I60="","",IFERROR(INDEX(LIV_Titre,MATCH($I60,LIV_Code,0)),"⚠ Code inconnu"))</f>
        <v/>
      </c>
      <c r="K60" s="138">
        <f>IF($F60="","",$F60+P_Duree)</f>
        <v/>
      </c>
      <c r="L60" s="134" t="n">
        <v>46054</v>
      </c>
      <c r="M60" s="130">
        <f>IF(OR($F60="",$I60=""),"",IF($L60&lt;&gt;"",IF($L60&gt;$K60,"Rendu en retard","Rendu"),IF(TODAY()&gt;$K60,"En retard","En cours")))</f>
        <v/>
      </c>
      <c r="N60" s="139">
        <f>IF(OR($F60="",$I60=""),"",MAX(0,IF($L60&lt;&gt;"",$L60,TODAY())-$K60))</f>
        <v/>
      </c>
      <c r="O60" s="135">
        <f>IF(OR($F60="",$I60=""),"",$N60*P_Amende)</f>
        <v/>
      </c>
      <c r="P60" s="133" t="inlineStr">
        <is>
          <t>Oui</t>
        </is>
      </c>
      <c r="R60">
        <f>IF($M60="En retard",$N60+ROW()/100000,"")</f>
        <v/>
      </c>
      <c r="S60">
        <f>IF(OR($F60="",$I60=""),"",$F60+ROW()/100000)</f>
        <v/>
      </c>
      <c r="T60">
        <f>IF($I60="","",IFERROR(INDEX(LIV_Cat,MATCH($I60,LIV_Code,0)),""))</f>
        <v/>
      </c>
    </row>
    <row r="61" ht="21" customHeight="1">
      <c r="A61" s="1" t="n"/>
      <c r="B61" s="1" t="n"/>
      <c r="C61" s="2" t="n"/>
      <c r="E61" s="130">
        <f>IF($F61="","","EMP-"&amp;TEXT(ROW()-6,"0000"))</f>
        <v/>
      </c>
      <c r="F61" s="134" t="n">
        <v>46036</v>
      </c>
      <c r="G61" s="127" t="inlineStr">
        <is>
          <t>MEM-028</t>
        </is>
      </c>
      <c r="H61" s="130">
        <f>IF($G61="","",IFERROR(INDEX(MEM_Nom,MATCH($G61,MEM_ID,0)),"⚠ ID inconnu"))</f>
        <v/>
      </c>
      <c r="I61" s="127" t="inlineStr">
        <is>
          <t>LIV-038</t>
        </is>
      </c>
      <c r="J61" s="130">
        <f>IF($I61="","",IFERROR(INDEX(LIV_Titre,MATCH($I61,LIV_Code,0)),"⚠ Code inconnu"))</f>
        <v/>
      </c>
      <c r="K61" s="138">
        <f>IF($F61="","",$F61+P_Duree)</f>
        <v/>
      </c>
      <c r="L61" s="134" t="n">
        <v>46043</v>
      </c>
      <c r="M61" s="130">
        <f>IF(OR($F61="",$I61=""),"",IF($L61&lt;&gt;"",IF($L61&gt;$K61,"Rendu en retard","Rendu"),IF(TODAY()&gt;$K61,"En retard","En cours")))</f>
        <v/>
      </c>
      <c r="N61" s="139">
        <f>IF(OR($F61="",$I61=""),"",MAX(0,IF($L61&lt;&gt;"",$L61,TODAY())-$K61))</f>
        <v/>
      </c>
      <c r="O61" s="135">
        <f>IF(OR($F61="",$I61=""),"",$N61*P_Amende)</f>
        <v/>
      </c>
      <c r="P61" s="133" t="n"/>
      <c r="R61">
        <f>IF($M61="En retard",$N61+ROW()/100000,"")</f>
        <v/>
      </c>
      <c r="S61">
        <f>IF(OR($F61="",$I61=""),"",$F61+ROW()/100000)</f>
        <v/>
      </c>
      <c r="T61">
        <f>IF($I61="","",IFERROR(INDEX(LIV_Cat,MATCH($I61,LIV_Code,0)),""))</f>
        <v/>
      </c>
    </row>
    <row r="62" ht="21" customHeight="1">
      <c r="A62" s="1" t="n"/>
      <c r="B62" s="1" t="n"/>
      <c r="C62" s="2" t="n"/>
      <c r="E62" s="130">
        <f>IF($F62="","","EMP-"&amp;TEXT(ROW()-6,"0000"))</f>
        <v/>
      </c>
      <c r="F62" s="134" t="n">
        <v>46037</v>
      </c>
      <c r="G62" s="127" t="inlineStr">
        <is>
          <t>MEM-018</t>
        </is>
      </c>
      <c r="H62" s="130">
        <f>IF($G62="","",IFERROR(INDEX(MEM_Nom,MATCH($G62,MEM_ID,0)),"⚠ ID inconnu"))</f>
        <v/>
      </c>
      <c r="I62" s="127" t="inlineStr">
        <is>
          <t>LIV-027</t>
        </is>
      </c>
      <c r="J62" s="130">
        <f>IF($I62="","",IFERROR(INDEX(LIV_Titre,MATCH($I62,LIV_Code,0)),"⚠ Code inconnu"))</f>
        <v/>
      </c>
      <c r="K62" s="138">
        <f>IF($F62="","",$F62+P_Duree)</f>
        <v/>
      </c>
      <c r="L62" s="134" t="n">
        <v>46053</v>
      </c>
      <c r="M62" s="130">
        <f>IF(OR($F62="",$I62=""),"",IF($L62&lt;&gt;"",IF($L62&gt;$K62,"Rendu en retard","Rendu"),IF(TODAY()&gt;$K62,"En retard","En cours")))</f>
        <v/>
      </c>
      <c r="N62" s="139">
        <f>IF(OR($F62="",$I62=""),"",MAX(0,IF($L62&lt;&gt;"",$L62,TODAY())-$K62))</f>
        <v/>
      </c>
      <c r="O62" s="135">
        <f>IF(OR($F62="",$I62=""),"",$N62*P_Amende)</f>
        <v/>
      </c>
      <c r="P62" s="133" t="inlineStr">
        <is>
          <t>Oui</t>
        </is>
      </c>
      <c r="R62">
        <f>IF($M62="En retard",$N62+ROW()/100000,"")</f>
        <v/>
      </c>
      <c r="S62">
        <f>IF(OR($F62="",$I62=""),"",$F62+ROW()/100000)</f>
        <v/>
      </c>
      <c r="T62">
        <f>IF($I62="","",IFERROR(INDEX(LIV_Cat,MATCH($I62,LIV_Code,0)),""))</f>
        <v/>
      </c>
    </row>
    <row r="63" ht="21" customHeight="1">
      <c r="A63" s="1" t="n"/>
      <c r="B63" s="1" t="n"/>
      <c r="C63" s="2" t="n"/>
      <c r="E63" s="130">
        <f>IF($F63="","","EMP-"&amp;TEXT(ROW()-6,"0000"))</f>
        <v/>
      </c>
      <c r="F63" s="134" t="n">
        <v>46037</v>
      </c>
      <c r="G63" s="127" t="inlineStr">
        <is>
          <t>MEM-035</t>
        </is>
      </c>
      <c r="H63" s="130">
        <f>IF($G63="","",IFERROR(INDEX(MEM_Nom,MATCH($G63,MEM_ID,0)),"⚠ ID inconnu"))</f>
        <v/>
      </c>
      <c r="I63" s="127" t="inlineStr">
        <is>
          <t>LIV-045</t>
        </is>
      </c>
      <c r="J63" s="130">
        <f>IF($I63="","",IFERROR(INDEX(LIV_Titre,MATCH($I63,LIV_Code,0)),"⚠ Code inconnu"))</f>
        <v/>
      </c>
      <c r="K63" s="138">
        <f>IF($F63="","",$F63+P_Duree)</f>
        <v/>
      </c>
      <c r="L63" s="134" t="n">
        <v>46051</v>
      </c>
      <c r="M63" s="130">
        <f>IF(OR($F63="",$I63=""),"",IF($L63&lt;&gt;"",IF($L63&gt;$K63,"Rendu en retard","Rendu"),IF(TODAY()&gt;$K63,"En retard","En cours")))</f>
        <v/>
      </c>
      <c r="N63" s="139">
        <f>IF(OR($F63="",$I63=""),"",MAX(0,IF($L63&lt;&gt;"",$L63,TODAY())-$K63))</f>
        <v/>
      </c>
      <c r="O63" s="135">
        <f>IF(OR($F63="",$I63=""),"",$N63*P_Amende)</f>
        <v/>
      </c>
      <c r="P63" s="133" t="n"/>
      <c r="R63">
        <f>IF($M63="En retard",$N63+ROW()/100000,"")</f>
        <v/>
      </c>
      <c r="S63">
        <f>IF(OR($F63="",$I63=""),"",$F63+ROW()/100000)</f>
        <v/>
      </c>
      <c r="T63">
        <f>IF($I63="","",IFERROR(INDEX(LIV_Cat,MATCH($I63,LIV_Code,0)),""))</f>
        <v/>
      </c>
    </row>
    <row r="64" ht="21" customHeight="1">
      <c r="A64" s="1" t="n"/>
      <c r="B64" s="1" t="n"/>
      <c r="C64" s="2" t="n"/>
      <c r="E64" s="130">
        <f>IF($F64="","","EMP-"&amp;TEXT(ROW()-6,"0000"))</f>
        <v/>
      </c>
      <c r="F64" s="134" t="n">
        <v>46038</v>
      </c>
      <c r="G64" s="127" t="inlineStr">
        <is>
          <t>MEM-038</t>
        </is>
      </c>
      <c r="H64" s="130">
        <f>IF($G64="","",IFERROR(INDEX(MEM_Nom,MATCH($G64,MEM_ID,0)),"⚠ ID inconnu"))</f>
        <v/>
      </c>
      <c r="I64" s="127" t="inlineStr">
        <is>
          <t>LIV-022</t>
        </is>
      </c>
      <c r="J64" s="130">
        <f>IF($I64="","",IFERROR(INDEX(LIV_Titre,MATCH($I64,LIV_Code,0)),"⚠ Code inconnu"))</f>
        <v/>
      </c>
      <c r="K64" s="138">
        <f>IF($F64="","",$F64+P_Duree)</f>
        <v/>
      </c>
      <c r="L64" s="134" t="n">
        <v>46048</v>
      </c>
      <c r="M64" s="130">
        <f>IF(OR($F64="",$I64=""),"",IF($L64&lt;&gt;"",IF($L64&gt;$K64,"Rendu en retard","Rendu"),IF(TODAY()&gt;$K64,"En retard","En cours")))</f>
        <v/>
      </c>
      <c r="N64" s="139">
        <f>IF(OR($F64="",$I64=""),"",MAX(0,IF($L64&lt;&gt;"",$L64,TODAY())-$K64))</f>
        <v/>
      </c>
      <c r="O64" s="135">
        <f>IF(OR($F64="",$I64=""),"",$N64*P_Amende)</f>
        <v/>
      </c>
      <c r="P64" s="133" t="n"/>
      <c r="R64">
        <f>IF($M64="En retard",$N64+ROW()/100000,"")</f>
        <v/>
      </c>
      <c r="S64">
        <f>IF(OR($F64="",$I64=""),"",$F64+ROW()/100000)</f>
        <v/>
      </c>
      <c r="T64">
        <f>IF($I64="","",IFERROR(INDEX(LIV_Cat,MATCH($I64,LIV_Code,0)),""))</f>
        <v/>
      </c>
    </row>
    <row r="65" ht="21" customHeight="1">
      <c r="A65" s="1" t="n"/>
      <c r="B65" s="1" t="n"/>
      <c r="C65" s="2" t="n"/>
      <c r="E65" s="130">
        <f>IF($F65="","","EMP-"&amp;TEXT(ROW()-6,"0000"))</f>
        <v/>
      </c>
      <c r="F65" s="134" t="n">
        <v>46045</v>
      </c>
      <c r="G65" s="127" t="inlineStr">
        <is>
          <t>MEM-030</t>
        </is>
      </c>
      <c r="H65" s="130">
        <f>IF($G65="","",IFERROR(INDEX(MEM_Nom,MATCH($G65,MEM_ID,0)),"⚠ ID inconnu"))</f>
        <v/>
      </c>
      <c r="I65" s="127" t="inlineStr">
        <is>
          <t>LIV-010</t>
        </is>
      </c>
      <c r="J65" s="130">
        <f>IF($I65="","",IFERROR(INDEX(LIV_Titre,MATCH($I65,LIV_Code,0)),"⚠ Code inconnu"))</f>
        <v/>
      </c>
      <c r="K65" s="138">
        <f>IF($F65="","",$F65+P_Duree)</f>
        <v/>
      </c>
      <c r="L65" s="134" t="n">
        <v>46061</v>
      </c>
      <c r="M65" s="130">
        <f>IF(OR($F65="",$I65=""),"",IF($L65&lt;&gt;"",IF($L65&gt;$K65,"Rendu en retard","Rendu"),IF(TODAY()&gt;$K65,"En retard","En cours")))</f>
        <v/>
      </c>
      <c r="N65" s="139">
        <f>IF(OR($F65="",$I65=""),"",MAX(0,IF($L65&lt;&gt;"",$L65,TODAY())-$K65))</f>
        <v/>
      </c>
      <c r="O65" s="135">
        <f>IF(OR($F65="",$I65=""),"",$N65*P_Amende)</f>
        <v/>
      </c>
      <c r="P65" s="133" t="inlineStr">
        <is>
          <t>Non</t>
        </is>
      </c>
      <c r="R65">
        <f>IF($M65="En retard",$N65+ROW()/100000,"")</f>
        <v/>
      </c>
      <c r="S65">
        <f>IF(OR($F65="",$I65=""),"",$F65+ROW()/100000)</f>
        <v/>
      </c>
      <c r="T65">
        <f>IF($I65="","",IFERROR(INDEX(LIV_Cat,MATCH($I65,LIV_Code,0)),""))</f>
        <v/>
      </c>
    </row>
    <row r="66" ht="21" customHeight="1">
      <c r="A66" s="1" t="n"/>
      <c r="B66" s="1" t="n"/>
      <c r="C66" s="2" t="n"/>
      <c r="E66" s="130">
        <f>IF($F66="","","EMP-"&amp;TEXT(ROW()-6,"0000"))</f>
        <v/>
      </c>
      <c r="F66" s="134" t="n">
        <v>46048</v>
      </c>
      <c r="G66" s="127" t="inlineStr">
        <is>
          <t>MEM-022</t>
        </is>
      </c>
      <c r="H66" s="130">
        <f>IF($G66="","",IFERROR(INDEX(MEM_Nom,MATCH($G66,MEM_ID,0)),"⚠ ID inconnu"))</f>
        <v/>
      </c>
      <c r="I66" s="127" t="inlineStr">
        <is>
          <t>LIV-035</t>
        </is>
      </c>
      <c r="J66" s="130">
        <f>IF($I66="","",IFERROR(INDEX(LIV_Titre,MATCH($I66,LIV_Code,0)),"⚠ Code inconnu"))</f>
        <v/>
      </c>
      <c r="K66" s="138">
        <f>IF($F66="","",$F66+P_Duree)</f>
        <v/>
      </c>
      <c r="L66" s="134" t="n">
        <v>46052</v>
      </c>
      <c r="M66" s="130">
        <f>IF(OR($F66="",$I66=""),"",IF($L66&lt;&gt;"",IF($L66&gt;$K66,"Rendu en retard","Rendu"),IF(TODAY()&gt;$K66,"En retard","En cours")))</f>
        <v/>
      </c>
      <c r="N66" s="139">
        <f>IF(OR($F66="",$I66=""),"",MAX(0,IF($L66&lt;&gt;"",$L66,TODAY())-$K66))</f>
        <v/>
      </c>
      <c r="O66" s="135">
        <f>IF(OR($F66="",$I66=""),"",$N66*P_Amende)</f>
        <v/>
      </c>
      <c r="P66" s="133" t="n"/>
      <c r="R66">
        <f>IF($M66="En retard",$N66+ROW()/100000,"")</f>
        <v/>
      </c>
      <c r="S66">
        <f>IF(OR($F66="",$I66=""),"",$F66+ROW()/100000)</f>
        <v/>
      </c>
      <c r="T66">
        <f>IF($I66="","",IFERROR(INDEX(LIV_Cat,MATCH($I66,LIV_Code,0)),""))</f>
        <v/>
      </c>
    </row>
    <row r="67" ht="21" customHeight="1">
      <c r="A67" s="1" t="n"/>
      <c r="B67" s="1" t="n"/>
      <c r="C67" s="2" t="n"/>
      <c r="E67" s="130">
        <f>IF($F67="","","EMP-"&amp;TEXT(ROW()-6,"0000"))</f>
        <v/>
      </c>
      <c r="F67" s="134" t="n">
        <v>46049</v>
      </c>
      <c r="G67" s="127" t="inlineStr">
        <is>
          <t>MEM-012</t>
        </is>
      </c>
      <c r="H67" s="130">
        <f>IF($G67="","",IFERROR(INDEX(MEM_Nom,MATCH($G67,MEM_ID,0)),"⚠ ID inconnu"))</f>
        <v/>
      </c>
      <c r="I67" s="127" t="inlineStr">
        <is>
          <t>LIV-049</t>
        </is>
      </c>
      <c r="J67" s="130">
        <f>IF($I67="","",IFERROR(INDEX(LIV_Titre,MATCH($I67,LIV_Code,0)),"⚠ Code inconnu"))</f>
        <v/>
      </c>
      <c r="K67" s="138">
        <f>IF($F67="","",$F67+P_Duree)</f>
        <v/>
      </c>
      <c r="L67" s="134" t="n">
        <v>46063</v>
      </c>
      <c r="M67" s="130">
        <f>IF(OR($F67="",$I67=""),"",IF($L67&lt;&gt;"",IF($L67&gt;$K67,"Rendu en retard","Rendu"),IF(TODAY()&gt;$K67,"En retard","En cours")))</f>
        <v/>
      </c>
      <c r="N67" s="139">
        <f>IF(OR($F67="",$I67=""),"",MAX(0,IF($L67&lt;&gt;"",$L67,TODAY())-$K67))</f>
        <v/>
      </c>
      <c r="O67" s="135">
        <f>IF(OR($F67="",$I67=""),"",$N67*P_Amende)</f>
        <v/>
      </c>
      <c r="P67" s="133" t="n"/>
      <c r="R67">
        <f>IF($M67="En retard",$N67+ROW()/100000,"")</f>
        <v/>
      </c>
      <c r="S67">
        <f>IF(OR($F67="",$I67=""),"",$F67+ROW()/100000)</f>
        <v/>
      </c>
      <c r="T67">
        <f>IF($I67="","",IFERROR(INDEX(LIV_Cat,MATCH($I67,LIV_Code,0)),""))</f>
        <v/>
      </c>
    </row>
    <row r="68" ht="21" customHeight="1">
      <c r="A68" s="1" t="n"/>
      <c r="B68" s="1" t="n"/>
      <c r="C68" s="2" t="n"/>
      <c r="E68" s="130">
        <f>IF($F68="","","EMP-"&amp;TEXT(ROW()-6,"0000"))</f>
        <v/>
      </c>
      <c r="F68" s="134" t="n">
        <v>46057</v>
      </c>
      <c r="G68" s="127" t="inlineStr">
        <is>
          <t>MEM-018</t>
        </is>
      </c>
      <c r="H68" s="130">
        <f>IF($G68="","",IFERROR(INDEX(MEM_Nom,MATCH($G68,MEM_ID,0)),"⚠ ID inconnu"))</f>
        <v/>
      </c>
      <c r="I68" s="127" t="inlineStr">
        <is>
          <t>LIV-037</t>
        </is>
      </c>
      <c r="J68" s="130">
        <f>IF($I68="","",IFERROR(INDEX(LIV_Titre,MATCH($I68,LIV_Code,0)),"⚠ Code inconnu"))</f>
        <v/>
      </c>
      <c r="K68" s="138">
        <f>IF($F68="","",$F68+P_Duree)</f>
        <v/>
      </c>
      <c r="L68" s="134" t="n">
        <v>46071</v>
      </c>
      <c r="M68" s="130">
        <f>IF(OR($F68="",$I68=""),"",IF($L68&lt;&gt;"",IF($L68&gt;$K68,"Rendu en retard","Rendu"),IF(TODAY()&gt;$K68,"En retard","En cours")))</f>
        <v/>
      </c>
      <c r="N68" s="139">
        <f>IF(OR($F68="",$I68=""),"",MAX(0,IF($L68&lt;&gt;"",$L68,TODAY())-$K68))</f>
        <v/>
      </c>
      <c r="O68" s="135">
        <f>IF(OR($F68="",$I68=""),"",$N68*P_Amende)</f>
        <v/>
      </c>
      <c r="P68" s="133" t="n"/>
      <c r="R68">
        <f>IF($M68="En retard",$N68+ROW()/100000,"")</f>
        <v/>
      </c>
      <c r="S68">
        <f>IF(OR($F68="",$I68=""),"",$F68+ROW()/100000)</f>
        <v/>
      </c>
      <c r="T68">
        <f>IF($I68="","",IFERROR(INDEX(LIV_Cat,MATCH($I68,LIV_Code,0)),""))</f>
        <v/>
      </c>
    </row>
    <row r="69" ht="21" customHeight="1">
      <c r="A69" s="1" t="n"/>
      <c r="B69" s="1" t="n"/>
      <c r="C69" s="2" t="n"/>
      <c r="E69" s="130">
        <f>IF($F69="","","EMP-"&amp;TEXT(ROW()-6,"0000"))</f>
        <v/>
      </c>
      <c r="F69" s="134" t="n">
        <v>46059</v>
      </c>
      <c r="G69" s="127" t="inlineStr">
        <is>
          <t>MEM-006</t>
        </is>
      </c>
      <c r="H69" s="130">
        <f>IF($G69="","",IFERROR(INDEX(MEM_Nom,MATCH($G69,MEM_ID,0)),"⚠ ID inconnu"))</f>
        <v/>
      </c>
      <c r="I69" s="127" t="inlineStr">
        <is>
          <t>LIV-059</t>
        </is>
      </c>
      <c r="J69" s="130">
        <f>IF($I69="","",IFERROR(INDEX(LIV_Titre,MATCH($I69,LIV_Code,0)),"⚠ Code inconnu"))</f>
        <v/>
      </c>
      <c r="K69" s="138">
        <f>IF($F69="","",$F69+P_Duree)</f>
        <v/>
      </c>
      <c r="L69" s="134" t="n">
        <v>46068</v>
      </c>
      <c r="M69" s="130">
        <f>IF(OR($F69="",$I69=""),"",IF($L69&lt;&gt;"",IF($L69&gt;$K69,"Rendu en retard","Rendu"),IF(TODAY()&gt;$K69,"En retard","En cours")))</f>
        <v/>
      </c>
      <c r="N69" s="139">
        <f>IF(OR($F69="",$I69=""),"",MAX(0,IF($L69&lt;&gt;"",$L69,TODAY())-$K69))</f>
        <v/>
      </c>
      <c r="O69" s="135">
        <f>IF(OR($F69="",$I69=""),"",$N69*P_Amende)</f>
        <v/>
      </c>
      <c r="P69" s="133" t="n"/>
      <c r="R69">
        <f>IF($M69="En retard",$N69+ROW()/100000,"")</f>
        <v/>
      </c>
      <c r="S69">
        <f>IF(OR($F69="",$I69=""),"",$F69+ROW()/100000)</f>
        <v/>
      </c>
      <c r="T69">
        <f>IF($I69="","",IFERROR(INDEX(LIV_Cat,MATCH($I69,LIV_Code,0)),""))</f>
        <v/>
      </c>
    </row>
    <row r="70" ht="21" customHeight="1">
      <c r="A70" s="1" t="n"/>
      <c r="B70" s="1" t="n"/>
      <c r="C70" s="2" t="n"/>
      <c r="E70" s="130">
        <f>IF($F70="","","EMP-"&amp;TEXT(ROW()-6,"0000"))</f>
        <v/>
      </c>
      <c r="F70" s="134" t="n">
        <v>46062</v>
      </c>
      <c r="G70" s="127" t="inlineStr">
        <is>
          <t>MEM-036</t>
        </is>
      </c>
      <c r="H70" s="130">
        <f>IF($G70="","",IFERROR(INDEX(MEM_Nom,MATCH($G70,MEM_ID,0)),"⚠ ID inconnu"))</f>
        <v/>
      </c>
      <c r="I70" s="127" t="inlineStr">
        <is>
          <t>LIV-019</t>
        </is>
      </c>
      <c r="J70" s="130">
        <f>IF($I70="","",IFERROR(INDEX(LIV_Titre,MATCH($I70,LIV_Code,0)),"⚠ Code inconnu"))</f>
        <v/>
      </c>
      <c r="K70" s="138">
        <f>IF($F70="","",$F70+P_Duree)</f>
        <v/>
      </c>
      <c r="L70" s="134" t="n">
        <v>46071</v>
      </c>
      <c r="M70" s="130">
        <f>IF(OR($F70="",$I70=""),"",IF($L70&lt;&gt;"",IF($L70&gt;$K70,"Rendu en retard","Rendu"),IF(TODAY()&gt;$K70,"En retard","En cours")))</f>
        <v/>
      </c>
      <c r="N70" s="139">
        <f>IF(OR($F70="",$I70=""),"",MAX(0,IF($L70&lt;&gt;"",$L70,TODAY())-$K70))</f>
        <v/>
      </c>
      <c r="O70" s="135">
        <f>IF(OR($F70="",$I70=""),"",$N70*P_Amende)</f>
        <v/>
      </c>
      <c r="P70" s="133" t="n"/>
      <c r="R70">
        <f>IF($M70="En retard",$N70+ROW()/100000,"")</f>
        <v/>
      </c>
      <c r="S70">
        <f>IF(OR($F70="",$I70=""),"",$F70+ROW()/100000)</f>
        <v/>
      </c>
      <c r="T70">
        <f>IF($I70="","",IFERROR(INDEX(LIV_Cat,MATCH($I70,LIV_Code,0)),""))</f>
        <v/>
      </c>
    </row>
    <row r="71" ht="21" customHeight="1">
      <c r="A71" s="1" t="n"/>
      <c r="B71" s="1" t="n"/>
      <c r="C71" s="2" t="n"/>
      <c r="E71" s="130">
        <f>IF($F71="","","EMP-"&amp;TEXT(ROW()-6,"0000"))</f>
        <v/>
      </c>
      <c r="F71" s="134" t="n">
        <v>46062</v>
      </c>
      <c r="G71" s="127" t="inlineStr">
        <is>
          <t>MEM-032</t>
        </is>
      </c>
      <c r="H71" s="130">
        <f>IF($G71="","",IFERROR(INDEX(MEM_Nom,MATCH($G71,MEM_ID,0)),"⚠ ID inconnu"))</f>
        <v/>
      </c>
      <c r="I71" s="127" t="inlineStr">
        <is>
          <t>LIV-036</t>
        </is>
      </c>
      <c r="J71" s="130">
        <f>IF($I71="","",IFERROR(INDEX(LIV_Titre,MATCH($I71,LIV_Code,0)),"⚠ Code inconnu"))</f>
        <v/>
      </c>
      <c r="K71" s="138">
        <f>IF($F71="","",$F71+P_Duree)</f>
        <v/>
      </c>
      <c r="L71" s="134" t="n">
        <v>46076</v>
      </c>
      <c r="M71" s="130">
        <f>IF(OR($F71="",$I71=""),"",IF($L71&lt;&gt;"",IF($L71&gt;$K71,"Rendu en retard","Rendu"),IF(TODAY()&gt;$K71,"En retard","En cours")))</f>
        <v/>
      </c>
      <c r="N71" s="139">
        <f>IF(OR($F71="",$I71=""),"",MAX(0,IF($L71&lt;&gt;"",$L71,TODAY())-$K71))</f>
        <v/>
      </c>
      <c r="O71" s="135">
        <f>IF(OR($F71="",$I71=""),"",$N71*P_Amende)</f>
        <v/>
      </c>
      <c r="P71" s="133" t="n"/>
      <c r="R71">
        <f>IF($M71="En retard",$N71+ROW()/100000,"")</f>
        <v/>
      </c>
      <c r="S71">
        <f>IF(OR($F71="",$I71=""),"",$F71+ROW()/100000)</f>
        <v/>
      </c>
      <c r="T71">
        <f>IF($I71="","",IFERROR(INDEX(LIV_Cat,MATCH($I71,LIV_Code,0)),""))</f>
        <v/>
      </c>
    </row>
    <row r="72" ht="21" customHeight="1">
      <c r="A72" s="1" t="n"/>
      <c r="B72" s="1" t="n"/>
      <c r="C72" s="2" t="n"/>
      <c r="E72" s="130">
        <f>IF($F72="","","EMP-"&amp;TEXT(ROW()-6,"0000"))</f>
        <v/>
      </c>
      <c r="F72" s="134" t="n">
        <v>46069</v>
      </c>
      <c r="G72" s="127" t="inlineStr">
        <is>
          <t>MEM-020</t>
        </is>
      </c>
      <c r="H72" s="130">
        <f>IF($G72="","",IFERROR(INDEX(MEM_Nom,MATCH($G72,MEM_ID,0)),"⚠ ID inconnu"))</f>
        <v/>
      </c>
      <c r="I72" s="127" t="inlineStr">
        <is>
          <t>LIV-036</t>
        </is>
      </c>
      <c r="J72" s="130">
        <f>IF($I72="","",IFERROR(INDEX(LIV_Titre,MATCH($I72,LIV_Code,0)),"⚠ Code inconnu"))</f>
        <v/>
      </c>
      <c r="K72" s="138">
        <f>IF($F72="","",$F72+P_Duree)</f>
        <v/>
      </c>
      <c r="L72" s="134" t="n">
        <v>46088</v>
      </c>
      <c r="M72" s="130">
        <f>IF(OR($F72="",$I72=""),"",IF($L72&lt;&gt;"",IF($L72&gt;$K72,"Rendu en retard","Rendu"),IF(TODAY()&gt;$K72,"En retard","En cours")))</f>
        <v/>
      </c>
      <c r="N72" s="139">
        <f>IF(OR($F72="",$I72=""),"",MAX(0,IF($L72&lt;&gt;"",$L72,TODAY())-$K72))</f>
        <v/>
      </c>
      <c r="O72" s="135">
        <f>IF(OR($F72="",$I72=""),"",$N72*P_Amende)</f>
        <v/>
      </c>
      <c r="P72" s="133" t="inlineStr">
        <is>
          <t>Oui</t>
        </is>
      </c>
      <c r="R72">
        <f>IF($M72="En retard",$N72+ROW()/100000,"")</f>
        <v/>
      </c>
      <c r="S72">
        <f>IF(OR($F72="",$I72=""),"",$F72+ROW()/100000)</f>
        <v/>
      </c>
      <c r="T72">
        <f>IF($I72="","",IFERROR(INDEX(LIV_Cat,MATCH($I72,LIV_Code,0)),""))</f>
        <v/>
      </c>
    </row>
    <row r="73" ht="21" customHeight="1">
      <c r="A73" s="1" t="n"/>
      <c r="B73" s="1" t="n"/>
      <c r="C73" s="2" t="n"/>
      <c r="E73" s="130">
        <f>IF($F73="","","EMP-"&amp;TEXT(ROW()-6,"0000"))</f>
        <v/>
      </c>
      <c r="F73" s="134" t="n">
        <v>46070</v>
      </c>
      <c r="G73" s="127" t="inlineStr">
        <is>
          <t>MEM-036</t>
        </is>
      </c>
      <c r="H73" s="130">
        <f>IF($G73="","",IFERROR(INDEX(MEM_Nom,MATCH($G73,MEM_ID,0)),"⚠ ID inconnu"))</f>
        <v/>
      </c>
      <c r="I73" s="127" t="inlineStr">
        <is>
          <t>LIV-015</t>
        </is>
      </c>
      <c r="J73" s="130">
        <f>IF($I73="","",IFERROR(INDEX(LIV_Titre,MATCH($I73,LIV_Code,0)),"⚠ Code inconnu"))</f>
        <v/>
      </c>
      <c r="K73" s="138">
        <f>IF($F73="","",$F73+P_Duree)</f>
        <v/>
      </c>
      <c r="L73" s="134" t="n">
        <v>46084</v>
      </c>
      <c r="M73" s="130">
        <f>IF(OR($F73="",$I73=""),"",IF($L73&lt;&gt;"",IF($L73&gt;$K73,"Rendu en retard","Rendu"),IF(TODAY()&gt;$K73,"En retard","En cours")))</f>
        <v/>
      </c>
      <c r="N73" s="139">
        <f>IF(OR($F73="",$I73=""),"",MAX(0,IF($L73&lt;&gt;"",$L73,TODAY())-$K73))</f>
        <v/>
      </c>
      <c r="O73" s="135">
        <f>IF(OR($F73="",$I73=""),"",$N73*P_Amende)</f>
        <v/>
      </c>
      <c r="P73" s="133" t="n"/>
      <c r="R73">
        <f>IF($M73="En retard",$N73+ROW()/100000,"")</f>
        <v/>
      </c>
      <c r="S73">
        <f>IF(OR($F73="",$I73=""),"",$F73+ROW()/100000)</f>
        <v/>
      </c>
      <c r="T73">
        <f>IF($I73="","",IFERROR(INDEX(LIV_Cat,MATCH($I73,LIV_Code,0)),""))</f>
        <v/>
      </c>
    </row>
    <row r="74" ht="21" customHeight="1">
      <c r="A74" s="1" t="n"/>
      <c r="B74" s="1" t="n"/>
      <c r="C74" s="2" t="n"/>
      <c r="E74" s="130">
        <f>IF($F74="","","EMP-"&amp;TEXT(ROW()-6,"0000"))</f>
        <v/>
      </c>
      <c r="F74" s="134" t="n">
        <v>46072</v>
      </c>
      <c r="G74" s="127" t="inlineStr">
        <is>
          <t>MEM-036</t>
        </is>
      </c>
      <c r="H74" s="130">
        <f>IF($G74="","",IFERROR(INDEX(MEM_Nom,MATCH($G74,MEM_ID,0)),"⚠ ID inconnu"))</f>
        <v/>
      </c>
      <c r="I74" s="127" t="inlineStr">
        <is>
          <t>LIV-060</t>
        </is>
      </c>
      <c r="J74" s="130">
        <f>IF($I74="","",IFERROR(INDEX(LIV_Titre,MATCH($I74,LIV_Code,0)),"⚠ Code inconnu"))</f>
        <v/>
      </c>
      <c r="K74" s="138">
        <f>IF($F74="","",$F74+P_Duree)</f>
        <v/>
      </c>
      <c r="L74" s="134" t="n">
        <v>46084</v>
      </c>
      <c r="M74" s="130">
        <f>IF(OR($F74="",$I74=""),"",IF($L74&lt;&gt;"",IF($L74&gt;$K74,"Rendu en retard","Rendu"),IF(TODAY()&gt;$K74,"En retard","En cours")))</f>
        <v/>
      </c>
      <c r="N74" s="139">
        <f>IF(OR($F74="",$I74=""),"",MAX(0,IF($L74&lt;&gt;"",$L74,TODAY())-$K74))</f>
        <v/>
      </c>
      <c r="O74" s="135">
        <f>IF(OR($F74="",$I74=""),"",$N74*P_Amende)</f>
        <v/>
      </c>
      <c r="P74" s="133" t="n"/>
      <c r="R74">
        <f>IF($M74="En retard",$N74+ROW()/100000,"")</f>
        <v/>
      </c>
      <c r="S74">
        <f>IF(OR($F74="",$I74=""),"",$F74+ROW()/100000)</f>
        <v/>
      </c>
      <c r="T74">
        <f>IF($I74="","",IFERROR(INDEX(LIV_Cat,MATCH($I74,LIV_Code,0)),""))</f>
        <v/>
      </c>
    </row>
    <row r="75" ht="21" customHeight="1">
      <c r="A75" s="1" t="n"/>
      <c r="B75" s="1" t="n"/>
      <c r="C75" s="2" t="n"/>
      <c r="E75" s="130">
        <f>IF($F75="","","EMP-"&amp;TEXT(ROW()-6,"0000"))</f>
        <v/>
      </c>
      <c r="F75" s="134" t="n">
        <v>46076</v>
      </c>
      <c r="G75" s="127" t="inlineStr">
        <is>
          <t>MEM-020</t>
        </is>
      </c>
      <c r="H75" s="130">
        <f>IF($G75="","",IFERROR(INDEX(MEM_Nom,MATCH($G75,MEM_ID,0)),"⚠ ID inconnu"))</f>
        <v/>
      </c>
      <c r="I75" s="127" t="inlineStr">
        <is>
          <t>LIV-023</t>
        </is>
      </c>
      <c r="J75" s="130">
        <f>IF($I75="","",IFERROR(INDEX(LIV_Titre,MATCH($I75,LIV_Code,0)),"⚠ Code inconnu"))</f>
        <v/>
      </c>
      <c r="K75" s="138">
        <f>IF($F75="","",$F75+P_Duree)</f>
        <v/>
      </c>
      <c r="L75" s="134" t="n">
        <v>46086</v>
      </c>
      <c r="M75" s="130">
        <f>IF(OR($F75="",$I75=""),"",IF($L75&lt;&gt;"",IF($L75&gt;$K75,"Rendu en retard","Rendu"),IF(TODAY()&gt;$K75,"En retard","En cours")))</f>
        <v/>
      </c>
      <c r="N75" s="139">
        <f>IF(OR($F75="",$I75=""),"",MAX(0,IF($L75&lt;&gt;"",$L75,TODAY())-$K75))</f>
        <v/>
      </c>
      <c r="O75" s="135">
        <f>IF(OR($F75="",$I75=""),"",$N75*P_Amende)</f>
        <v/>
      </c>
      <c r="P75" s="133" t="n"/>
      <c r="R75">
        <f>IF($M75="En retard",$N75+ROW()/100000,"")</f>
        <v/>
      </c>
      <c r="S75">
        <f>IF(OR($F75="",$I75=""),"",$F75+ROW()/100000)</f>
        <v/>
      </c>
      <c r="T75">
        <f>IF($I75="","",IFERROR(INDEX(LIV_Cat,MATCH($I75,LIV_Code,0)),""))</f>
        <v/>
      </c>
    </row>
    <row r="76" ht="21" customHeight="1">
      <c r="A76" s="1" t="n"/>
      <c r="B76" s="1" t="n"/>
      <c r="C76" s="2" t="n"/>
      <c r="E76" s="130">
        <f>IF($F76="","","EMP-"&amp;TEXT(ROW()-6,"0000"))</f>
        <v/>
      </c>
      <c r="F76" s="134" t="n">
        <v>46076</v>
      </c>
      <c r="G76" s="127" t="inlineStr">
        <is>
          <t>MEM-013</t>
        </is>
      </c>
      <c r="H76" s="130">
        <f>IF($G76="","",IFERROR(INDEX(MEM_Nom,MATCH($G76,MEM_ID,0)),"⚠ ID inconnu"))</f>
        <v/>
      </c>
      <c r="I76" s="127" t="inlineStr">
        <is>
          <t>LIV-010</t>
        </is>
      </c>
      <c r="J76" s="130">
        <f>IF($I76="","",IFERROR(INDEX(LIV_Titre,MATCH($I76,LIV_Code,0)),"⚠ Code inconnu"))</f>
        <v/>
      </c>
      <c r="K76" s="138">
        <f>IF($F76="","",$F76+P_Duree)</f>
        <v/>
      </c>
      <c r="L76" s="134" t="n">
        <v>46088</v>
      </c>
      <c r="M76" s="130">
        <f>IF(OR($F76="",$I76=""),"",IF($L76&lt;&gt;"",IF($L76&gt;$K76,"Rendu en retard","Rendu"),IF(TODAY()&gt;$K76,"En retard","En cours")))</f>
        <v/>
      </c>
      <c r="N76" s="139">
        <f>IF(OR($F76="",$I76=""),"",MAX(0,IF($L76&lt;&gt;"",$L76,TODAY())-$K76))</f>
        <v/>
      </c>
      <c r="O76" s="135">
        <f>IF(OR($F76="",$I76=""),"",$N76*P_Amende)</f>
        <v/>
      </c>
      <c r="P76" s="133" t="n"/>
      <c r="R76">
        <f>IF($M76="En retard",$N76+ROW()/100000,"")</f>
        <v/>
      </c>
      <c r="S76">
        <f>IF(OR($F76="",$I76=""),"",$F76+ROW()/100000)</f>
        <v/>
      </c>
      <c r="T76">
        <f>IF($I76="","",IFERROR(INDEX(LIV_Cat,MATCH($I76,LIV_Code,0)),""))</f>
        <v/>
      </c>
    </row>
    <row r="77" ht="21" customHeight="1">
      <c r="A77" s="1" t="n"/>
      <c r="B77" s="1" t="n"/>
      <c r="C77" s="2" t="n"/>
      <c r="E77" s="130">
        <f>IF($F77="","","EMP-"&amp;TEXT(ROW()-6,"0000"))</f>
        <v/>
      </c>
      <c r="F77" s="134" t="n">
        <v>46078</v>
      </c>
      <c r="G77" s="127" t="inlineStr">
        <is>
          <t>MEM-012</t>
        </is>
      </c>
      <c r="H77" s="130">
        <f>IF($G77="","",IFERROR(INDEX(MEM_Nom,MATCH($G77,MEM_ID,0)),"⚠ ID inconnu"))</f>
        <v/>
      </c>
      <c r="I77" s="127" t="inlineStr">
        <is>
          <t>LIV-028</t>
        </is>
      </c>
      <c r="J77" s="130">
        <f>IF($I77="","",IFERROR(INDEX(LIV_Titre,MATCH($I77,LIV_Code,0)),"⚠ Code inconnu"))</f>
        <v/>
      </c>
      <c r="K77" s="138">
        <f>IF($F77="","",$F77+P_Duree)</f>
        <v/>
      </c>
      <c r="L77" s="134" t="n">
        <v>46087</v>
      </c>
      <c r="M77" s="130">
        <f>IF(OR($F77="",$I77=""),"",IF($L77&lt;&gt;"",IF($L77&gt;$K77,"Rendu en retard","Rendu"),IF(TODAY()&gt;$K77,"En retard","En cours")))</f>
        <v/>
      </c>
      <c r="N77" s="139">
        <f>IF(OR($F77="",$I77=""),"",MAX(0,IF($L77&lt;&gt;"",$L77,TODAY())-$K77))</f>
        <v/>
      </c>
      <c r="O77" s="135">
        <f>IF(OR($F77="",$I77=""),"",$N77*P_Amende)</f>
        <v/>
      </c>
      <c r="P77" s="133" t="n"/>
      <c r="R77">
        <f>IF($M77="En retard",$N77+ROW()/100000,"")</f>
        <v/>
      </c>
      <c r="S77">
        <f>IF(OR($F77="",$I77=""),"",$F77+ROW()/100000)</f>
        <v/>
      </c>
      <c r="T77">
        <f>IF($I77="","",IFERROR(INDEX(LIV_Cat,MATCH($I77,LIV_Code,0)),""))</f>
        <v/>
      </c>
    </row>
    <row r="78" ht="21" customHeight="1">
      <c r="A78" s="1" t="n"/>
      <c r="B78" s="1" t="n"/>
      <c r="C78" s="2" t="n"/>
      <c r="E78" s="130">
        <f>IF($F78="","","EMP-"&amp;TEXT(ROW()-6,"0000"))</f>
        <v/>
      </c>
      <c r="F78" s="134" t="n">
        <v>46078</v>
      </c>
      <c r="G78" s="127" t="inlineStr">
        <is>
          <t>MEM-031</t>
        </is>
      </c>
      <c r="H78" s="130">
        <f>IF($G78="","",IFERROR(INDEX(MEM_Nom,MATCH($G78,MEM_ID,0)),"⚠ ID inconnu"))</f>
        <v/>
      </c>
      <c r="I78" s="127" t="inlineStr">
        <is>
          <t>LIV-010</t>
        </is>
      </c>
      <c r="J78" s="130">
        <f>IF($I78="","",IFERROR(INDEX(LIV_Titre,MATCH($I78,LIV_Code,0)),"⚠ Code inconnu"))</f>
        <v/>
      </c>
      <c r="K78" s="138">
        <f>IF($F78="","",$F78+P_Duree)</f>
        <v/>
      </c>
      <c r="L78" s="134" t="n">
        <v>46088</v>
      </c>
      <c r="M78" s="130">
        <f>IF(OR($F78="",$I78=""),"",IF($L78&lt;&gt;"",IF($L78&gt;$K78,"Rendu en retard","Rendu"),IF(TODAY()&gt;$K78,"En retard","En cours")))</f>
        <v/>
      </c>
      <c r="N78" s="139">
        <f>IF(OR($F78="",$I78=""),"",MAX(0,IF($L78&lt;&gt;"",$L78,TODAY())-$K78))</f>
        <v/>
      </c>
      <c r="O78" s="135">
        <f>IF(OR($F78="",$I78=""),"",$N78*P_Amende)</f>
        <v/>
      </c>
      <c r="P78" s="133" t="n"/>
      <c r="R78">
        <f>IF($M78="En retard",$N78+ROW()/100000,"")</f>
        <v/>
      </c>
      <c r="S78">
        <f>IF(OR($F78="",$I78=""),"",$F78+ROW()/100000)</f>
        <v/>
      </c>
      <c r="T78">
        <f>IF($I78="","",IFERROR(INDEX(LIV_Cat,MATCH($I78,LIV_Code,0)),""))</f>
        <v/>
      </c>
    </row>
    <row r="79" ht="21" customHeight="1">
      <c r="A79" s="1" t="n"/>
      <c r="B79" s="1" t="n"/>
      <c r="C79" s="2" t="n"/>
      <c r="E79" s="130">
        <f>IF($F79="","","EMP-"&amp;TEXT(ROW()-6,"0000"))</f>
        <v/>
      </c>
      <c r="F79" s="134" t="n">
        <v>46079</v>
      </c>
      <c r="G79" s="127" t="inlineStr">
        <is>
          <t>MEM-034</t>
        </is>
      </c>
      <c r="H79" s="130">
        <f>IF($G79="","",IFERROR(INDEX(MEM_Nom,MATCH($G79,MEM_ID,0)),"⚠ ID inconnu"))</f>
        <v/>
      </c>
      <c r="I79" s="127" t="inlineStr">
        <is>
          <t>LIV-030</t>
        </is>
      </c>
      <c r="J79" s="130">
        <f>IF($I79="","",IFERROR(INDEX(LIV_Titre,MATCH($I79,LIV_Code,0)),"⚠ Code inconnu"))</f>
        <v/>
      </c>
      <c r="K79" s="138">
        <f>IF($F79="","",$F79+P_Duree)</f>
        <v/>
      </c>
      <c r="L79" s="134" t="n">
        <v>46095</v>
      </c>
      <c r="M79" s="130">
        <f>IF(OR($F79="",$I79=""),"",IF($L79&lt;&gt;"",IF($L79&gt;$K79,"Rendu en retard","Rendu"),IF(TODAY()&gt;$K79,"En retard","En cours")))</f>
        <v/>
      </c>
      <c r="N79" s="139">
        <f>IF(OR($F79="",$I79=""),"",MAX(0,IF($L79&lt;&gt;"",$L79,TODAY())-$K79))</f>
        <v/>
      </c>
      <c r="O79" s="135">
        <f>IF(OR($F79="",$I79=""),"",$N79*P_Amende)</f>
        <v/>
      </c>
      <c r="P79" s="133" t="inlineStr">
        <is>
          <t>Oui</t>
        </is>
      </c>
      <c r="R79">
        <f>IF($M79="En retard",$N79+ROW()/100000,"")</f>
        <v/>
      </c>
      <c r="S79">
        <f>IF(OR($F79="",$I79=""),"",$F79+ROW()/100000)</f>
        <v/>
      </c>
      <c r="T79">
        <f>IF($I79="","",IFERROR(INDEX(LIV_Cat,MATCH($I79,LIV_Code,0)),""))</f>
        <v/>
      </c>
    </row>
    <row r="80" ht="21" customHeight="1">
      <c r="A80" s="1" t="n"/>
      <c r="B80" s="1" t="n"/>
      <c r="C80" s="2" t="n"/>
      <c r="E80" s="130">
        <f>IF($F80="","","EMP-"&amp;TEXT(ROW()-6,"0000"))</f>
        <v/>
      </c>
      <c r="F80" s="134" t="n">
        <v>46079</v>
      </c>
      <c r="G80" s="127" t="inlineStr">
        <is>
          <t>MEM-007</t>
        </is>
      </c>
      <c r="H80" s="130">
        <f>IF($G80="","",IFERROR(INDEX(MEM_Nom,MATCH($G80,MEM_ID,0)),"⚠ ID inconnu"))</f>
        <v/>
      </c>
      <c r="I80" s="127" t="inlineStr">
        <is>
          <t>LIV-011</t>
        </is>
      </c>
      <c r="J80" s="130">
        <f>IF($I80="","",IFERROR(INDEX(LIV_Titre,MATCH($I80,LIV_Code,0)),"⚠ Code inconnu"))</f>
        <v/>
      </c>
      <c r="K80" s="138">
        <f>IF($F80="","",$F80+P_Duree)</f>
        <v/>
      </c>
      <c r="L80" s="134" t="n">
        <v>46088</v>
      </c>
      <c r="M80" s="130">
        <f>IF(OR($F80="",$I80=""),"",IF($L80&lt;&gt;"",IF($L80&gt;$K80,"Rendu en retard","Rendu"),IF(TODAY()&gt;$K80,"En retard","En cours")))</f>
        <v/>
      </c>
      <c r="N80" s="139">
        <f>IF(OR($F80="",$I80=""),"",MAX(0,IF($L80&lt;&gt;"",$L80,TODAY())-$K80))</f>
        <v/>
      </c>
      <c r="O80" s="135">
        <f>IF(OR($F80="",$I80=""),"",$N80*P_Amende)</f>
        <v/>
      </c>
      <c r="P80" s="133" t="n"/>
      <c r="R80">
        <f>IF($M80="En retard",$N80+ROW()/100000,"")</f>
        <v/>
      </c>
      <c r="S80">
        <f>IF(OR($F80="",$I80=""),"",$F80+ROW()/100000)</f>
        <v/>
      </c>
      <c r="T80">
        <f>IF($I80="","",IFERROR(INDEX(LIV_Cat,MATCH($I80,LIV_Code,0)),""))</f>
        <v/>
      </c>
    </row>
    <row r="81" ht="21" customHeight="1">
      <c r="A81" s="1" t="n"/>
      <c r="B81" s="1" t="n"/>
      <c r="C81" s="2" t="n"/>
      <c r="E81" s="130">
        <f>IF($F81="","","EMP-"&amp;TEXT(ROW()-6,"0000"))</f>
        <v/>
      </c>
      <c r="F81" s="134" t="n">
        <v>46090</v>
      </c>
      <c r="G81" s="127" t="inlineStr">
        <is>
          <t>MEM-018</t>
        </is>
      </c>
      <c r="H81" s="130">
        <f>IF($G81="","",IFERROR(INDEX(MEM_Nom,MATCH($G81,MEM_ID,0)),"⚠ ID inconnu"))</f>
        <v/>
      </c>
      <c r="I81" s="127" t="inlineStr">
        <is>
          <t>LIV-028</t>
        </is>
      </c>
      <c r="J81" s="130">
        <f>IF($I81="","",IFERROR(INDEX(LIV_Titre,MATCH($I81,LIV_Code,0)),"⚠ Code inconnu"))</f>
        <v/>
      </c>
      <c r="K81" s="138">
        <f>IF($F81="","",$F81+P_Duree)</f>
        <v/>
      </c>
      <c r="L81" s="134" t="n">
        <v>46094</v>
      </c>
      <c r="M81" s="130">
        <f>IF(OR($F81="",$I81=""),"",IF($L81&lt;&gt;"",IF($L81&gt;$K81,"Rendu en retard","Rendu"),IF(TODAY()&gt;$K81,"En retard","En cours")))</f>
        <v/>
      </c>
      <c r="N81" s="139">
        <f>IF(OR($F81="",$I81=""),"",MAX(0,IF($L81&lt;&gt;"",$L81,TODAY())-$K81))</f>
        <v/>
      </c>
      <c r="O81" s="135">
        <f>IF(OR($F81="",$I81=""),"",$N81*P_Amende)</f>
        <v/>
      </c>
      <c r="P81" s="133" t="n"/>
      <c r="R81">
        <f>IF($M81="En retard",$N81+ROW()/100000,"")</f>
        <v/>
      </c>
      <c r="S81">
        <f>IF(OR($F81="",$I81=""),"",$F81+ROW()/100000)</f>
        <v/>
      </c>
      <c r="T81">
        <f>IF($I81="","",IFERROR(INDEX(LIV_Cat,MATCH($I81,LIV_Code,0)),""))</f>
        <v/>
      </c>
    </row>
    <row r="82" ht="21" customHeight="1">
      <c r="A82" s="1" t="n"/>
      <c r="B82" s="1" t="n"/>
      <c r="C82" s="2" t="n"/>
      <c r="E82" s="130">
        <f>IF($F82="","","EMP-"&amp;TEXT(ROW()-6,"0000"))</f>
        <v/>
      </c>
      <c r="F82" s="134" t="n">
        <v>46090</v>
      </c>
      <c r="G82" s="127" t="inlineStr">
        <is>
          <t>MEM-036</t>
        </is>
      </c>
      <c r="H82" s="130">
        <f>IF($G82="","",IFERROR(INDEX(MEM_Nom,MATCH($G82,MEM_ID,0)),"⚠ ID inconnu"))</f>
        <v/>
      </c>
      <c r="I82" s="127" t="inlineStr">
        <is>
          <t>LIV-059</t>
        </is>
      </c>
      <c r="J82" s="130">
        <f>IF($I82="","",IFERROR(INDEX(LIV_Titre,MATCH($I82,LIV_Code,0)),"⚠ Code inconnu"))</f>
        <v/>
      </c>
      <c r="K82" s="138">
        <f>IF($F82="","",$F82+P_Duree)</f>
        <v/>
      </c>
      <c r="L82" s="134" t="n">
        <v>46100</v>
      </c>
      <c r="M82" s="130">
        <f>IF(OR($F82="",$I82=""),"",IF($L82&lt;&gt;"",IF($L82&gt;$K82,"Rendu en retard","Rendu"),IF(TODAY()&gt;$K82,"En retard","En cours")))</f>
        <v/>
      </c>
      <c r="N82" s="139">
        <f>IF(OR($F82="",$I82=""),"",MAX(0,IF($L82&lt;&gt;"",$L82,TODAY())-$K82))</f>
        <v/>
      </c>
      <c r="O82" s="135">
        <f>IF(OR($F82="",$I82=""),"",$N82*P_Amende)</f>
        <v/>
      </c>
      <c r="P82" s="133" t="n"/>
      <c r="R82">
        <f>IF($M82="En retard",$N82+ROW()/100000,"")</f>
        <v/>
      </c>
      <c r="S82">
        <f>IF(OR($F82="",$I82=""),"",$F82+ROW()/100000)</f>
        <v/>
      </c>
      <c r="T82">
        <f>IF($I82="","",IFERROR(INDEX(LIV_Cat,MATCH($I82,LIV_Code,0)),""))</f>
        <v/>
      </c>
    </row>
    <row r="83" ht="21" customHeight="1">
      <c r="A83" s="1" t="n"/>
      <c r="B83" s="1" t="n"/>
      <c r="C83" s="2" t="n"/>
      <c r="E83" s="130">
        <f>IF($F83="","","EMP-"&amp;TEXT(ROW()-6,"0000"))</f>
        <v/>
      </c>
      <c r="F83" s="134" t="n">
        <v>46091</v>
      </c>
      <c r="G83" s="127" t="inlineStr">
        <is>
          <t>MEM-032</t>
        </is>
      </c>
      <c r="H83" s="130">
        <f>IF($G83="","",IFERROR(INDEX(MEM_Nom,MATCH($G83,MEM_ID,0)),"⚠ ID inconnu"))</f>
        <v/>
      </c>
      <c r="I83" s="127" t="inlineStr">
        <is>
          <t>LIV-059</t>
        </is>
      </c>
      <c r="J83" s="130">
        <f>IF($I83="","",IFERROR(INDEX(LIV_Titre,MATCH($I83,LIV_Code,0)),"⚠ Code inconnu"))</f>
        <v/>
      </c>
      <c r="K83" s="138">
        <f>IF($F83="","",$F83+P_Duree)</f>
        <v/>
      </c>
      <c r="L83" s="134" t="n">
        <v>46097</v>
      </c>
      <c r="M83" s="130">
        <f>IF(OR($F83="",$I83=""),"",IF($L83&lt;&gt;"",IF($L83&gt;$K83,"Rendu en retard","Rendu"),IF(TODAY()&gt;$K83,"En retard","En cours")))</f>
        <v/>
      </c>
      <c r="N83" s="139">
        <f>IF(OR($F83="",$I83=""),"",MAX(0,IF($L83&lt;&gt;"",$L83,TODAY())-$K83))</f>
        <v/>
      </c>
      <c r="O83" s="135">
        <f>IF(OR($F83="",$I83=""),"",$N83*P_Amende)</f>
        <v/>
      </c>
      <c r="P83" s="133" t="n"/>
      <c r="R83">
        <f>IF($M83="En retard",$N83+ROW()/100000,"")</f>
        <v/>
      </c>
      <c r="S83">
        <f>IF(OR($F83="",$I83=""),"",$F83+ROW()/100000)</f>
        <v/>
      </c>
      <c r="T83">
        <f>IF($I83="","",IFERROR(INDEX(LIV_Cat,MATCH($I83,LIV_Code,0)),""))</f>
        <v/>
      </c>
    </row>
    <row r="84" ht="21" customHeight="1">
      <c r="A84" s="1" t="n"/>
      <c r="B84" s="1" t="n"/>
      <c r="C84" s="2" t="n"/>
      <c r="E84" s="130">
        <f>IF($F84="","","EMP-"&amp;TEXT(ROW()-6,"0000"))</f>
        <v/>
      </c>
      <c r="F84" s="134" t="n">
        <v>46091</v>
      </c>
      <c r="G84" s="127" t="inlineStr">
        <is>
          <t>MEM-037</t>
        </is>
      </c>
      <c r="H84" s="130">
        <f>IF($G84="","",IFERROR(INDEX(MEM_Nom,MATCH($G84,MEM_ID,0)),"⚠ ID inconnu"))</f>
        <v/>
      </c>
      <c r="I84" s="127" t="inlineStr">
        <is>
          <t>LIV-051</t>
        </is>
      </c>
      <c r="J84" s="130">
        <f>IF($I84="","",IFERROR(INDEX(LIV_Titre,MATCH($I84,LIV_Code,0)),"⚠ Code inconnu"))</f>
        <v/>
      </c>
      <c r="K84" s="138">
        <f>IF($F84="","",$F84+P_Duree)</f>
        <v/>
      </c>
      <c r="L84" s="134" t="n">
        <v>46101</v>
      </c>
      <c r="M84" s="130">
        <f>IF(OR($F84="",$I84=""),"",IF($L84&lt;&gt;"",IF($L84&gt;$K84,"Rendu en retard","Rendu"),IF(TODAY()&gt;$K84,"En retard","En cours")))</f>
        <v/>
      </c>
      <c r="N84" s="139">
        <f>IF(OR($F84="",$I84=""),"",MAX(0,IF($L84&lt;&gt;"",$L84,TODAY())-$K84))</f>
        <v/>
      </c>
      <c r="O84" s="135">
        <f>IF(OR($F84="",$I84=""),"",$N84*P_Amende)</f>
        <v/>
      </c>
      <c r="P84" s="133" t="n"/>
      <c r="R84">
        <f>IF($M84="En retard",$N84+ROW()/100000,"")</f>
        <v/>
      </c>
      <c r="S84">
        <f>IF(OR($F84="",$I84=""),"",$F84+ROW()/100000)</f>
        <v/>
      </c>
      <c r="T84">
        <f>IF($I84="","",IFERROR(INDEX(LIV_Cat,MATCH($I84,LIV_Code,0)),""))</f>
        <v/>
      </c>
    </row>
    <row r="85" ht="21" customHeight="1">
      <c r="A85" s="1" t="n"/>
      <c r="B85" s="1" t="n"/>
      <c r="C85" s="2" t="n"/>
      <c r="E85" s="130">
        <f>IF($F85="","","EMP-"&amp;TEXT(ROW()-6,"0000"))</f>
        <v/>
      </c>
      <c r="F85" s="134" t="n">
        <v>46092</v>
      </c>
      <c r="G85" s="127" t="inlineStr">
        <is>
          <t>MEM-022</t>
        </is>
      </c>
      <c r="H85" s="130">
        <f>IF($G85="","",IFERROR(INDEX(MEM_Nom,MATCH($G85,MEM_ID,0)),"⚠ ID inconnu"))</f>
        <v/>
      </c>
      <c r="I85" s="127" t="inlineStr">
        <is>
          <t>LIV-023</t>
        </is>
      </c>
      <c r="J85" s="130">
        <f>IF($I85="","",IFERROR(INDEX(LIV_Titre,MATCH($I85,LIV_Code,0)),"⚠ Code inconnu"))</f>
        <v/>
      </c>
      <c r="K85" s="138">
        <f>IF($F85="","",$F85+P_Duree)</f>
        <v/>
      </c>
      <c r="L85" s="134" t="n">
        <v>46099</v>
      </c>
      <c r="M85" s="130">
        <f>IF(OR($F85="",$I85=""),"",IF($L85&lt;&gt;"",IF($L85&gt;$K85,"Rendu en retard","Rendu"),IF(TODAY()&gt;$K85,"En retard","En cours")))</f>
        <v/>
      </c>
      <c r="N85" s="139">
        <f>IF(OR($F85="",$I85=""),"",MAX(0,IF($L85&lt;&gt;"",$L85,TODAY())-$K85))</f>
        <v/>
      </c>
      <c r="O85" s="135">
        <f>IF(OR($F85="",$I85=""),"",$N85*P_Amende)</f>
        <v/>
      </c>
      <c r="P85" s="133" t="n"/>
      <c r="R85">
        <f>IF($M85="En retard",$N85+ROW()/100000,"")</f>
        <v/>
      </c>
      <c r="S85">
        <f>IF(OR($F85="",$I85=""),"",$F85+ROW()/100000)</f>
        <v/>
      </c>
      <c r="T85">
        <f>IF($I85="","",IFERROR(INDEX(LIV_Cat,MATCH($I85,LIV_Code,0)),""))</f>
        <v/>
      </c>
    </row>
    <row r="86" ht="21" customHeight="1">
      <c r="A86" s="1" t="n"/>
      <c r="B86" s="1" t="n"/>
      <c r="C86" s="2" t="n"/>
      <c r="E86" s="130">
        <f>IF($F86="","","EMP-"&amp;TEXT(ROW()-6,"0000"))</f>
        <v/>
      </c>
      <c r="F86" s="134" t="n">
        <v>46097</v>
      </c>
      <c r="G86" s="127" t="inlineStr">
        <is>
          <t>MEM-005</t>
        </is>
      </c>
      <c r="H86" s="130">
        <f>IF($G86="","",IFERROR(INDEX(MEM_Nom,MATCH($G86,MEM_ID,0)),"⚠ ID inconnu"))</f>
        <v/>
      </c>
      <c r="I86" s="127" t="inlineStr">
        <is>
          <t>LIV-004</t>
        </is>
      </c>
      <c r="J86" s="130">
        <f>IF($I86="","",IFERROR(INDEX(LIV_Titre,MATCH($I86,LIV_Code,0)),"⚠ Code inconnu"))</f>
        <v/>
      </c>
      <c r="K86" s="138">
        <f>IF($F86="","",$F86+P_Duree)</f>
        <v/>
      </c>
      <c r="L86" s="134" t="n">
        <v>46110</v>
      </c>
      <c r="M86" s="130">
        <f>IF(OR($F86="",$I86=""),"",IF($L86&lt;&gt;"",IF($L86&gt;$K86,"Rendu en retard","Rendu"),IF(TODAY()&gt;$K86,"En retard","En cours")))</f>
        <v/>
      </c>
      <c r="N86" s="139">
        <f>IF(OR($F86="",$I86=""),"",MAX(0,IF($L86&lt;&gt;"",$L86,TODAY())-$K86))</f>
        <v/>
      </c>
      <c r="O86" s="135">
        <f>IF(OR($F86="",$I86=""),"",$N86*P_Amende)</f>
        <v/>
      </c>
      <c r="P86" s="133" t="n"/>
      <c r="R86">
        <f>IF($M86="En retard",$N86+ROW()/100000,"")</f>
        <v/>
      </c>
      <c r="S86">
        <f>IF(OR($F86="",$I86=""),"",$F86+ROW()/100000)</f>
        <v/>
      </c>
      <c r="T86">
        <f>IF($I86="","",IFERROR(INDEX(LIV_Cat,MATCH($I86,LIV_Code,0)),""))</f>
        <v/>
      </c>
    </row>
    <row r="87" ht="21" customHeight="1">
      <c r="A87" s="1" t="n"/>
      <c r="B87" s="1" t="n"/>
      <c r="C87" s="2" t="n"/>
      <c r="E87" s="130">
        <f>IF($F87="","","EMP-"&amp;TEXT(ROW()-6,"0000"))</f>
        <v/>
      </c>
      <c r="F87" s="134" t="n">
        <v>46098</v>
      </c>
      <c r="G87" s="127" t="inlineStr">
        <is>
          <t>MEM-004</t>
        </is>
      </c>
      <c r="H87" s="130">
        <f>IF($G87="","",IFERROR(INDEX(MEM_Nom,MATCH($G87,MEM_ID,0)),"⚠ ID inconnu"))</f>
        <v/>
      </c>
      <c r="I87" s="127" t="inlineStr">
        <is>
          <t>LIV-002</t>
        </is>
      </c>
      <c r="J87" s="130">
        <f>IF($I87="","",IFERROR(INDEX(LIV_Titre,MATCH($I87,LIV_Code,0)),"⚠ Code inconnu"))</f>
        <v/>
      </c>
      <c r="K87" s="138">
        <f>IF($F87="","",$F87+P_Duree)</f>
        <v/>
      </c>
      <c r="L87" s="134" t="n">
        <v>46105</v>
      </c>
      <c r="M87" s="130">
        <f>IF(OR($F87="",$I87=""),"",IF($L87&lt;&gt;"",IF($L87&gt;$K87,"Rendu en retard","Rendu"),IF(TODAY()&gt;$K87,"En retard","En cours")))</f>
        <v/>
      </c>
      <c r="N87" s="139">
        <f>IF(OR($F87="",$I87=""),"",MAX(0,IF($L87&lt;&gt;"",$L87,TODAY())-$K87))</f>
        <v/>
      </c>
      <c r="O87" s="135">
        <f>IF(OR($F87="",$I87=""),"",$N87*P_Amende)</f>
        <v/>
      </c>
      <c r="P87" s="133" t="n"/>
      <c r="R87">
        <f>IF($M87="En retard",$N87+ROW()/100000,"")</f>
        <v/>
      </c>
      <c r="S87">
        <f>IF(OR($F87="",$I87=""),"",$F87+ROW()/100000)</f>
        <v/>
      </c>
      <c r="T87">
        <f>IF($I87="","",IFERROR(INDEX(LIV_Cat,MATCH($I87,LIV_Code,0)),""))</f>
        <v/>
      </c>
    </row>
    <row r="88" ht="21" customHeight="1">
      <c r="A88" s="1" t="n"/>
      <c r="B88" s="1" t="n"/>
      <c r="C88" s="2" t="n"/>
      <c r="E88" s="130">
        <f>IF($F88="","","EMP-"&amp;TEXT(ROW()-6,"0000"))</f>
        <v/>
      </c>
      <c r="F88" s="134" t="n">
        <v>46100</v>
      </c>
      <c r="G88" s="127" t="inlineStr">
        <is>
          <t>MEM-006</t>
        </is>
      </c>
      <c r="H88" s="130">
        <f>IF($G88="","",IFERROR(INDEX(MEM_Nom,MATCH($G88,MEM_ID,0)),"⚠ ID inconnu"))</f>
        <v/>
      </c>
      <c r="I88" s="127" t="inlineStr">
        <is>
          <t>LIV-059</t>
        </is>
      </c>
      <c r="J88" s="130">
        <f>IF($I88="","",IFERROR(INDEX(LIV_Titre,MATCH($I88,LIV_Code,0)),"⚠ Code inconnu"))</f>
        <v/>
      </c>
      <c r="K88" s="138">
        <f>IF($F88="","",$F88+P_Duree)</f>
        <v/>
      </c>
      <c r="L88" s="134" t="n">
        <v>46109</v>
      </c>
      <c r="M88" s="130">
        <f>IF(OR($F88="",$I88=""),"",IF($L88&lt;&gt;"",IF($L88&gt;$K88,"Rendu en retard","Rendu"),IF(TODAY()&gt;$K88,"En retard","En cours")))</f>
        <v/>
      </c>
      <c r="N88" s="139">
        <f>IF(OR($F88="",$I88=""),"",MAX(0,IF($L88&lt;&gt;"",$L88,TODAY())-$K88))</f>
        <v/>
      </c>
      <c r="O88" s="135">
        <f>IF(OR($F88="",$I88=""),"",$N88*P_Amende)</f>
        <v/>
      </c>
      <c r="P88" s="133" t="n"/>
      <c r="R88">
        <f>IF($M88="En retard",$N88+ROW()/100000,"")</f>
        <v/>
      </c>
      <c r="S88">
        <f>IF(OR($F88="",$I88=""),"",$F88+ROW()/100000)</f>
        <v/>
      </c>
      <c r="T88">
        <f>IF($I88="","",IFERROR(INDEX(LIV_Cat,MATCH($I88,LIV_Code,0)),""))</f>
        <v/>
      </c>
    </row>
    <row r="89" ht="21" customHeight="1">
      <c r="A89" s="1" t="n"/>
      <c r="B89" s="1" t="n"/>
      <c r="C89" s="2" t="n"/>
      <c r="E89" s="130">
        <f>IF($F89="","","EMP-"&amp;TEXT(ROW()-6,"0000"))</f>
        <v/>
      </c>
      <c r="F89" s="134" t="n">
        <v>46104</v>
      </c>
      <c r="G89" s="127" t="inlineStr">
        <is>
          <t>MEM-039</t>
        </is>
      </c>
      <c r="H89" s="130">
        <f>IF($G89="","",IFERROR(INDEX(MEM_Nom,MATCH($G89,MEM_ID,0)),"⚠ ID inconnu"))</f>
        <v/>
      </c>
      <c r="I89" s="127" t="inlineStr">
        <is>
          <t>LIV-044</t>
        </is>
      </c>
      <c r="J89" s="130">
        <f>IF($I89="","",IFERROR(INDEX(LIV_Titre,MATCH($I89,LIV_Code,0)),"⚠ Code inconnu"))</f>
        <v/>
      </c>
      <c r="K89" s="138">
        <f>IF($F89="","",$F89+P_Duree)</f>
        <v/>
      </c>
      <c r="L89" s="134" t="n">
        <v>46120</v>
      </c>
      <c r="M89" s="130">
        <f>IF(OR($F89="",$I89=""),"",IF($L89&lt;&gt;"",IF($L89&gt;$K89,"Rendu en retard","Rendu"),IF(TODAY()&gt;$K89,"En retard","En cours")))</f>
        <v/>
      </c>
      <c r="N89" s="139">
        <f>IF(OR($F89="",$I89=""),"",MAX(0,IF($L89&lt;&gt;"",$L89,TODAY())-$K89))</f>
        <v/>
      </c>
      <c r="O89" s="135">
        <f>IF(OR($F89="",$I89=""),"",$N89*P_Amende)</f>
        <v/>
      </c>
      <c r="P89" s="133" t="inlineStr">
        <is>
          <t>Oui</t>
        </is>
      </c>
      <c r="R89">
        <f>IF($M89="En retard",$N89+ROW()/100000,"")</f>
        <v/>
      </c>
      <c r="S89">
        <f>IF(OR($F89="",$I89=""),"",$F89+ROW()/100000)</f>
        <v/>
      </c>
      <c r="T89">
        <f>IF($I89="","",IFERROR(INDEX(LIV_Cat,MATCH($I89,LIV_Code,0)),""))</f>
        <v/>
      </c>
    </row>
    <row r="90" ht="21" customHeight="1">
      <c r="A90" s="1" t="n"/>
      <c r="B90" s="1" t="n"/>
      <c r="C90" s="2" t="n"/>
      <c r="E90" s="130">
        <f>IF($F90="","","EMP-"&amp;TEXT(ROW()-6,"0000"))</f>
        <v/>
      </c>
      <c r="F90" s="134" t="n">
        <v>46105</v>
      </c>
      <c r="G90" s="127" t="inlineStr">
        <is>
          <t>MEM-034</t>
        </is>
      </c>
      <c r="H90" s="130">
        <f>IF($G90="","",IFERROR(INDEX(MEM_Nom,MATCH($G90,MEM_ID,0)),"⚠ ID inconnu"))</f>
        <v/>
      </c>
      <c r="I90" s="127" t="inlineStr">
        <is>
          <t>LIV-010</t>
        </is>
      </c>
      <c r="J90" s="130">
        <f>IF($I90="","",IFERROR(INDEX(LIV_Titre,MATCH($I90,LIV_Code,0)),"⚠ Code inconnu"))</f>
        <v/>
      </c>
      <c r="K90" s="138">
        <f>IF($F90="","",$F90+P_Duree)</f>
        <v/>
      </c>
      <c r="L90" s="134" t="n">
        <v>46118</v>
      </c>
      <c r="M90" s="130">
        <f>IF(OR($F90="",$I90=""),"",IF($L90&lt;&gt;"",IF($L90&gt;$K90,"Rendu en retard","Rendu"),IF(TODAY()&gt;$K90,"En retard","En cours")))</f>
        <v/>
      </c>
      <c r="N90" s="139">
        <f>IF(OR($F90="",$I90=""),"",MAX(0,IF($L90&lt;&gt;"",$L90,TODAY())-$K90))</f>
        <v/>
      </c>
      <c r="O90" s="135">
        <f>IF(OR($F90="",$I90=""),"",$N90*P_Amende)</f>
        <v/>
      </c>
      <c r="P90" s="133" t="n"/>
      <c r="R90">
        <f>IF($M90="En retard",$N90+ROW()/100000,"")</f>
        <v/>
      </c>
      <c r="S90">
        <f>IF(OR($F90="",$I90=""),"",$F90+ROW()/100000)</f>
        <v/>
      </c>
      <c r="T90">
        <f>IF($I90="","",IFERROR(INDEX(LIV_Cat,MATCH($I90,LIV_Code,0)),""))</f>
        <v/>
      </c>
    </row>
    <row r="91" ht="21" customHeight="1">
      <c r="A91" s="1" t="n"/>
      <c r="B91" s="1" t="n"/>
      <c r="C91" s="2" t="n"/>
      <c r="E91" s="130">
        <f>IF($F91="","","EMP-"&amp;TEXT(ROW()-6,"0000"))</f>
        <v/>
      </c>
      <c r="F91" s="134" t="n">
        <v>46106</v>
      </c>
      <c r="G91" s="127" t="inlineStr">
        <is>
          <t>MEM-020</t>
        </is>
      </c>
      <c r="H91" s="130">
        <f>IF($G91="","",IFERROR(INDEX(MEM_Nom,MATCH($G91,MEM_ID,0)),"⚠ ID inconnu"))</f>
        <v/>
      </c>
      <c r="I91" s="127" t="inlineStr">
        <is>
          <t>LIV-055</t>
        </is>
      </c>
      <c r="J91" s="130">
        <f>IF($I91="","",IFERROR(INDEX(LIV_Titre,MATCH($I91,LIV_Code,0)),"⚠ Code inconnu"))</f>
        <v/>
      </c>
      <c r="K91" s="138">
        <f>IF($F91="","",$F91+P_Duree)</f>
        <v/>
      </c>
      <c r="L91" s="134" t="n">
        <v>46122</v>
      </c>
      <c r="M91" s="130">
        <f>IF(OR($F91="",$I91=""),"",IF($L91&lt;&gt;"",IF($L91&gt;$K91,"Rendu en retard","Rendu"),IF(TODAY()&gt;$K91,"En retard","En cours")))</f>
        <v/>
      </c>
      <c r="N91" s="139">
        <f>IF(OR($F91="",$I91=""),"",MAX(0,IF($L91&lt;&gt;"",$L91,TODAY())-$K91))</f>
        <v/>
      </c>
      <c r="O91" s="135">
        <f>IF(OR($F91="",$I91=""),"",$N91*P_Amende)</f>
        <v/>
      </c>
      <c r="P91" s="133" t="inlineStr">
        <is>
          <t>Oui</t>
        </is>
      </c>
      <c r="R91">
        <f>IF($M91="En retard",$N91+ROW()/100000,"")</f>
        <v/>
      </c>
      <c r="S91">
        <f>IF(OR($F91="",$I91=""),"",$F91+ROW()/100000)</f>
        <v/>
      </c>
      <c r="T91">
        <f>IF($I91="","",IFERROR(INDEX(LIV_Cat,MATCH($I91,LIV_Code,0)),""))</f>
        <v/>
      </c>
    </row>
    <row r="92" ht="21" customHeight="1">
      <c r="A92" s="1" t="n"/>
      <c r="B92" s="1" t="n"/>
      <c r="C92" s="2" t="n"/>
      <c r="E92" s="130">
        <f>IF($F92="","","EMP-"&amp;TEXT(ROW()-6,"0000"))</f>
        <v/>
      </c>
      <c r="F92" s="134" t="n">
        <v>46107</v>
      </c>
      <c r="G92" s="127" t="inlineStr">
        <is>
          <t>MEM-040</t>
        </is>
      </c>
      <c r="H92" s="130">
        <f>IF($G92="","",IFERROR(INDEX(MEM_Nom,MATCH($G92,MEM_ID,0)),"⚠ ID inconnu"))</f>
        <v/>
      </c>
      <c r="I92" s="127" t="inlineStr">
        <is>
          <t>LIV-012</t>
        </is>
      </c>
      <c r="J92" s="130">
        <f>IF($I92="","",IFERROR(INDEX(LIV_Titre,MATCH($I92,LIV_Code,0)),"⚠ Code inconnu"))</f>
        <v/>
      </c>
      <c r="K92" s="138">
        <f>IF($F92="","",$F92+P_Duree)</f>
        <v/>
      </c>
      <c r="L92" s="134" t="n">
        <v>46111</v>
      </c>
      <c r="M92" s="130">
        <f>IF(OR($F92="",$I92=""),"",IF($L92&lt;&gt;"",IF($L92&gt;$K92,"Rendu en retard","Rendu"),IF(TODAY()&gt;$K92,"En retard","En cours")))</f>
        <v/>
      </c>
      <c r="N92" s="139">
        <f>IF(OR($F92="",$I92=""),"",MAX(0,IF($L92&lt;&gt;"",$L92,TODAY())-$K92))</f>
        <v/>
      </c>
      <c r="O92" s="135">
        <f>IF(OR($F92="",$I92=""),"",$N92*P_Amende)</f>
        <v/>
      </c>
      <c r="P92" s="133" t="n"/>
      <c r="R92">
        <f>IF($M92="En retard",$N92+ROW()/100000,"")</f>
        <v/>
      </c>
      <c r="S92">
        <f>IF(OR($F92="",$I92=""),"",$F92+ROW()/100000)</f>
        <v/>
      </c>
      <c r="T92">
        <f>IF($I92="","",IFERROR(INDEX(LIV_Cat,MATCH($I92,LIV_Code,0)),""))</f>
        <v/>
      </c>
    </row>
    <row r="93" ht="21" customHeight="1">
      <c r="A93" s="1" t="n"/>
      <c r="B93" s="1" t="n"/>
      <c r="C93" s="2" t="n"/>
      <c r="E93" s="130">
        <f>IF($F93="","","EMP-"&amp;TEXT(ROW()-6,"0000"))</f>
        <v/>
      </c>
      <c r="F93" s="134" t="n">
        <v>46108</v>
      </c>
      <c r="G93" s="127" t="inlineStr">
        <is>
          <t>MEM-007</t>
        </is>
      </c>
      <c r="H93" s="130">
        <f>IF($G93="","",IFERROR(INDEX(MEM_Nom,MATCH($G93,MEM_ID,0)),"⚠ ID inconnu"))</f>
        <v/>
      </c>
      <c r="I93" s="127" t="inlineStr">
        <is>
          <t>LIV-059</t>
        </is>
      </c>
      <c r="J93" s="130">
        <f>IF($I93="","",IFERROR(INDEX(LIV_Titre,MATCH($I93,LIV_Code,0)),"⚠ Code inconnu"))</f>
        <v/>
      </c>
      <c r="K93" s="138">
        <f>IF($F93="","",$F93+P_Duree)</f>
        <v/>
      </c>
      <c r="L93" s="134" t="n">
        <v>46117</v>
      </c>
      <c r="M93" s="130">
        <f>IF(OR($F93="",$I93=""),"",IF($L93&lt;&gt;"",IF($L93&gt;$K93,"Rendu en retard","Rendu"),IF(TODAY()&gt;$K93,"En retard","En cours")))</f>
        <v/>
      </c>
      <c r="N93" s="139">
        <f>IF(OR($F93="",$I93=""),"",MAX(0,IF($L93&lt;&gt;"",$L93,TODAY())-$K93))</f>
        <v/>
      </c>
      <c r="O93" s="135">
        <f>IF(OR($F93="",$I93=""),"",$N93*P_Amende)</f>
        <v/>
      </c>
      <c r="P93" s="133" t="n"/>
      <c r="R93">
        <f>IF($M93="En retard",$N93+ROW()/100000,"")</f>
        <v/>
      </c>
      <c r="S93">
        <f>IF(OR($F93="",$I93=""),"",$F93+ROW()/100000)</f>
        <v/>
      </c>
      <c r="T93">
        <f>IF($I93="","",IFERROR(INDEX(LIV_Cat,MATCH($I93,LIV_Code,0)),""))</f>
        <v/>
      </c>
    </row>
    <row r="94" ht="21" customHeight="1">
      <c r="A94" s="1" t="n"/>
      <c r="B94" s="1" t="n"/>
      <c r="C94" s="2" t="n"/>
      <c r="E94" s="130">
        <f>IF($F94="","","EMP-"&amp;TEXT(ROW()-6,"0000"))</f>
        <v/>
      </c>
      <c r="F94" s="134" t="n">
        <v>46111</v>
      </c>
      <c r="G94" s="127" t="inlineStr">
        <is>
          <t>MEM-006</t>
        </is>
      </c>
      <c r="H94" s="130">
        <f>IF($G94="","",IFERROR(INDEX(MEM_Nom,MATCH($G94,MEM_ID,0)),"⚠ ID inconnu"))</f>
        <v/>
      </c>
      <c r="I94" s="127" t="inlineStr">
        <is>
          <t>LIV-010</t>
        </is>
      </c>
      <c r="J94" s="130">
        <f>IF($I94="","",IFERROR(INDEX(LIV_Titre,MATCH($I94,LIV_Code,0)),"⚠ Code inconnu"))</f>
        <v/>
      </c>
      <c r="K94" s="138">
        <f>IF($F94="","",$F94+P_Duree)</f>
        <v/>
      </c>
      <c r="L94" s="134" t="n">
        <v>46118</v>
      </c>
      <c r="M94" s="130">
        <f>IF(OR($F94="",$I94=""),"",IF($L94&lt;&gt;"",IF($L94&gt;$K94,"Rendu en retard","Rendu"),IF(TODAY()&gt;$K94,"En retard","En cours")))</f>
        <v/>
      </c>
      <c r="N94" s="139">
        <f>IF(OR($F94="",$I94=""),"",MAX(0,IF($L94&lt;&gt;"",$L94,TODAY())-$K94))</f>
        <v/>
      </c>
      <c r="O94" s="135">
        <f>IF(OR($F94="",$I94=""),"",$N94*P_Amende)</f>
        <v/>
      </c>
      <c r="P94" s="133" t="n"/>
      <c r="R94">
        <f>IF($M94="En retard",$N94+ROW()/100000,"")</f>
        <v/>
      </c>
      <c r="S94">
        <f>IF(OR($F94="",$I94=""),"",$F94+ROW()/100000)</f>
        <v/>
      </c>
      <c r="T94">
        <f>IF($I94="","",IFERROR(INDEX(LIV_Cat,MATCH($I94,LIV_Code,0)),""))</f>
        <v/>
      </c>
    </row>
    <row r="95" ht="21" customHeight="1">
      <c r="A95" s="1" t="n"/>
      <c r="B95" s="1" t="n"/>
      <c r="C95" s="2" t="n"/>
      <c r="E95" s="130">
        <f>IF($F95="","","EMP-"&amp;TEXT(ROW()-6,"0000"))</f>
        <v/>
      </c>
      <c r="F95" s="134" t="n">
        <v>46111</v>
      </c>
      <c r="G95" s="127" t="inlineStr">
        <is>
          <t>MEM-036</t>
        </is>
      </c>
      <c r="H95" s="130">
        <f>IF($G95="","",IFERROR(INDEX(MEM_Nom,MATCH($G95,MEM_ID,0)),"⚠ ID inconnu"))</f>
        <v/>
      </c>
      <c r="I95" s="127" t="inlineStr">
        <is>
          <t>LIV-010</t>
        </is>
      </c>
      <c r="J95" s="130">
        <f>IF($I95="","",IFERROR(INDEX(LIV_Titre,MATCH($I95,LIV_Code,0)),"⚠ Code inconnu"))</f>
        <v/>
      </c>
      <c r="K95" s="138">
        <f>IF($F95="","",$F95+P_Duree)</f>
        <v/>
      </c>
      <c r="L95" s="134" t="n">
        <v>46117</v>
      </c>
      <c r="M95" s="130">
        <f>IF(OR($F95="",$I95=""),"",IF($L95&lt;&gt;"",IF($L95&gt;$K95,"Rendu en retard","Rendu"),IF(TODAY()&gt;$K95,"En retard","En cours")))</f>
        <v/>
      </c>
      <c r="N95" s="139">
        <f>IF(OR($F95="",$I95=""),"",MAX(0,IF($L95&lt;&gt;"",$L95,TODAY())-$K95))</f>
        <v/>
      </c>
      <c r="O95" s="135">
        <f>IF(OR($F95="",$I95=""),"",$N95*P_Amende)</f>
        <v/>
      </c>
      <c r="P95" s="133" t="n"/>
      <c r="R95">
        <f>IF($M95="En retard",$N95+ROW()/100000,"")</f>
        <v/>
      </c>
      <c r="S95">
        <f>IF(OR($F95="",$I95=""),"",$F95+ROW()/100000)</f>
        <v/>
      </c>
      <c r="T95">
        <f>IF($I95="","",IFERROR(INDEX(LIV_Cat,MATCH($I95,LIV_Code,0)),""))</f>
        <v/>
      </c>
    </row>
    <row r="96" ht="21" customHeight="1">
      <c r="A96" s="1" t="n"/>
      <c r="B96" s="1" t="n"/>
      <c r="C96" s="2" t="n"/>
      <c r="E96" s="130">
        <f>IF($F96="","","EMP-"&amp;TEXT(ROW()-6,"0000"))</f>
        <v/>
      </c>
      <c r="F96" s="134" t="n">
        <v>46114</v>
      </c>
      <c r="G96" s="127" t="inlineStr">
        <is>
          <t>MEM-039</t>
        </is>
      </c>
      <c r="H96" s="130">
        <f>IF($G96="","",IFERROR(INDEX(MEM_Nom,MATCH($G96,MEM_ID,0)),"⚠ ID inconnu"))</f>
        <v/>
      </c>
      <c r="I96" s="127" t="inlineStr">
        <is>
          <t>LIV-023</t>
        </is>
      </c>
      <c r="J96" s="130">
        <f>IF($I96="","",IFERROR(INDEX(LIV_Titre,MATCH($I96,LIV_Code,0)),"⚠ Code inconnu"))</f>
        <v/>
      </c>
      <c r="K96" s="138">
        <f>IF($F96="","",$F96+P_Duree)</f>
        <v/>
      </c>
      <c r="L96" s="134" t="n">
        <v>46128</v>
      </c>
      <c r="M96" s="130">
        <f>IF(OR($F96="",$I96=""),"",IF($L96&lt;&gt;"",IF($L96&gt;$K96,"Rendu en retard","Rendu"),IF(TODAY()&gt;$K96,"En retard","En cours")))</f>
        <v/>
      </c>
      <c r="N96" s="139">
        <f>IF(OR($F96="",$I96=""),"",MAX(0,IF($L96&lt;&gt;"",$L96,TODAY())-$K96))</f>
        <v/>
      </c>
      <c r="O96" s="135">
        <f>IF(OR($F96="",$I96=""),"",$N96*P_Amende)</f>
        <v/>
      </c>
      <c r="P96" s="133" t="n"/>
      <c r="R96">
        <f>IF($M96="En retard",$N96+ROW()/100000,"")</f>
        <v/>
      </c>
      <c r="S96">
        <f>IF(OR($F96="",$I96=""),"",$F96+ROW()/100000)</f>
        <v/>
      </c>
      <c r="T96">
        <f>IF($I96="","",IFERROR(INDEX(LIV_Cat,MATCH($I96,LIV_Code,0)),""))</f>
        <v/>
      </c>
    </row>
    <row r="97" ht="21" customHeight="1">
      <c r="A97" s="1" t="n"/>
      <c r="B97" s="1" t="n"/>
      <c r="C97" s="2" t="n"/>
      <c r="E97" s="130">
        <f>IF($F97="","","EMP-"&amp;TEXT(ROW()-6,"0000"))</f>
        <v/>
      </c>
      <c r="F97" s="134" t="n">
        <v>46121</v>
      </c>
      <c r="G97" s="127" t="inlineStr">
        <is>
          <t>MEM-030</t>
        </is>
      </c>
      <c r="H97" s="130">
        <f>IF($G97="","",IFERROR(INDEX(MEM_Nom,MATCH($G97,MEM_ID,0)),"⚠ ID inconnu"))</f>
        <v/>
      </c>
      <c r="I97" s="127" t="inlineStr">
        <is>
          <t>LIV-011</t>
        </is>
      </c>
      <c r="J97" s="130">
        <f>IF($I97="","",IFERROR(INDEX(LIV_Titre,MATCH($I97,LIV_Code,0)),"⚠ Code inconnu"))</f>
        <v/>
      </c>
      <c r="K97" s="138">
        <f>IF($F97="","",$F97+P_Duree)</f>
        <v/>
      </c>
      <c r="L97" s="134" t="n">
        <v>46127</v>
      </c>
      <c r="M97" s="130">
        <f>IF(OR($F97="",$I97=""),"",IF($L97&lt;&gt;"",IF($L97&gt;$K97,"Rendu en retard","Rendu"),IF(TODAY()&gt;$K97,"En retard","En cours")))</f>
        <v/>
      </c>
      <c r="N97" s="139">
        <f>IF(OR($F97="",$I97=""),"",MAX(0,IF($L97&lt;&gt;"",$L97,TODAY())-$K97))</f>
        <v/>
      </c>
      <c r="O97" s="135">
        <f>IF(OR($F97="",$I97=""),"",$N97*P_Amende)</f>
        <v/>
      </c>
      <c r="P97" s="133" t="n"/>
      <c r="R97">
        <f>IF($M97="En retard",$N97+ROW()/100000,"")</f>
        <v/>
      </c>
      <c r="S97">
        <f>IF(OR($F97="",$I97=""),"",$F97+ROW()/100000)</f>
        <v/>
      </c>
      <c r="T97">
        <f>IF($I97="","",IFERROR(INDEX(LIV_Cat,MATCH($I97,LIV_Code,0)),""))</f>
        <v/>
      </c>
    </row>
    <row r="98" ht="21" customHeight="1">
      <c r="A98" s="1" t="n"/>
      <c r="B98" s="1" t="n"/>
      <c r="C98" s="2" t="n"/>
      <c r="E98" s="130">
        <f>IF($F98="","","EMP-"&amp;TEXT(ROW()-6,"0000"))</f>
        <v/>
      </c>
      <c r="F98" s="134" t="n">
        <v>46121</v>
      </c>
      <c r="G98" s="127" t="inlineStr">
        <is>
          <t>MEM-017</t>
        </is>
      </c>
      <c r="H98" s="130">
        <f>IF($G98="","",IFERROR(INDEX(MEM_Nom,MATCH($G98,MEM_ID,0)),"⚠ ID inconnu"))</f>
        <v/>
      </c>
      <c r="I98" s="127" t="inlineStr">
        <is>
          <t>LIV-036</t>
        </is>
      </c>
      <c r="J98" s="130">
        <f>IF($I98="","",IFERROR(INDEX(LIV_Titre,MATCH($I98,LIV_Code,0)),"⚠ Code inconnu"))</f>
        <v/>
      </c>
      <c r="K98" s="138">
        <f>IF($F98="","",$F98+P_Duree)</f>
        <v/>
      </c>
      <c r="L98" s="134" t="n">
        <v>46140</v>
      </c>
      <c r="M98" s="130">
        <f>IF(OR($F98="",$I98=""),"",IF($L98&lt;&gt;"",IF($L98&gt;$K98,"Rendu en retard","Rendu"),IF(TODAY()&gt;$K98,"En retard","En cours")))</f>
        <v/>
      </c>
      <c r="N98" s="139">
        <f>IF(OR($F98="",$I98=""),"",MAX(0,IF($L98&lt;&gt;"",$L98,TODAY())-$K98))</f>
        <v/>
      </c>
      <c r="O98" s="135">
        <f>IF(OR($F98="",$I98=""),"",$N98*P_Amende)</f>
        <v/>
      </c>
      <c r="P98" s="133" t="inlineStr">
        <is>
          <t>Oui</t>
        </is>
      </c>
      <c r="R98">
        <f>IF($M98="En retard",$N98+ROW()/100000,"")</f>
        <v/>
      </c>
      <c r="S98">
        <f>IF(OR($F98="",$I98=""),"",$F98+ROW()/100000)</f>
        <v/>
      </c>
      <c r="T98">
        <f>IF($I98="","",IFERROR(INDEX(LIV_Cat,MATCH($I98,LIV_Code,0)),""))</f>
        <v/>
      </c>
    </row>
    <row r="99" ht="21" customHeight="1">
      <c r="A99" s="1" t="n"/>
      <c r="B99" s="1" t="n"/>
      <c r="C99" s="2" t="n"/>
      <c r="E99" s="130">
        <f>IF($F99="","","EMP-"&amp;TEXT(ROW()-6,"0000"))</f>
        <v/>
      </c>
      <c r="F99" s="134" t="n">
        <v>46122</v>
      </c>
      <c r="G99" s="127" t="inlineStr">
        <is>
          <t>MEM-013</t>
        </is>
      </c>
      <c r="H99" s="130">
        <f>IF($G99="","",IFERROR(INDEX(MEM_Nom,MATCH($G99,MEM_ID,0)),"⚠ ID inconnu"))</f>
        <v/>
      </c>
      <c r="I99" s="127" t="inlineStr">
        <is>
          <t>LIV-035</t>
        </is>
      </c>
      <c r="J99" s="130">
        <f>IF($I99="","",IFERROR(INDEX(LIV_Titre,MATCH($I99,LIV_Code,0)),"⚠ Code inconnu"))</f>
        <v/>
      </c>
      <c r="K99" s="138">
        <f>IF($F99="","",$F99+P_Duree)</f>
        <v/>
      </c>
      <c r="L99" s="134" t="n">
        <v>46135</v>
      </c>
      <c r="M99" s="130">
        <f>IF(OR($F99="",$I99=""),"",IF($L99&lt;&gt;"",IF($L99&gt;$K99,"Rendu en retard","Rendu"),IF(TODAY()&gt;$K99,"En retard","En cours")))</f>
        <v/>
      </c>
      <c r="N99" s="139">
        <f>IF(OR($F99="",$I99=""),"",MAX(0,IF($L99&lt;&gt;"",$L99,TODAY())-$K99))</f>
        <v/>
      </c>
      <c r="O99" s="135">
        <f>IF(OR($F99="",$I99=""),"",$N99*P_Amende)</f>
        <v/>
      </c>
      <c r="P99" s="133" t="n"/>
      <c r="R99">
        <f>IF($M99="En retard",$N99+ROW()/100000,"")</f>
        <v/>
      </c>
      <c r="S99">
        <f>IF(OR($F99="",$I99=""),"",$F99+ROW()/100000)</f>
        <v/>
      </c>
      <c r="T99">
        <f>IF($I99="","",IFERROR(INDEX(LIV_Cat,MATCH($I99,LIV_Code,0)),""))</f>
        <v/>
      </c>
    </row>
    <row r="100" ht="21" customHeight="1">
      <c r="A100" s="1" t="n"/>
      <c r="B100" s="1" t="n"/>
      <c r="C100" s="2" t="n"/>
      <c r="E100" s="130">
        <f>IF($F100="","","EMP-"&amp;TEXT(ROW()-6,"0000"))</f>
        <v/>
      </c>
      <c r="F100" s="134" t="n">
        <v>46126</v>
      </c>
      <c r="G100" s="127" t="inlineStr">
        <is>
          <t>MEM-010</t>
        </is>
      </c>
      <c r="H100" s="130">
        <f>IF($G100="","",IFERROR(INDEX(MEM_Nom,MATCH($G100,MEM_ID,0)),"⚠ ID inconnu"))</f>
        <v/>
      </c>
      <c r="I100" s="127" t="inlineStr">
        <is>
          <t>LIV-010</t>
        </is>
      </c>
      <c r="J100" s="130">
        <f>IF($I100="","",IFERROR(INDEX(LIV_Titre,MATCH($I100,LIV_Code,0)),"⚠ Code inconnu"))</f>
        <v/>
      </c>
      <c r="K100" s="138">
        <f>IF($F100="","",$F100+P_Duree)</f>
        <v/>
      </c>
      <c r="L100" s="134" t="n">
        <v>46136</v>
      </c>
      <c r="M100" s="130">
        <f>IF(OR($F100="",$I100=""),"",IF($L100&lt;&gt;"",IF($L100&gt;$K100,"Rendu en retard","Rendu"),IF(TODAY()&gt;$K100,"En retard","En cours")))</f>
        <v/>
      </c>
      <c r="N100" s="139">
        <f>IF(OR($F100="",$I100=""),"",MAX(0,IF($L100&lt;&gt;"",$L100,TODAY())-$K100))</f>
        <v/>
      </c>
      <c r="O100" s="135">
        <f>IF(OR($F100="",$I100=""),"",$N100*P_Amende)</f>
        <v/>
      </c>
      <c r="P100" s="133" t="n"/>
      <c r="R100">
        <f>IF($M100="En retard",$N100+ROW()/100000,"")</f>
        <v/>
      </c>
      <c r="S100">
        <f>IF(OR($F100="",$I100=""),"",$F100+ROW()/100000)</f>
        <v/>
      </c>
      <c r="T100">
        <f>IF($I100="","",IFERROR(INDEX(LIV_Cat,MATCH($I100,LIV_Code,0)),""))</f>
        <v/>
      </c>
    </row>
    <row r="101" ht="21" customHeight="1">
      <c r="A101" s="1" t="n"/>
      <c r="B101" s="1" t="n"/>
      <c r="C101" s="2" t="n"/>
      <c r="E101" s="130">
        <f>IF($F101="","","EMP-"&amp;TEXT(ROW()-6,"0000"))</f>
        <v/>
      </c>
      <c r="F101" s="134" t="n">
        <v>46134</v>
      </c>
      <c r="G101" s="127" t="inlineStr">
        <is>
          <t>MEM-037</t>
        </is>
      </c>
      <c r="H101" s="130">
        <f>IF($G101="","",IFERROR(INDEX(MEM_Nom,MATCH($G101,MEM_ID,0)),"⚠ ID inconnu"))</f>
        <v/>
      </c>
      <c r="I101" s="127" t="inlineStr">
        <is>
          <t>LIV-042</t>
        </is>
      </c>
      <c r="J101" s="130">
        <f>IF($I101="","",IFERROR(INDEX(LIV_Titre,MATCH($I101,LIV_Code,0)),"⚠ Code inconnu"))</f>
        <v/>
      </c>
      <c r="K101" s="138">
        <f>IF($F101="","",$F101+P_Duree)</f>
        <v/>
      </c>
      <c r="L101" s="134" t="n">
        <v>46144</v>
      </c>
      <c r="M101" s="130">
        <f>IF(OR($F101="",$I101=""),"",IF($L101&lt;&gt;"",IF($L101&gt;$K101,"Rendu en retard","Rendu"),IF(TODAY()&gt;$K101,"En retard","En cours")))</f>
        <v/>
      </c>
      <c r="N101" s="139">
        <f>IF(OR($F101="",$I101=""),"",MAX(0,IF($L101&lt;&gt;"",$L101,TODAY())-$K101))</f>
        <v/>
      </c>
      <c r="O101" s="135">
        <f>IF(OR($F101="",$I101=""),"",$N101*P_Amende)</f>
        <v/>
      </c>
      <c r="P101" s="133" t="n"/>
      <c r="R101">
        <f>IF($M101="En retard",$N101+ROW()/100000,"")</f>
        <v/>
      </c>
      <c r="S101">
        <f>IF(OR($F101="",$I101=""),"",$F101+ROW()/100000)</f>
        <v/>
      </c>
      <c r="T101">
        <f>IF($I101="","",IFERROR(INDEX(LIV_Cat,MATCH($I101,LIV_Code,0)),""))</f>
        <v/>
      </c>
    </row>
    <row r="102" ht="21" customHeight="1">
      <c r="A102" s="1" t="n"/>
      <c r="B102" s="1" t="n"/>
      <c r="C102" s="2" t="n"/>
      <c r="E102" s="130">
        <f>IF($F102="","","EMP-"&amp;TEXT(ROW()-6,"0000"))</f>
        <v/>
      </c>
      <c r="F102" s="134" t="n">
        <v>46135</v>
      </c>
      <c r="G102" s="127" t="inlineStr">
        <is>
          <t>MEM-020</t>
        </is>
      </c>
      <c r="H102" s="130">
        <f>IF($G102="","",IFERROR(INDEX(MEM_Nom,MATCH($G102,MEM_ID,0)),"⚠ ID inconnu"))</f>
        <v/>
      </c>
      <c r="I102" s="127" t="inlineStr">
        <is>
          <t>LIV-004</t>
        </is>
      </c>
      <c r="J102" s="130">
        <f>IF($I102="","",IFERROR(INDEX(LIV_Titre,MATCH($I102,LIV_Code,0)),"⚠ Code inconnu"))</f>
        <v/>
      </c>
      <c r="K102" s="138">
        <f>IF($F102="","",$F102+P_Duree)</f>
        <v/>
      </c>
      <c r="L102" s="134" t="n">
        <v>46158</v>
      </c>
      <c r="M102" s="130">
        <f>IF(OR($F102="",$I102=""),"",IF($L102&lt;&gt;"",IF($L102&gt;$K102,"Rendu en retard","Rendu"),IF(TODAY()&gt;$K102,"En retard","En cours")))</f>
        <v/>
      </c>
      <c r="N102" s="139">
        <f>IF(OR($F102="",$I102=""),"",MAX(0,IF($L102&lt;&gt;"",$L102,TODAY())-$K102))</f>
        <v/>
      </c>
      <c r="O102" s="135">
        <f>IF(OR($F102="",$I102=""),"",$N102*P_Amende)</f>
        <v/>
      </c>
      <c r="P102" s="133" t="inlineStr">
        <is>
          <t>Non</t>
        </is>
      </c>
      <c r="R102">
        <f>IF($M102="En retard",$N102+ROW()/100000,"")</f>
        <v/>
      </c>
      <c r="S102">
        <f>IF(OR($F102="",$I102=""),"",$F102+ROW()/100000)</f>
        <v/>
      </c>
      <c r="T102">
        <f>IF($I102="","",IFERROR(INDEX(LIV_Cat,MATCH($I102,LIV_Code,0)),""))</f>
        <v/>
      </c>
    </row>
    <row r="103" ht="21" customHeight="1">
      <c r="A103" s="1" t="n"/>
      <c r="B103" s="1" t="n"/>
      <c r="C103" s="2" t="n"/>
      <c r="E103" s="130">
        <f>IF($F103="","","EMP-"&amp;TEXT(ROW()-6,"0000"))</f>
        <v/>
      </c>
      <c r="F103" s="134" t="n">
        <v>46136</v>
      </c>
      <c r="G103" s="127" t="inlineStr">
        <is>
          <t>MEM-033</t>
        </is>
      </c>
      <c r="H103" s="130">
        <f>IF($G103="","",IFERROR(INDEX(MEM_Nom,MATCH($G103,MEM_ID,0)),"⚠ ID inconnu"))</f>
        <v/>
      </c>
      <c r="I103" s="127" t="inlineStr">
        <is>
          <t>LIV-059</t>
        </is>
      </c>
      <c r="J103" s="130">
        <f>IF($I103="","",IFERROR(INDEX(LIV_Titre,MATCH($I103,LIV_Code,0)),"⚠ Code inconnu"))</f>
        <v/>
      </c>
      <c r="K103" s="138">
        <f>IF($F103="","",$F103+P_Duree)</f>
        <v/>
      </c>
      <c r="L103" s="134" t="n">
        <v>46150</v>
      </c>
      <c r="M103" s="130">
        <f>IF(OR($F103="",$I103=""),"",IF($L103&lt;&gt;"",IF($L103&gt;$K103,"Rendu en retard","Rendu"),IF(TODAY()&gt;$K103,"En retard","En cours")))</f>
        <v/>
      </c>
      <c r="N103" s="139">
        <f>IF(OR($F103="",$I103=""),"",MAX(0,IF($L103&lt;&gt;"",$L103,TODAY())-$K103))</f>
        <v/>
      </c>
      <c r="O103" s="135">
        <f>IF(OR($F103="",$I103=""),"",$N103*P_Amende)</f>
        <v/>
      </c>
      <c r="P103" s="133" t="n"/>
      <c r="R103">
        <f>IF($M103="En retard",$N103+ROW()/100000,"")</f>
        <v/>
      </c>
      <c r="S103">
        <f>IF(OR($F103="",$I103=""),"",$F103+ROW()/100000)</f>
        <v/>
      </c>
      <c r="T103">
        <f>IF($I103="","",IFERROR(INDEX(LIV_Cat,MATCH($I103,LIV_Code,0)),""))</f>
        <v/>
      </c>
    </row>
    <row r="104" ht="21" customHeight="1">
      <c r="A104" s="1" t="n"/>
      <c r="B104" s="1" t="n"/>
      <c r="C104" s="2" t="n"/>
      <c r="E104" s="130">
        <f>IF($F104="","","EMP-"&amp;TEXT(ROW()-6,"0000"))</f>
        <v/>
      </c>
      <c r="F104" s="134" t="n">
        <v>46139</v>
      </c>
      <c r="G104" s="127" t="inlineStr">
        <is>
          <t>MEM-039</t>
        </is>
      </c>
      <c r="H104" s="130">
        <f>IF($G104="","",IFERROR(INDEX(MEM_Nom,MATCH($G104,MEM_ID,0)),"⚠ ID inconnu"))</f>
        <v/>
      </c>
      <c r="I104" s="127" t="inlineStr">
        <is>
          <t>LIV-022</t>
        </is>
      </c>
      <c r="J104" s="130">
        <f>IF($I104="","",IFERROR(INDEX(LIV_Titre,MATCH($I104,LIV_Code,0)),"⚠ Code inconnu"))</f>
        <v/>
      </c>
      <c r="K104" s="138">
        <f>IF($F104="","",$F104+P_Duree)</f>
        <v/>
      </c>
      <c r="L104" s="134" t="n">
        <v>46143</v>
      </c>
      <c r="M104" s="130">
        <f>IF(OR($F104="",$I104=""),"",IF($L104&lt;&gt;"",IF($L104&gt;$K104,"Rendu en retard","Rendu"),IF(TODAY()&gt;$K104,"En retard","En cours")))</f>
        <v/>
      </c>
      <c r="N104" s="139">
        <f>IF(OR($F104="",$I104=""),"",MAX(0,IF($L104&lt;&gt;"",$L104,TODAY())-$K104))</f>
        <v/>
      </c>
      <c r="O104" s="135">
        <f>IF(OR($F104="",$I104=""),"",$N104*P_Amende)</f>
        <v/>
      </c>
      <c r="P104" s="133" t="n"/>
      <c r="R104">
        <f>IF($M104="En retard",$N104+ROW()/100000,"")</f>
        <v/>
      </c>
      <c r="S104">
        <f>IF(OR($F104="",$I104=""),"",$F104+ROW()/100000)</f>
        <v/>
      </c>
      <c r="T104">
        <f>IF($I104="","",IFERROR(INDEX(LIV_Cat,MATCH($I104,LIV_Code,0)),""))</f>
        <v/>
      </c>
    </row>
    <row r="105" ht="21" customHeight="1">
      <c r="A105" s="1" t="n"/>
      <c r="B105" s="1" t="n"/>
      <c r="C105" s="2" t="n"/>
      <c r="E105" s="130">
        <f>IF($F105="","","EMP-"&amp;TEXT(ROW()-6,"0000"))</f>
        <v/>
      </c>
      <c r="F105" s="134" t="n">
        <v>46140</v>
      </c>
      <c r="G105" s="127" t="inlineStr">
        <is>
          <t>MEM-039</t>
        </is>
      </c>
      <c r="H105" s="130">
        <f>IF($G105="","",IFERROR(INDEX(MEM_Nom,MATCH($G105,MEM_ID,0)),"⚠ ID inconnu"))</f>
        <v/>
      </c>
      <c r="I105" s="127" t="inlineStr">
        <is>
          <t>LIV-041</t>
        </is>
      </c>
      <c r="J105" s="130">
        <f>IF($I105="","",IFERROR(INDEX(LIV_Titre,MATCH($I105,LIV_Code,0)),"⚠ Code inconnu"))</f>
        <v/>
      </c>
      <c r="K105" s="138">
        <f>IF($F105="","",$F105+P_Duree)</f>
        <v/>
      </c>
      <c r="L105" s="134" t="n">
        <v>46150</v>
      </c>
      <c r="M105" s="130">
        <f>IF(OR($F105="",$I105=""),"",IF($L105&lt;&gt;"",IF($L105&gt;$K105,"Rendu en retard","Rendu"),IF(TODAY()&gt;$K105,"En retard","En cours")))</f>
        <v/>
      </c>
      <c r="N105" s="139">
        <f>IF(OR($F105="",$I105=""),"",MAX(0,IF($L105&lt;&gt;"",$L105,TODAY())-$K105))</f>
        <v/>
      </c>
      <c r="O105" s="135">
        <f>IF(OR($F105="",$I105=""),"",$N105*P_Amende)</f>
        <v/>
      </c>
      <c r="P105" s="133" t="n"/>
      <c r="R105">
        <f>IF($M105="En retard",$N105+ROW()/100000,"")</f>
        <v/>
      </c>
      <c r="S105">
        <f>IF(OR($F105="",$I105=""),"",$F105+ROW()/100000)</f>
        <v/>
      </c>
      <c r="T105">
        <f>IF($I105="","",IFERROR(INDEX(LIV_Cat,MATCH($I105,LIV_Code,0)),""))</f>
        <v/>
      </c>
    </row>
    <row r="106" ht="21" customHeight="1">
      <c r="A106" s="1" t="n"/>
      <c r="B106" s="1" t="n"/>
      <c r="C106" s="2" t="n"/>
      <c r="E106" s="130">
        <f>IF($F106="","","EMP-"&amp;TEXT(ROW()-6,"0000"))</f>
        <v/>
      </c>
      <c r="F106" s="134" t="n">
        <v>46146</v>
      </c>
      <c r="G106" s="127" t="inlineStr">
        <is>
          <t>MEM-037</t>
        </is>
      </c>
      <c r="H106" s="130">
        <f>IF($G106="","",IFERROR(INDEX(MEM_Nom,MATCH($G106,MEM_ID,0)),"⚠ ID inconnu"))</f>
        <v/>
      </c>
      <c r="I106" s="127" t="inlineStr">
        <is>
          <t>LIV-047</t>
        </is>
      </c>
      <c r="J106" s="130">
        <f>IF($I106="","",IFERROR(INDEX(LIV_Titre,MATCH($I106,LIV_Code,0)),"⚠ Code inconnu"))</f>
        <v/>
      </c>
      <c r="K106" s="138">
        <f>IF($F106="","",$F106+P_Duree)</f>
        <v/>
      </c>
      <c r="L106" s="134" t="n">
        <v>46162</v>
      </c>
      <c r="M106" s="130">
        <f>IF(OR($F106="",$I106=""),"",IF($L106&lt;&gt;"",IF($L106&gt;$K106,"Rendu en retard","Rendu"),IF(TODAY()&gt;$K106,"En retard","En cours")))</f>
        <v/>
      </c>
      <c r="N106" s="139">
        <f>IF(OR($F106="",$I106=""),"",MAX(0,IF($L106&lt;&gt;"",$L106,TODAY())-$K106))</f>
        <v/>
      </c>
      <c r="O106" s="135">
        <f>IF(OR($F106="",$I106=""),"",$N106*P_Amende)</f>
        <v/>
      </c>
      <c r="P106" s="133" t="inlineStr">
        <is>
          <t>Oui</t>
        </is>
      </c>
      <c r="R106">
        <f>IF($M106="En retard",$N106+ROW()/100000,"")</f>
        <v/>
      </c>
      <c r="S106">
        <f>IF(OR($F106="",$I106=""),"",$F106+ROW()/100000)</f>
        <v/>
      </c>
      <c r="T106">
        <f>IF($I106="","",IFERROR(INDEX(LIV_Cat,MATCH($I106,LIV_Code,0)),""))</f>
        <v/>
      </c>
    </row>
    <row r="107" ht="21" customHeight="1">
      <c r="A107" s="1" t="n"/>
      <c r="B107" s="1" t="n"/>
      <c r="C107" s="2" t="n"/>
      <c r="E107" s="130">
        <f>IF($F107="","","EMP-"&amp;TEXT(ROW()-6,"0000"))</f>
        <v/>
      </c>
      <c r="F107" s="134" t="n">
        <v>46146</v>
      </c>
      <c r="G107" s="127" t="inlineStr">
        <is>
          <t>MEM-018</t>
        </is>
      </c>
      <c r="H107" s="130">
        <f>IF($G107="","",IFERROR(INDEX(MEM_Nom,MATCH($G107,MEM_ID,0)),"⚠ ID inconnu"))</f>
        <v/>
      </c>
      <c r="I107" s="127" t="inlineStr">
        <is>
          <t>LIV-059</t>
        </is>
      </c>
      <c r="J107" s="130">
        <f>IF($I107="","",IFERROR(INDEX(LIV_Titre,MATCH($I107,LIV_Code,0)),"⚠ Code inconnu"))</f>
        <v/>
      </c>
      <c r="K107" s="138">
        <f>IF($F107="","",$F107+P_Duree)</f>
        <v/>
      </c>
      <c r="L107" s="134" t="n">
        <v>46162</v>
      </c>
      <c r="M107" s="130">
        <f>IF(OR($F107="",$I107=""),"",IF($L107&lt;&gt;"",IF($L107&gt;$K107,"Rendu en retard","Rendu"),IF(TODAY()&gt;$K107,"En retard","En cours")))</f>
        <v/>
      </c>
      <c r="N107" s="139">
        <f>IF(OR($F107="",$I107=""),"",MAX(0,IF($L107&lt;&gt;"",$L107,TODAY())-$K107))</f>
        <v/>
      </c>
      <c r="O107" s="135">
        <f>IF(OR($F107="",$I107=""),"",$N107*P_Amende)</f>
        <v/>
      </c>
      <c r="P107" s="133" t="inlineStr">
        <is>
          <t>Oui</t>
        </is>
      </c>
      <c r="R107">
        <f>IF($M107="En retard",$N107+ROW()/100000,"")</f>
        <v/>
      </c>
      <c r="S107">
        <f>IF(OR($F107="",$I107=""),"",$F107+ROW()/100000)</f>
        <v/>
      </c>
      <c r="T107">
        <f>IF($I107="","",IFERROR(INDEX(LIV_Cat,MATCH($I107,LIV_Code,0)),""))</f>
        <v/>
      </c>
    </row>
    <row r="108" ht="21" customHeight="1">
      <c r="A108" s="1" t="n"/>
      <c r="B108" s="1" t="n"/>
      <c r="C108" s="2" t="n"/>
      <c r="E108" s="130">
        <f>IF($F108="","","EMP-"&amp;TEXT(ROW()-6,"0000"))</f>
        <v/>
      </c>
      <c r="F108" s="134" t="n">
        <v>46149</v>
      </c>
      <c r="G108" s="127" t="inlineStr">
        <is>
          <t>MEM-029</t>
        </is>
      </c>
      <c r="H108" s="130">
        <f>IF($G108="","",IFERROR(INDEX(MEM_Nom,MATCH($G108,MEM_ID,0)),"⚠ ID inconnu"))</f>
        <v/>
      </c>
      <c r="I108" s="127" t="inlineStr">
        <is>
          <t>LIV-026</t>
        </is>
      </c>
      <c r="J108" s="130">
        <f>IF($I108="","",IFERROR(INDEX(LIV_Titre,MATCH($I108,LIV_Code,0)),"⚠ Code inconnu"))</f>
        <v/>
      </c>
      <c r="K108" s="138">
        <f>IF($F108="","",$F108+P_Duree)</f>
        <v/>
      </c>
      <c r="L108" s="134" t="n">
        <v>46159</v>
      </c>
      <c r="M108" s="130">
        <f>IF(OR($F108="",$I108=""),"",IF($L108&lt;&gt;"",IF($L108&gt;$K108,"Rendu en retard","Rendu"),IF(TODAY()&gt;$K108,"En retard","En cours")))</f>
        <v/>
      </c>
      <c r="N108" s="139">
        <f>IF(OR($F108="",$I108=""),"",MAX(0,IF($L108&lt;&gt;"",$L108,TODAY())-$K108))</f>
        <v/>
      </c>
      <c r="O108" s="135">
        <f>IF(OR($F108="",$I108=""),"",$N108*P_Amende)</f>
        <v/>
      </c>
      <c r="P108" s="133" t="n"/>
      <c r="R108">
        <f>IF($M108="En retard",$N108+ROW()/100000,"")</f>
        <v/>
      </c>
      <c r="S108">
        <f>IF(OR($F108="",$I108=""),"",$F108+ROW()/100000)</f>
        <v/>
      </c>
      <c r="T108">
        <f>IF($I108="","",IFERROR(INDEX(LIV_Cat,MATCH($I108,LIV_Code,0)),""))</f>
        <v/>
      </c>
    </row>
    <row r="109" ht="21" customHeight="1">
      <c r="A109" s="1" t="n"/>
      <c r="B109" s="1" t="n"/>
      <c r="C109" s="2" t="n"/>
      <c r="E109" s="130">
        <f>IF($F109="","","EMP-"&amp;TEXT(ROW()-6,"0000"))</f>
        <v/>
      </c>
      <c r="F109" s="134" t="n">
        <v>46153</v>
      </c>
      <c r="G109" s="127" t="inlineStr">
        <is>
          <t>MEM-032</t>
        </is>
      </c>
      <c r="H109" s="130">
        <f>IF($G109="","",IFERROR(INDEX(MEM_Nom,MATCH($G109,MEM_ID,0)),"⚠ ID inconnu"))</f>
        <v/>
      </c>
      <c r="I109" s="127" t="inlineStr">
        <is>
          <t>LIV-022</t>
        </is>
      </c>
      <c r="J109" s="130">
        <f>IF($I109="","",IFERROR(INDEX(LIV_Titre,MATCH($I109,LIV_Code,0)),"⚠ Code inconnu"))</f>
        <v/>
      </c>
      <c r="K109" s="138">
        <f>IF($F109="","",$F109+P_Duree)</f>
        <v/>
      </c>
      <c r="L109" s="134" t="n">
        <v>46159</v>
      </c>
      <c r="M109" s="130">
        <f>IF(OR($F109="",$I109=""),"",IF($L109&lt;&gt;"",IF($L109&gt;$K109,"Rendu en retard","Rendu"),IF(TODAY()&gt;$K109,"En retard","En cours")))</f>
        <v/>
      </c>
      <c r="N109" s="139">
        <f>IF(OR($F109="",$I109=""),"",MAX(0,IF($L109&lt;&gt;"",$L109,TODAY())-$K109))</f>
        <v/>
      </c>
      <c r="O109" s="135">
        <f>IF(OR($F109="",$I109=""),"",$N109*P_Amende)</f>
        <v/>
      </c>
      <c r="P109" s="133" t="n"/>
      <c r="R109">
        <f>IF($M109="En retard",$N109+ROW()/100000,"")</f>
        <v/>
      </c>
      <c r="S109">
        <f>IF(OR($F109="",$I109=""),"",$F109+ROW()/100000)</f>
        <v/>
      </c>
      <c r="T109">
        <f>IF($I109="","",IFERROR(INDEX(LIV_Cat,MATCH($I109,LIV_Code,0)),""))</f>
        <v/>
      </c>
    </row>
    <row r="110" ht="21" customHeight="1">
      <c r="A110" s="1" t="n"/>
      <c r="B110" s="1" t="n"/>
      <c r="C110" s="2" t="n"/>
      <c r="E110" s="130">
        <f>IF($F110="","","EMP-"&amp;TEXT(ROW()-6,"0000"))</f>
        <v/>
      </c>
      <c r="F110" s="134" t="n">
        <v>46154</v>
      </c>
      <c r="G110" s="127" t="inlineStr">
        <is>
          <t>MEM-022</t>
        </is>
      </c>
      <c r="H110" s="130">
        <f>IF($G110="","",IFERROR(INDEX(MEM_Nom,MATCH($G110,MEM_ID,0)),"⚠ ID inconnu"))</f>
        <v/>
      </c>
      <c r="I110" s="127" t="inlineStr">
        <is>
          <t>LIV-014</t>
        </is>
      </c>
      <c r="J110" s="130">
        <f>IF($I110="","",IFERROR(INDEX(LIV_Titre,MATCH($I110,LIV_Code,0)),"⚠ Code inconnu"))</f>
        <v/>
      </c>
      <c r="K110" s="138">
        <f>IF($F110="","",$F110+P_Duree)</f>
        <v/>
      </c>
      <c r="L110" s="134" t="n">
        <v>46166</v>
      </c>
      <c r="M110" s="130">
        <f>IF(OR($F110="",$I110=""),"",IF($L110&lt;&gt;"",IF($L110&gt;$K110,"Rendu en retard","Rendu"),IF(TODAY()&gt;$K110,"En retard","En cours")))</f>
        <v/>
      </c>
      <c r="N110" s="139">
        <f>IF(OR($F110="",$I110=""),"",MAX(0,IF($L110&lt;&gt;"",$L110,TODAY())-$K110))</f>
        <v/>
      </c>
      <c r="O110" s="135">
        <f>IF(OR($F110="",$I110=""),"",$N110*P_Amende)</f>
        <v/>
      </c>
      <c r="P110" s="133" t="n"/>
      <c r="R110">
        <f>IF($M110="En retard",$N110+ROW()/100000,"")</f>
        <v/>
      </c>
      <c r="S110">
        <f>IF(OR($F110="",$I110=""),"",$F110+ROW()/100000)</f>
        <v/>
      </c>
      <c r="T110">
        <f>IF($I110="","",IFERROR(INDEX(LIV_Cat,MATCH($I110,LIV_Code,0)),""))</f>
        <v/>
      </c>
    </row>
    <row r="111" ht="21" customHeight="1">
      <c r="A111" s="1" t="n"/>
      <c r="B111" s="1" t="n"/>
      <c r="C111" s="2" t="n"/>
      <c r="E111" s="130">
        <f>IF($F111="","","EMP-"&amp;TEXT(ROW()-6,"0000"))</f>
        <v/>
      </c>
      <c r="F111" s="134" t="n">
        <v>46155</v>
      </c>
      <c r="G111" s="127" t="inlineStr">
        <is>
          <t>MEM-011</t>
        </is>
      </c>
      <c r="H111" s="130">
        <f>IF($G111="","",IFERROR(INDEX(MEM_Nom,MATCH($G111,MEM_ID,0)),"⚠ ID inconnu"))</f>
        <v/>
      </c>
      <c r="I111" s="127" t="inlineStr">
        <is>
          <t>LIV-003</t>
        </is>
      </c>
      <c r="J111" s="130">
        <f>IF($I111="","",IFERROR(INDEX(LIV_Titre,MATCH($I111,LIV_Code,0)),"⚠ Code inconnu"))</f>
        <v/>
      </c>
      <c r="K111" s="138">
        <f>IF($F111="","",$F111+P_Duree)</f>
        <v/>
      </c>
      <c r="L111" s="134" t="n">
        <v>46167</v>
      </c>
      <c r="M111" s="130">
        <f>IF(OR($F111="",$I111=""),"",IF($L111&lt;&gt;"",IF($L111&gt;$K111,"Rendu en retard","Rendu"),IF(TODAY()&gt;$K111,"En retard","En cours")))</f>
        <v/>
      </c>
      <c r="N111" s="139">
        <f>IF(OR($F111="",$I111=""),"",MAX(0,IF($L111&lt;&gt;"",$L111,TODAY())-$K111))</f>
        <v/>
      </c>
      <c r="O111" s="135">
        <f>IF(OR($F111="",$I111=""),"",$N111*P_Amende)</f>
        <v/>
      </c>
      <c r="P111" s="133" t="n"/>
      <c r="R111">
        <f>IF($M111="En retard",$N111+ROW()/100000,"")</f>
        <v/>
      </c>
      <c r="S111">
        <f>IF(OR($F111="",$I111=""),"",$F111+ROW()/100000)</f>
        <v/>
      </c>
      <c r="T111">
        <f>IF($I111="","",IFERROR(INDEX(LIV_Cat,MATCH($I111,LIV_Code,0)),""))</f>
        <v/>
      </c>
    </row>
    <row r="112" ht="21" customHeight="1">
      <c r="A112" s="1" t="n"/>
      <c r="B112" s="1" t="n"/>
      <c r="C112" s="2" t="n"/>
      <c r="E112" s="130">
        <f>IF($F112="","","EMP-"&amp;TEXT(ROW()-6,"0000"))</f>
        <v/>
      </c>
      <c r="F112" s="134" t="n">
        <v>46155</v>
      </c>
      <c r="G112" s="127" t="inlineStr">
        <is>
          <t>MEM-032</t>
        </is>
      </c>
      <c r="H112" s="130">
        <f>IF($G112="","",IFERROR(INDEX(MEM_Nom,MATCH($G112,MEM_ID,0)),"⚠ ID inconnu"))</f>
        <v/>
      </c>
      <c r="I112" s="127" t="inlineStr">
        <is>
          <t>LIV-019</t>
        </is>
      </c>
      <c r="J112" s="130">
        <f>IF($I112="","",IFERROR(INDEX(LIV_Titre,MATCH($I112,LIV_Code,0)),"⚠ Code inconnu"))</f>
        <v/>
      </c>
      <c r="K112" s="138">
        <f>IF($F112="","",$F112+P_Duree)</f>
        <v/>
      </c>
      <c r="L112" s="134" t="n">
        <v>46165</v>
      </c>
      <c r="M112" s="130">
        <f>IF(OR($F112="",$I112=""),"",IF($L112&lt;&gt;"",IF($L112&gt;$K112,"Rendu en retard","Rendu"),IF(TODAY()&gt;$K112,"En retard","En cours")))</f>
        <v/>
      </c>
      <c r="N112" s="139">
        <f>IF(OR($F112="",$I112=""),"",MAX(0,IF($L112&lt;&gt;"",$L112,TODAY())-$K112))</f>
        <v/>
      </c>
      <c r="O112" s="135">
        <f>IF(OR($F112="",$I112=""),"",$N112*P_Amende)</f>
        <v/>
      </c>
      <c r="P112" s="133" t="n"/>
      <c r="R112">
        <f>IF($M112="En retard",$N112+ROW()/100000,"")</f>
        <v/>
      </c>
      <c r="S112">
        <f>IF(OR($F112="",$I112=""),"",$F112+ROW()/100000)</f>
        <v/>
      </c>
      <c r="T112">
        <f>IF($I112="","",IFERROR(INDEX(LIV_Cat,MATCH($I112,LIV_Code,0)),""))</f>
        <v/>
      </c>
    </row>
    <row r="113" ht="21" customHeight="1">
      <c r="A113" s="1" t="n"/>
      <c r="B113" s="1" t="n"/>
      <c r="C113" s="2" t="n"/>
      <c r="E113" s="130">
        <f>IF($F113="","","EMP-"&amp;TEXT(ROW()-6,"0000"))</f>
        <v/>
      </c>
      <c r="F113" s="134" t="n">
        <v>46156</v>
      </c>
      <c r="G113" s="127" t="inlineStr">
        <is>
          <t>MEM-036</t>
        </is>
      </c>
      <c r="H113" s="130">
        <f>IF($G113="","",IFERROR(INDEX(MEM_Nom,MATCH($G113,MEM_ID,0)),"⚠ ID inconnu"))</f>
        <v/>
      </c>
      <c r="I113" s="127" t="inlineStr">
        <is>
          <t>LIV-059</t>
        </is>
      </c>
      <c r="J113" s="130">
        <f>IF($I113="","",IFERROR(INDEX(LIV_Titre,MATCH($I113,LIV_Code,0)),"⚠ Code inconnu"))</f>
        <v/>
      </c>
      <c r="K113" s="138">
        <f>IF($F113="","",$F113+P_Duree)</f>
        <v/>
      </c>
      <c r="L113" s="134" t="n">
        <v>46160</v>
      </c>
      <c r="M113" s="130">
        <f>IF(OR($F113="",$I113=""),"",IF($L113&lt;&gt;"",IF($L113&gt;$K113,"Rendu en retard","Rendu"),IF(TODAY()&gt;$K113,"En retard","En cours")))</f>
        <v/>
      </c>
      <c r="N113" s="139">
        <f>IF(OR($F113="",$I113=""),"",MAX(0,IF($L113&lt;&gt;"",$L113,TODAY())-$K113))</f>
        <v/>
      </c>
      <c r="O113" s="135">
        <f>IF(OR($F113="",$I113=""),"",$N113*P_Amende)</f>
        <v/>
      </c>
      <c r="P113" s="133" t="n"/>
      <c r="R113">
        <f>IF($M113="En retard",$N113+ROW()/100000,"")</f>
        <v/>
      </c>
      <c r="S113">
        <f>IF(OR($F113="",$I113=""),"",$F113+ROW()/100000)</f>
        <v/>
      </c>
      <c r="T113">
        <f>IF($I113="","",IFERROR(INDEX(LIV_Cat,MATCH($I113,LIV_Code,0)),""))</f>
        <v/>
      </c>
    </row>
    <row r="114" ht="21" customHeight="1">
      <c r="A114" s="1" t="n"/>
      <c r="B114" s="1" t="n"/>
      <c r="C114" s="2" t="n"/>
      <c r="E114" s="130">
        <f>IF($F114="","","EMP-"&amp;TEXT(ROW()-6,"0000"))</f>
        <v/>
      </c>
      <c r="F114" s="134" t="n">
        <v>46156</v>
      </c>
      <c r="G114" s="127" t="inlineStr">
        <is>
          <t>MEM-021</t>
        </is>
      </c>
      <c r="H114" s="130">
        <f>IF($G114="","",IFERROR(INDEX(MEM_Nom,MATCH($G114,MEM_ID,0)),"⚠ ID inconnu"))</f>
        <v/>
      </c>
      <c r="I114" s="127" t="inlineStr">
        <is>
          <t>LIV-023</t>
        </is>
      </c>
      <c r="J114" s="130">
        <f>IF($I114="","",IFERROR(INDEX(LIV_Titre,MATCH($I114,LIV_Code,0)),"⚠ Code inconnu"))</f>
        <v/>
      </c>
      <c r="K114" s="138">
        <f>IF($F114="","",$F114+P_Duree)</f>
        <v/>
      </c>
      <c r="L114" s="134" t="n">
        <v>46166</v>
      </c>
      <c r="M114" s="130">
        <f>IF(OR($F114="",$I114=""),"",IF($L114&lt;&gt;"",IF($L114&gt;$K114,"Rendu en retard","Rendu"),IF(TODAY()&gt;$K114,"En retard","En cours")))</f>
        <v/>
      </c>
      <c r="N114" s="139">
        <f>IF(OR($F114="",$I114=""),"",MAX(0,IF($L114&lt;&gt;"",$L114,TODAY())-$K114))</f>
        <v/>
      </c>
      <c r="O114" s="135">
        <f>IF(OR($F114="",$I114=""),"",$N114*P_Amende)</f>
        <v/>
      </c>
      <c r="P114" s="133" t="n"/>
      <c r="R114">
        <f>IF($M114="En retard",$N114+ROW()/100000,"")</f>
        <v/>
      </c>
      <c r="S114">
        <f>IF(OR($F114="",$I114=""),"",$F114+ROW()/100000)</f>
        <v/>
      </c>
      <c r="T114">
        <f>IF($I114="","",IFERROR(INDEX(LIV_Cat,MATCH($I114,LIV_Code,0)),""))</f>
        <v/>
      </c>
    </row>
    <row r="115" ht="21" customHeight="1">
      <c r="A115" s="1" t="n"/>
      <c r="B115" s="1" t="n"/>
      <c r="C115" s="2" t="n"/>
      <c r="E115" s="130">
        <f>IF($F115="","","EMP-"&amp;TEXT(ROW()-6,"0000"))</f>
        <v/>
      </c>
      <c r="F115" s="134" t="n">
        <v>46161</v>
      </c>
      <c r="G115" s="127" t="inlineStr">
        <is>
          <t>MEM-001</t>
        </is>
      </c>
      <c r="H115" s="130">
        <f>IF($G115="","",IFERROR(INDEX(MEM_Nom,MATCH($G115,MEM_ID,0)),"⚠ ID inconnu"))</f>
        <v/>
      </c>
      <c r="I115" s="127" t="inlineStr">
        <is>
          <t>LIV-050</t>
        </is>
      </c>
      <c r="J115" s="130">
        <f>IF($I115="","",IFERROR(INDEX(LIV_Titre,MATCH($I115,LIV_Code,0)),"⚠ Code inconnu"))</f>
        <v/>
      </c>
      <c r="K115" s="138">
        <f>IF($F115="","",$F115+P_Duree)</f>
        <v/>
      </c>
      <c r="L115" s="134" t="n">
        <v>46180</v>
      </c>
      <c r="M115" s="130">
        <f>IF(OR($F115="",$I115=""),"",IF($L115&lt;&gt;"",IF($L115&gt;$K115,"Rendu en retard","Rendu"),IF(TODAY()&gt;$K115,"En retard","En cours")))</f>
        <v/>
      </c>
      <c r="N115" s="139">
        <f>IF(OR($F115="",$I115=""),"",MAX(0,IF($L115&lt;&gt;"",$L115,TODAY())-$K115))</f>
        <v/>
      </c>
      <c r="O115" s="135">
        <f>IF(OR($F115="",$I115=""),"",$N115*P_Amende)</f>
        <v/>
      </c>
      <c r="P115" s="133" t="inlineStr">
        <is>
          <t>Oui</t>
        </is>
      </c>
      <c r="R115">
        <f>IF($M115="En retard",$N115+ROW()/100000,"")</f>
        <v/>
      </c>
      <c r="S115">
        <f>IF(OR($F115="",$I115=""),"",$F115+ROW()/100000)</f>
        <v/>
      </c>
      <c r="T115">
        <f>IF($I115="","",IFERROR(INDEX(LIV_Cat,MATCH($I115,LIV_Code,0)),""))</f>
        <v/>
      </c>
    </row>
    <row r="116" ht="21" customHeight="1">
      <c r="A116" s="1" t="n"/>
      <c r="B116" s="1" t="n"/>
      <c r="C116" s="2" t="n"/>
      <c r="E116" s="130">
        <f>IF($F116="","","EMP-"&amp;TEXT(ROW()-6,"0000"))</f>
        <v/>
      </c>
      <c r="F116" s="134" t="n">
        <v>46162</v>
      </c>
      <c r="G116" s="127" t="inlineStr">
        <is>
          <t>MEM-004</t>
        </is>
      </c>
      <c r="H116" s="130">
        <f>IF($G116="","",IFERROR(INDEX(MEM_Nom,MATCH($G116,MEM_ID,0)),"⚠ ID inconnu"))</f>
        <v/>
      </c>
      <c r="I116" s="127" t="inlineStr">
        <is>
          <t>LIV-023</t>
        </is>
      </c>
      <c r="J116" s="130">
        <f>IF($I116="","",IFERROR(INDEX(LIV_Titre,MATCH($I116,LIV_Code,0)),"⚠ Code inconnu"))</f>
        <v/>
      </c>
      <c r="K116" s="138">
        <f>IF($F116="","",$F116+P_Duree)</f>
        <v/>
      </c>
      <c r="L116" s="134" t="n">
        <v>46171</v>
      </c>
      <c r="M116" s="130">
        <f>IF(OR($F116="",$I116=""),"",IF($L116&lt;&gt;"",IF($L116&gt;$K116,"Rendu en retard","Rendu"),IF(TODAY()&gt;$K116,"En retard","En cours")))</f>
        <v/>
      </c>
      <c r="N116" s="139">
        <f>IF(OR($F116="",$I116=""),"",MAX(0,IF($L116&lt;&gt;"",$L116,TODAY())-$K116))</f>
        <v/>
      </c>
      <c r="O116" s="135">
        <f>IF(OR($F116="",$I116=""),"",$N116*P_Amende)</f>
        <v/>
      </c>
      <c r="P116" s="133" t="n"/>
      <c r="R116">
        <f>IF($M116="En retard",$N116+ROW()/100000,"")</f>
        <v/>
      </c>
      <c r="S116">
        <f>IF(OR($F116="",$I116=""),"",$F116+ROW()/100000)</f>
        <v/>
      </c>
      <c r="T116">
        <f>IF($I116="","",IFERROR(INDEX(LIV_Cat,MATCH($I116,LIV_Code,0)),""))</f>
        <v/>
      </c>
    </row>
    <row r="117" ht="21" customHeight="1">
      <c r="A117" s="1" t="n"/>
      <c r="B117" s="1" t="n"/>
      <c r="C117" s="2" t="n"/>
      <c r="E117" s="130">
        <f>IF($F117="","","EMP-"&amp;TEXT(ROW()-6,"0000"))</f>
        <v/>
      </c>
      <c r="F117" s="134" t="n">
        <v>46163</v>
      </c>
      <c r="G117" s="127" t="inlineStr">
        <is>
          <t>MEM-032</t>
        </is>
      </c>
      <c r="H117" s="130">
        <f>IF($G117="","",IFERROR(INDEX(MEM_Nom,MATCH($G117,MEM_ID,0)),"⚠ ID inconnu"))</f>
        <v/>
      </c>
      <c r="I117" s="127" t="inlineStr">
        <is>
          <t>LIV-014</t>
        </is>
      </c>
      <c r="J117" s="130">
        <f>IF($I117="","",IFERROR(INDEX(LIV_Titre,MATCH($I117,LIV_Code,0)),"⚠ Code inconnu"))</f>
        <v/>
      </c>
      <c r="K117" s="138">
        <f>IF($F117="","",$F117+P_Duree)</f>
        <v/>
      </c>
      <c r="L117" s="134" t="n">
        <v>46182</v>
      </c>
      <c r="M117" s="130">
        <f>IF(OR($F117="",$I117=""),"",IF($L117&lt;&gt;"",IF($L117&gt;$K117,"Rendu en retard","Rendu"),IF(TODAY()&gt;$K117,"En retard","En cours")))</f>
        <v/>
      </c>
      <c r="N117" s="139">
        <f>IF(OR($F117="",$I117=""),"",MAX(0,IF($L117&lt;&gt;"",$L117,TODAY())-$K117))</f>
        <v/>
      </c>
      <c r="O117" s="135">
        <f>IF(OR($F117="",$I117=""),"",$N117*P_Amende)</f>
        <v/>
      </c>
      <c r="P117" s="133" t="inlineStr">
        <is>
          <t>Oui</t>
        </is>
      </c>
      <c r="R117">
        <f>IF($M117="En retard",$N117+ROW()/100000,"")</f>
        <v/>
      </c>
      <c r="S117">
        <f>IF(OR($F117="",$I117=""),"",$F117+ROW()/100000)</f>
        <v/>
      </c>
      <c r="T117">
        <f>IF($I117="","",IFERROR(INDEX(LIV_Cat,MATCH($I117,LIV_Code,0)),""))</f>
        <v/>
      </c>
    </row>
    <row r="118" ht="21" customHeight="1">
      <c r="A118" s="1" t="n"/>
      <c r="B118" s="1" t="n"/>
      <c r="C118" s="2" t="n"/>
      <c r="E118" s="130">
        <f>IF($F118="","","EMP-"&amp;TEXT(ROW()-6,"0000"))</f>
        <v/>
      </c>
      <c r="F118" s="134" t="n">
        <v>46164</v>
      </c>
      <c r="G118" s="127" t="inlineStr">
        <is>
          <t>MEM-014</t>
        </is>
      </c>
      <c r="H118" s="130">
        <f>IF($G118="","",IFERROR(INDEX(MEM_Nom,MATCH($G118,MEM_ID,0)),"⚠ ID inconnu"))</f>
        <v/>
      </c>
      <c r="I118" s="127" t="inlineStr">
        <is>
          <t>LIV-044</t>
        </is>
      </c>
      <c r="J118" s="130">
        <f>IF($I118="","",IFERROR(INDEX(LIV_Titre,MATCH($I118,LIV_Code,0)),"⚠ Code inconnu"))</f>
        <v/>
      </c>
      <c r="K118" s="138">
        <f>IF($F118="","",$F118+P_Duree)</f>
        <v/>
      </c>
      <c r="L118" s="134" t="n">
        <v>46174</v>
      </c>
      <c r="M118" s="130">
        <f>IF(OR($F118="",$I118=""),"",IF($L118&lt;&gt;"",IF($L118&gt;$K118,"Rendu en retard","Rendu"),IF(TODAY()&gt;$K118,"En retard","En cours")))</f>
        <v/>
      </c>
      <c r="N118" s="139">
        <f>IF(OR($F118="",$I118=""),"",MAX(0,IF($L118&lt;&gt;"",$L118,TODAY())-$K118))</f>
        <v/>
      </c>
      <c r="O118" s="135">
        <f>IF(OR($F118="",$I118=""),"",$N118*P_Amende)</f>
        <v/>
      </c>
      <c r="P118" s="133" t="n"/>
      <c r="R118">
        <f>IF($M118="En retard",$N118+ROW()/100000,"")</f>
        <v/>
      </c>
      <c r="S118">
        <f>IF(OR($F118="",$I118=""),"",$F118+ROW()/100000)</f>
        <v/>
      </c>
      <c r="T118">
        <f>IF($I118="","",IFERROR(INDEX(LIV_Cat,MATCH($I118,LIV_Code,0)),""))</f>
        <v/>
      </c>
    </row>
    <row r="119" ht="21" customHeight="1">
      <c r="A119" s="1" t="n"/>
      <c r="B119" s="1" t="n"/>
      <c r="C119" s="2" t="n"/>
      <c r="E119" s="130">
        <f>IF($F119="","","EMP-"&amp;TEXT(ROW()-6,"0000"))</f>
        <v/>
      </c>
      <c r="F119" s="134" t="n">
        <v>46167</v>
      </c>
      <c r="G119" s="127" t="inlineStr">
        <is>
          <t>MEM-019</t>
        </is>
      </c>
      <c r="H119" s="130">
        <f>IF($G119="","",IFERROR(INDEX(MEM_Nom,MATCH($G119,MEM_ID,0)),"⚠ ID inconnu"))</f>
        <v/>
      </c>
      <c r="I119" s="127" t="inlineStr">
        <is>
          <t>LIV-004</t>
        </is>
      </c>
      <c r="J119" s="130">
        <f>IF($I119="","",IFERROR(INDEX(LIV_Titre,MATCH($I119,LIV_Code,0)),"⚠ Code inconnu"))</f>
        <v/>
      </c>
      <c r="K119" s="138">
        <f>IF($F119="","",$F119+P_Duree)</f>
        <v/>
      </c>
      <c r="L119" s="134" t="n">
        <v>46181</v>
      </c>
      <c r="M119" s="130">
        <f>IF(OR($F119="",$I119=""),"",IF($L119&lt;&gt;"",IF($L119&gt;$K119,"Rendu en retard","Rendu"),IF(TODAY()&gt;$K119,"En retard","En cours")))</f>
        <v/>
      </c>
      <c r="N119" s="139">
        <f>IF(OR($F119="",$I119=""),"",MAX(0,IF($L119&lt;&gt;"",$L119,TODAY())-$K119))</f>
        <v/>
      </c>
      <c r="O119" s="135">
        <f>IF(OR($F119="",$I119=""),"",$N119*P_Amende)</f>
        <v/>
      </c>
      <c r="P119" s="133" t="n"/>
      <c r="R119">
        <f>IF($M119="En retard",$N119+ROW()/100000,"")</f>
        <v/>
      </c>
      <c r="S119">
        <f>IF(OR($F119="",$I119=""),"",$F119+ROW()/100000)</f>
        <v/>
      </c>
      <c r="T119">
        <f>IF($I119="","",IFERROR(INDEX(LIV_Cat,MATCH($I119,LIV_Code,0)),""))</f>
        <v/>
      </c>
    </row>
    <row r="120" ht="21" customHeight="1">
      <c r="A120" s="1" t="n"/>
      <c r="B120" s="1" t="n"/>
      <c r="C120" s="2" t="n"/>
      <c r="E120" s="130">
        <f>IF($F120="","","EMP-"&amp;TEXT(ROW()-6,"0000"))</f>
        <v/>
      </c>
      <c r="F120" s="134" t="n">
        <v>46168</v>
      </c>
      <c r="G120" s="127" t="inlineStr">
        <is>
          <t>MEM-002</t>
        </is>
      </c>
      <c r="H120" s="130">
        <f>IF($G120="","",IFERROR(INDEX(MEM_Nom,MATCH($G120,MEM_ID,0)),"⚠ ID inconnu"))</f>
        <v/>
      </c>
      <c r="I120" s="127" t="inlineStr">
        <is>
          <t>LIV-023</t>
        </is>
      </c>
      <c r="J120" s="130">
        <f>IF($I120="","",IFERROR(INDEX(LIV_Titre,MATCH($I120,LIV_Code,0)),"⚠ Code inconnu"))</f>
        <v/>
      </c>
      <c r="K120" s="138">
        <f>IF($F120="","",$F120+P_Duree)</f>
        <v/>
      </c>
      <c r="L120" s="134" t="n">
        <v>46187</v>
      </c>
      <c r="M120" s="130">
        <f>IF(OR($F120="",$I120=""),"",IF($L120&lt;&gt;"",IF($L120&gt;$K120,"Rendu en retard","Rendu"),IF(TODAY()&gt;$K120,"En retard","En cours")))</f>
        <v/>
      </c>
      <c r="N120" s="139">
        <f>IF(OR($F120="",$I120=""),"",MAX(0,IF($L120&lt;&gt;"",$L120,TODAY())-$K120))</f>
        <v/>
      </c>
      <c r="O120" s="135">
        <f>IF(OR($F120="",$I120=""),"",$N120*P_Amende)</f>
        <v/>
      </c>
      <c r="P120" s="133" t="inlineStr">
        <is>
          <t>Non</t>
        </is>
      </c>
      <c r="R120">
        <f>IF($M120="En retard",$N120+ROW()/100000,"")</f>
        <v/>
      </c>
      <c r="S120">
        <f>IF(OR($F120="",$I120=""),"",$F120+ROW()/100000)</f>
        <v/>
      </c>
      <c r="T120">
        <f>IF($I120="","",IFERROR(INDEX(LIV_Cat,MATCH($I120,LIV_Code,0)),""))</f>
        <v/>
      </c>
    </row>
    <row r="121" ht="21" customHeight="1">
      <c r="A121" s="1" t="n"/>
      <c r="B121" s="1" t="n"/>
      <c r="C121" s="2" t="n"/>
      <c r="E121" s="130">
        <f>IF($F121="","","EMP-"&amp;TEXT(ROW()-6,"0000"))</f>
        <v/>
      </c>
      <c r="F121" s="134" t="n">
        <v>46168</v>
      </c>
      <c r="G121" s="127" t="inlineStr">
        <is>
          <t>MEM-016</t>
        </is>
      </c>
      <c r="H121" s="130">
        <f>IF($G121="","",IFERROR(INDEX(MEM_Nom,MATCH($G121,MEM_ID,0)),"⚠ ID inconnu"))</f>
        <v/>
      </c>
      <c r="I121" s="127" t="inlineStr">
        <is>
          <t>LIV-032</t>
        </is>
      </c>
      <c r="J121" s="130">
        <f>IF($I121="","",IFERROR(INDEX(LIV_Titre,MATCH($I121,LIV_Code,0)),"⚠ Code inconnu"))</f>
        <v/>
      </c>
      <c r="K121" s="138">
        <f>IF($F121="","",$F121+P_Duree)</f>
        <v/>
      </c>
      <c r="L121" s="134" t="n">
        <v>46191</v>
      </c>
      <c r="M121" s="130">
        <f>IF(OR($F121="",$I121=""),"",IF($L121&lt;&gt;"",IF($L121&gt;$K121,"Rendu en retard","Rendu"),IF(TODAY()&gt;$K121,"En retard","En cours")))</f>
        <v/>
      </c>
      <c r="N121" s="139">
        <f>IF(OR($F121="",$I121=""),"",MAX(0,IF($L121&lt;&gt;"",$L121,TODAY())-$K121))</f>
        <v/>
      </c>
      <c r="O121" s="135">
        <f>IF(OR($F121="",$I121=""),"",$N121*P_Amende)</f>
        <v/>
      </c>
      <c r="P121" s="133" t="inlineStr">
        <is>
          <t>Oui</t>
        </is>
      </c>
      <c r="R121">
        <f>IF($M121="En retard",$N121+ROW()/100000,"")</f>
        <v/>
      </c>
      <c r="S121">
        <f>IF(OR($F121="",$I121=""),"",$F121+ROW()/100000)</f>
        <v/>
      </c>
      <c r="T121">
        <f>IF($I121="","",IFERROR(INDEX(LIV_Cat,MATCH($I121,LIV_Code,0)),""))</f>
        <v/>
      </c>
    </row>
    <row r="122" ht="21" customHeight="1">
      <c r="A122" s="1" t="n"/>
      <c r="B122" s="1" t="n"/>
      <c r="C122" s="2" t="n"/>
      <c r="E122" s="130">
        <f>IF($F122="","","EMP-"&amp;TEXT(ROW()-6,"0000"))</f>
        <v/>
      </c>
      <c r="F122" s="134" t="n">
        <v>46171</v>
      </c>
      <c r="G122" s="127" t="inlineStr">
        <is>
          <t>MEM-027</t>
        </is>
      </c>
      <c r="H122" s="130">
        <f>IF($G122="","",IFERROR(INDEX(MEM_Nom,MATCH($G122,MEM_ID,0)),"⚠ ID inconnu"))</f>
        <v/>
      </c>
      <c r="I122" s="127" t="inlineStr">
        <is>
          <t>LIV-001</t>
        </is>
      </c>
      <c r="J122" s="130">
        <f>IF($I122="","",IFERROR(INDEX(LIV_Titre,MATCH($I122,LIV_Code,0)),"⚠ Code inconnu"))</f>
        <v/>
      </c>
      <c r="K122" s="138">
        <f>IF($F122="","",$F122+P_Duree)</f>
        <v/>
      </c>
      <c r="L122" s="134" t="n">
        <v>46177</v>
      </c>
      <c r="M122" s="130">
        <f>IF(OR($F122="",$I122=""),"",IF($L122&lt;&gt;"",IF($L122&gt;$K122,"Rendu en retard","Rendu"),IF(TODAY()&gt;$K122,"En retard","En cours")))</f>
        <v/>
      </c>
      <c r="N122" s="139">
        <f>IF(OR($F122="",$I122=""),"",MAX(0,IF($L122&lt;&gt;"",$L122,TODAY())-$K122))</f>
        <v/>
      </c>
      <c r="O122" s="135">
        <f>IF(OR($F122="",$I122=""),"",$N122*P_Amende)</f>
        <v/>
      </c>
      <c r="P122" s="133" t="n"/>
      <c r="R122">
        <f>IF($M122="En retard",$N122+ROW()/100000,"")</f>
        <v/>
      </c>
      <c r="S122">
        <f>IF(OR($F122="",$I122=""),"",$F122+ROW()/100000)</f>
        <v/>
      </c>
      <c r="T122">
        <f>IF($I122="","",IFERROR(INDEX(LIV_Cat,MATCH($I122,LIV_Code,0)),""))</f>
        <v/>
      </c>
    </row>
    <row r="123" ht="21" customHeight="1">
      <c r="A123" s="1" t="n"/>
      <c r="B123" s="1" t="n"/>
      <c r="C123" s="2" t="n"/>
      <c r="E123" s="130">
        <f>IF($F123="","","EMP-"&amp;TEXT(ROW()-6,"0000"))</f>
        <v/>
      </c>
      <c r="F123" s="134" t="n">
        <v>46176</v>
      </c>
      <c r="G123" s="127" t="inlineStr">
        <is>
          <t>MEM-010</t>
        </is>
      </c>
      <c r="H123" s="130">
        <f>IF($G123="","",IFERROR(INDEX(MEM_Nom,MATCH($G123,MEM_ID,0)),"⚠ ID inconnu"))</f>
        <v/>
      </c>
      <c r="I123" s="127" t="inlineStr">
        <is>
          <t>LIV-059</t>
        </is>
      </c>
      <c r="J123" s="130">
        <f>IF($I123="","",IFERROR(INDEX(LIV_Titre,MATCH($I123,LIV_Code,0)),"⚠ Code inconnu"))</f>
        <v/>
      </c>
      <c r="K123" s="138">
        <f>IF($F123="","",$F123+P_Duree)</f>
        <v/>
      </c>
      <c r="L123" s="134" t="n">
        <v>46190</v>
      </c>
      <c r="M123" s="130">
        <f>IF(OR($F123="",$I123=""),"",IF($L123&lt;&gt;"",IF($L123&gt;$K123,"Rendu en retard","Rendu"),IF(TODAY()&gt;$K123,"En retard","En cours")))</f>
        <v/>
      </c>
      <c r="N123" s="139">
        <f>IF(OR($F123="",$I123=""),"",MAX(0,IF($L123&lt;&gt;"",$L123,TODAY())-$K123))</f>
        <v/>
      </c>
      <c r="O123" s="135">
        <f>IF(OR($F123="",$I123=""),"",$N123*P_Amende)</f>
        <v/>
      </c>
      <c r="P123" s="133" t="n"/>
      <c r="R123">
        <f>IF($M123="En retard",$N123+ROW()/100000,"")</f>
        <v/>
      </c>
      <c r="S123">
        <f>IF(OR($F123="",$I123=""),"",$F123+ROW()/100000)</f>
        <v/>
      </c>
      <c r="T123">
        <f>IF($I123="","",IFERROR(INDEX(LIV_Cat,MATCH($I123,LIV_Code,0)),""))</f>
        <v/>
      </c>
    </row>
    <row r="124" ht="21" customHeight="1">
      <c r="A124" s="1" t="n"/>
      <c r="B124" s="1" t="n"/>
      <c r="C124" s="2" t="n"/>
      <c r="E124" s="130">
        <f>IF($F124="","","EMP-"&amp;TEXT(ROW()-6,"0000"))</f>
        <v/>
      </c>
      <c r="F124" s="134" t="n">
        <v>46177</v>
      </c>
      <c r="G124" s="127" t="inlineStr">
        <is>
          <t>MEM-018</t>
        </is>
      </c>
      <c r="H124" s="130">
        <f>IF($G124="","",IFERROR(INDEX(MEM_Nom,MATCH($G124,MEM_ID,0)),"⚠ ID inconnu"))</f>
        <v/>
      </c>
      <c r="I124" s="127" t="inlineStr">
        <is>
          <t>LIV-011</t>
        </is>
      </c>
      <c r="J124" s="130">
        <f>IF($I124="","",IFERROR(INDEX(LIV_Titre,MATCH($I124,LIV_Code,0)),"⚠ Code inconnu"))</f>
        <v/>
      </c>
      <c r="K124" s="138">
        <f>IF($F124="","",$F124+P_Duree)</f>
        <v/>
      </c>
      <c r="L124" s="134" t="n">
        <v>46190</v>
      </c>
      <c r="M124" s="130">
        <f>IF(OR($F124="",$I124=""),"",IF($L124&lt;&gt;"",IF($L124&gt;$K124,"Rendu en retard","Rendu"),IF(TODAY()&gt;$K124,"En retard","En cours")))</f>
        <v/>
      </c>
      <c r="N124" s="139">
        <f>IF(OR($F124="",$I124=""),"",MAX(0,IF($L124&lt;&gt;"",$L124,TODAY())-$K124))</f>
        <v/>
      </c>
      <c r="O124" s="135">
        <f>IF(OR($F124="",$I124=""),"",$N124*P_Amende)</f>
        <v/>
      </c>
      <c r="P124" s="133" t="n"/>
      <c r="R124">
        <f>IF($M124="En retard",$N124+ROW()/100000,"")</f>
        <v/>
      </c>
      <c r="S124">
        <f>IF(OR($F124="",$I124=""),"",$F124+ROW()/100000)</f>
        <v/>
      </c>
      <c r="T124">
        <f>IF($I124="","",IFERROR(INDEX(LIV_Cat,MATCH($I124,LIV_Code,0)),""))</f>
        <v/>
      </c>
    </row>
    <row r="125" ht="21" customHeight="1">
      <c r="A125" s="1" t="n"/>
      <c r="B125" s="1" t="n"/>
      <c r="C125" s="2" t="n"/>
      <c r="E125" s="130">
        <f>IF($F125="","","EMP-"&amp;TEXT(ROW()-6,"0000"))</f>
        <v/>
      </c>
      <c r="F125" s="134" t="n">
        <v>46177</v>
      </c>
      <c r="G125" s="127" t="inlineStr">
        <is>
          <t>MEM-031</t>
        </is>
      </c>
      <c r="H125" s="130">
        <f>IF($G125="","",IFERROR(INDEX(MEM_Nom,MATCH($G125,MEM_ID,0)),"⚠ ID inconnu"))</f>
        <v/>
      </c>
      <c r="I125" s="127" t="inlineStr">
        <is>
          <t>LIV-047</t>
        </is>
      </c>
      <c r="J125" s="130">
        <f>IF($I125="","",IFERROR(INDEX(LIV_Titre,MATCH($I125,LIV_Code,0)),"⚠ Code inconnu"))</f>
        <v/>
      </c>
      <c r="K125" s="138">
        <f>IF($F125="","",$F125+P_Duree)</f>
        <v/>
      </c>
      <c r="L125" s="134" t="n">
        <v>46186</v>
      </c>
      <c r="M125" s="130">
        <f>IF(OR($F125="",$I125=""),"",IF($L125&lt;&gt;"",IF($L125&gt;$K125,"Rendu en retard","Rendu"),IF(TODAY()&gt;$K125,"En retard","En cours")))</f>
        <v/>
      </c>
      <c r="N125" s="139">
        <f>IF(OR($F125="",$I125=""),"",MAX(0,IF($L125&lt;&gt;"",$L125,TODAY())-$K125))</f>
        <v/>
      </c>
      <c r="O125" s="135">
        <f>IF(OR($F125="",$I125=""),"",$N125*P_Amende)</f>
        <v/>
      </c>
      <c r="P125" s="133" t="n"/>
      <c r="R125">
        <f>IF($M125="En retard",$N125+ROW()/100000,"")</f>
        <v/>
      </c>
      <c r="S125">
        <f>IF(OR($F125="",$I125=""),"",$F125+ROW()/100000)</f>
        <v/>
      </c>
      <c r="T125">
        <f>IF($I125="","",IFERROR(INDEX(LIV_Cat,MATCH($I125,LIV_Code,0)),""))</f>
        <v/>
      </c>
    </row>
    <row r="126" ht="21" customHeight="1">
      <c r="A126" s="1" t="n"/>
      <c r="B126" s="1" t="n"/>
      <c r="C126" s="2" t="n"/>
      <c r="E126" s="130">
        <f>IF($F126="","","EMP-"&amp;TEXT(ROW()-6,"0000"))</f>
        <v/>
      </c>
      <c r="F126" s="134" t="n">
        <v>46178</v>
      </c>
      <c r="G126" s="127" t="inlineStr">
        <is>
          <t>MEM-025</t>
        </is>
      </c>
      <c r="H126" s="130">
        <f>IF($G126="","",IFERROR(INDEX(MEM_Nom,MATCH($G126,MEM_ID,0)),"⚠ ID inconnu"))</f>
        <v/>
      </c>
      <c r="I126" s="127" t="inlineStr">
        <is>
          <t>LIV-029</t>
        </is>
      </c>
      <c r="J126" s="130">
        <f>IF($I126="","",IFERROR(INDEX(LIV_Titre,MATCH($I126,LIV_Code,0)),"⚠ Code inconnu"))</f>
        <v/>
      </c>
      <c r="K126" s="138">
        <f>IF($F126="","",$F126+P_Duree)</f>
        <v/>
      </c>
      <c r="L126" s="134" t="n">
        <v>46187</v>
      </c>
      <c r="M126" s="130">
        <f>IF(OR($F126="",$I126=""),"",IF($L126&lt;&gt;"",IF($L126&gt;$K126,"Rendu en retard","Rendu"),IF(TODAY()&gt;$K126,"En retard","En cours")))</f>
        <v/>
      </c>
      <c r="N126" s="139">
        <f>IF(OR($F126="",$I126=""),"",MAX(0,IF($L126&lt;&gt;"",$L126,TODAY())-$K126))</f>
        <v/>
      </c>
      <c r="O126" s="135">
        <f>IF(OR($F126="",$I126=""),"",$N126*P_Amende)</f>
        <v/>
      </c>
      <c r="P126" s="133" t="n"/>
      <c r="R126">
        <f>IF($M126="En retard",$N126+ROW()/100000,"")</f>
        <v/>
      </c>
      <c r="S126">
        <f>IF(OR($F126="",$I126=""),"",$F126+ROW()/100000)</f>
        <v/>
      </c>
      <c r="T126">
        <f>IF($I126="","",IFERROR(INDEX(LIV_Cat,MATCH($I126,LIV_Code,0)),""))</f>
        <v/>
      </c>
    </row>
    <row r="127" ht="21" customHeight="1">
      <c r="A127" s="1" t="n"/>
      <c r="B127" s="1" t="n"/>
      <c r="C127" s="2" t="n"/>
      <c r="E127" s="130">
        <f>IF($F127="","","EMP-"&amp;TEXT(ROW()-6,"0000"))</f>
        <v/>
      </c>
      <c r="F127" s="134" t="n">
        <v>46181</v>
      </c>
      <c r="G127" s="127" t="inlineStr">
        <is>
          <t>MEM-009</t>
        </is>
      </c>
      <c r="H127" s="130">
        <f>IF($G127="","",IFERROR(INDEX(MEM_Nom,MATCH($G127,MEM_ID,0)),"⚠ ID inconnu"))</f>
        <v/>
      </c>
      <c r="I127" s="127" t="inlineStr">
        <is>
          <t>LIV-025</t>
        </is>
      </c>
      <c r="J127" s="130">
        <f>IF($I127="","",IFERROR(INDEX(LIV_Titre,MATCH($I127,LIV_Code,0)),"⚠ Code inconnu"))</f>
        <v/>
      </c>
      <c r="K127" s="138">
        <f>IF($F127="","",$F127+P_Duree)</f>
        <v/>
      </c>
      <c r="L127" s="134" t="n">
        <v>46187</v>
      </c>
      <c r="M127" s="130">
        <f>IF(OR($F127="",$I127=""),"",IF($L127&lt;&gt;"",IF($L127&gt;$K127,"Rendu en retard","Rendu"),IF(TODAY()&gt;$K127,"En retard","En cours")))</f>
        <v/>
      </c>
      <c r="N127" s="139">
        <f>IF(OR($F127="",$I127=""),"",MAX(0,IF($L127&lt;&gt;"",$L127,TODAY())-$K127))</f>
        <v/>
      </c>
      <c r="O127" s="135">
        <f>IF(OR($F127="",$I127=""),"",$N127*P_Amende)</f>
        <v/>
      </c>
      <c r="P127" s="133" t="n"/>
      <c r="R127">
        <f>IF($M127="En retard",$N127+ROW()/100000,"")</f>
        <v/>
      </c>
      <c r="S127">
        <f>IF(OR($F127="",$I127=""),"",$F127+ROW()/100000)</f>
        <v/>
      </c>
      <c r="T127">
        <f>IF($I127="","",IFERROR(INDEX(LIV_Cat,MATCH($I127,LIV_Code,0)),""))</f>
        <v/>
      </c>
    </row>
    <row r="128" ht="21" customHeight="1">
      <c r="A128" s="1" t="n"/>
      <c r="B128" s="1" t="n"/>
      <c r="C128" s="2" t="n"/>
      <c r="E128" s="130">
        <f>IF($F128="","","EMP-"&amp;TEXT(ROW()-6,"0000"))</f>
        <v/>
      </c>
      <c r="F128" s="134" t="n">
        <v>46183</v>
      </c>
      <c r="G128" s="127" t="inlineStr">
        <is>
          <t>MEM-033</t>
        </is>
      </c>
      <c r="H128" s="130">
        <f>IF($G128="","",IFERROR(INDEX(MEM_Nom,MATCH($G128,MEM_ID,0)),"⚠ ID inconnu"))</f>
        <v/>
      </c>
      <c r="I128" s="127" t="inlineStr">
        <is>
          <t>LIV-014</t>
        </is>
      </c>
      <c r="J128" s="130">
        <f>IF($I128="","",IFERROR(INDEX(LIV_Titre,MATCH($I128,LIV_Code,0)),"⚠ Code inconnu"))</f>
        <v/>
      </c>
      <c r="K128" s="138">
        <f>IF($F128="","",$F128+P_Duree)</f>
        <v/>
      </c>
      <c r="L128" s="134" t="n">
        <v>46193</v>
      </c>
      <c r="M128" s="130">
        <f>IF(OR($F128="",$I128=""),"",IF($L128&lt;&gt;"",IF($L128&gt;$K128,"Rendu en retard","Rendu"),IF(TODAY()&gt;$K128,"En retard","En cours")))</f>
        <v/>
      </c>
      <c r="N128" s="139">
        <f>IF(OR($F128="",$I128=""),"",MAX(0,IF($L128&lt;&gt;"",$L128,TODAY())-$K128))</f>
        <v/>
      </c>
      <c r="O128" s="135">
        <f>IF(OR($F128="",$I128=""),"",$N128*P_Amende)</f>
        <v/>
      </c>
      <c r="P128" s="133" t="n"/>
      <c r="R128">
        <f>IF($M128="En retard",$N128+ROW()/100000,"")</f>
        <v/>
      </c>
      <c r="S128">
        <f>IF(OR($F128="",$I128=""),"",$F128+ROW()/100000)</f>
        <v/>
      </c>
      <c r="T128">
        <f>IF($I128="","",IFERROR(INDEX(LIV_Cat,MATCH($I128,LIV_Code,0)),""))</f>
        <v/>
      </c>
    </row>
    <row r="129" ht="21" customHeight="1">
      <c r="A129" s="1" t="n"/>
      <c r="B129" s="1" t="n"/>
      <c r="C129" s="2" t="n"/>
      <c r="E129" s="130">
        <f>IF($F129="","","EMP-"&amp;TEXT(ROW()-6,"0000"))</f>
        <v/>
      </c>
      <c r="F129" s="134" t="n">
        <v>46188</v>
      </c>
      <c r="G129" s="127" t="inlineStr">
        <is>
          <t>MEM-038</t>
        </is>
      </c>
      <c r="H129" s="130">
        <f>IF($G129="","",IFERROR(INDEX(MEM_Nom,MATCH($G129,MEM_ID,0)),"⚠ ID inconnu"))</f>
        <v/>
      </c>
      <c r="I129" s="127" t="inlineStr">
        <is>
          <t>LIV-012</t>
        </is>
      </c>
      <c r="J129" s="130">
        <f>IF($I129="","",IFERROR(INDEX(LIV_Titre,MATCH($I129,LIV_Code,0)),"⚠ Code inconnu"))</f>
        <v/>
      </c>
      <c r="K129" s="138">
        <f>IF($F129="","",$F129+P_Duree)</f>
        <v/>
      </c>
      <c r="L129" s="134" t="n">
        <v>46204</v>
      </c>
      <c r="M129" s="130">
        <f>IF(OR($F129="",$I129=""),"",IF($L129&lt;&gt;"",IF($L129&gt;$K129,"Rendu en retard","Rendu"),IF(TODAY()&gt;$K129,"En retard","En cours")))</f>
        <v/>
      </c>
      <c r="N129" s="139">
        <f>IF(OR($F129="",$I129=""),"",MAX(0,IF($L129&lt;&gt;"",$L129,TODAY())-$K129))</f>
        <v/>
      </c>
      <c r="O129" s="135">
        <f>IF(OR($F129="",$I129=""),"",$N129*P_Amende)</f>
        <v/>
      </c>
      <c r="P129" s="133" t="inlineStr">
        <is>
          <t>Oui</t>
        </is>
      </c>
      <c r="R129">
        <f>IF($M129="En retard",$N129+ROW()/100000,"")</f>
        <v/>
      </c>
      <c r="S129">
        <f>IF(OR($F129="",$I129=""),"",$F129+ROW()/100000)</f>
        <v/>
      </c>
      <c r="T129">
        <f>IF($I129="","",IFERROR(INDEX(LIV_Cat,MATCH($I129,LIV_Code,0)),""))</f>
        <v/>
      </c>
    </row>
    <row r="130" ht="21" customHeight="1">
      <c r="A130" s="1" t="n"/>
      <c r="B130" s="1" t="n"/>
      <c r="C130" s="2" t="n"/>
      <c r="E130" s="130">
        <f>IF($F130="","","EMP-"&amp;TEXT(ROW()-6,"0000"))</f>
        <v/>
      </c>
      <c r="F130" s="134" t="n">
        <v>46188</v>
      </c>
      <c r="G130" s="127" t="inlineStr">
        <is>
          <t>MEM-032</t>
        </is>
      </c>
      <c r="H130" s="130">
        <f>IF($G130="","",IFERROR(INDEX(MEM_Nom,MATCH($G130,MEM_ID,0)),"⚠ ID inconnu"))</f>
        <v/>
      </c>
      <c r="I130" s="127" t="inlineStr">
        <is>
          <t>LIV-060</t>
        </is>
      </c>
      <c r="J130" s="130">
        <f>IF($I130="","",IFERROR(INDEX(LIV_Titre,MATCH($I130,LIV_Code,0)),"⚠ Code inconnu"))</f>
        <v/>
      </c>
      <c r="K130" s="138">
        <f>IF($F130="","",$F130+P_Duree)</f>
        <v/>
      </c>
      <c r="L130" s="134" t="n">
        <v>46195</v>
      </c>
      <c r="M130" s="130">
        <f>IF(OR($F130="",$I130=""),"",IF($L130&lt;&gt;"",IF($L130&gt;$K130,"Rendu en retard","Rendu"),IF(TODAY()&gt;$K130,"En retard","En cours")))</f>
        <v/>
      </c>
      <c r="N130" s="139">
        <f>IF(OR($F130="",$I130=""),"",MAX(0,IF($L130&lt;&gt;"",$L130,TODAY())-$K130))</f>
        <v/>
      </c>
      <c r="O130" s="135">
        <f>IF(OR($F130="",$I130=""),"",$N130*P_Amende)</f>
        <v/>
      </c>
      <c r="P130" s="133" t="n"/>
      <c r="R130">
        <f>IF($M130="En retard",$N130+ROW()/100000,"")</f>
        <v/>
      </c>
      <c r="S130">
        <f>IF(OR($F130="",$I130=""),"",$F130+ROW()/100000)</f>
        <v/>
      </c>
      <c r="T130">
        <f>IF($I130="","",IFERROR(INDEX(LIV_Cat,MATCH($I130,LIV_Code,0)),""))</f>
        <v/>
      </c>
    </row>
    <row r="131" ht="21" customHeight="1">
      <c r="A131" s="1" t="n"/>
      <c r="B131" s="1" t="n"/>
      <c r="C131" s="2" t="n"/>
      <c r="E131" s="130">
        <f>IF($F131="","","EMP-"&amp;TEXT(ROW()-6,"0000"))</f>
        <v/>
      </c>
      <c r="F131" s="134" t="n">
        <v>46189</v>
      </c>
      <c r="G131" s="127" t="inlineStr">
        <is>
          <t>MEM-023</t>
        </is>
      </c>
      <c r="H131" s="130">
        <f>IF($G131="","",IFERROR(INDEX(MEM_Nom,MATCH($G131,MEM_ID,0)),"⚠ ID inconnu"))</f>
        <v/>
      </c>
      <c r="I131" s="127" t="inlineStr">
        <is>
          <t>LIV-029</t>
        </is>
      </c>
      <c r="J131" s="130">
        <f>IF($I131="","",IFERROR(INDEX(LIV_Titre,MATCH($I131,LIV_Code,0)),"⚠ Code inconnu"))</f>
        <v/>
      </c>
      <c r="K131" s="138">
        <f>IF($F131="","",$F131+P_Duree)</f>
        <v/>
      </c>
      <c r="L131" s="134" t="n">
        <v>46201</v>
      </c>
      <c r="M131" s="130">
        <f>IF(OR($F131="",$I131=""),"",IF($L131&lt;&gt;"",IF($L131&gt;$K131,"Rendu en retard","Rendu"),IF(TODAY()&gt;$K131,"En retard","En cours")))</f>
        <v/>
      </c>
      <c r="N131" s="139">
        <f>IF(OR($F131="",$I131=""),"",MAX(0,IF($L131&lt;&gt;"",$L131,TODAY())-$K131))</f>
        <v/>
      </c>
      <c r="O131" s="135">
        <f>IF(OR($F131="",$I131=""),"",$N131*P_Amende)</f>
        <v/>
      </c>
      <c r="P131" s="133" t="n"/>
      <c r="R131">
        <f>IF($M131="En retard",$N131+ROW()/100000,"")</f>
        <v/>
      </c>
      <c r="S131">
        <f>IF(OR($F131="",$I131=""),"",$F131+ROW()/100000)</f>
        <v/>
      </c>
      <c r="T131">
        <f>IF($I131="","",IFERROR(INDEX(LIV_Cat,MATCH($I131,LIV_Code,0)),""))</f>
        <v/>
      </c>
    </row>
    <row r="132" ht="21" customHeight="1">
      <c r="A132" s="1" t="n"/>
      <c r="B132" s="1" t="n"/>
      <c r="C132" s="2" t="n"/>
      <c r="E132" s="130">
        <f>IF($F132="","","EMP-"&amp;TEXT(ROW()-6,"0000"))</f>
        <v/>
      </c>
      <c r="F132" s="134" t="n">
        <v>46190</v>
      </c>
      <c r="G132" s="127" t="inlineStr">
        <is>
          <t>MEM-025</t>
        </is>
      </c>
      <c r="H132" s="130">
        <f>IF($G132="","",IFERROR(INDEX(MEM_Nom,MATCH($G132,MEM_ID,0)),"⚠ ID inconnu"))</f>
        <v/>
      </c>
      <c r="I132" s="127" t="inlineStr">
        <is>
          <t>LIV-044</t>
        </is>
      </c>
      <c r="J132" s="130">
        <f>IF($I132="","",IFERROR(INDEX(LIV_Titre,MATCH($I132,LIV_Code,0)),"⚠ Code inconnu"))</f>
        <v/>
      </c>
      <c r="K132" s="138">
        <f>IF($F132="","",$F132+P_Duree)</f>
        <v/>
      </c>
      <c r="L132" s="134" t="n">
        <v>46204</v>
      </c>
      <c r="M132" s="130">
        <f>IF(OR($F132="",$I132=""),"",IF($L132&lt;&gt;"",IF($L132&gt;$K132,"Rendu en retard","Rendu"),IF(TODAY()&gt;$K132,"En retard","En cours")))</f>
        <v/>
      </c>
      <c r="N132" s="139">
        <f>IF(OR($F132="",$I132=""),"",MAX(0,IF($L132&lt;&gt;"",$L132,TODAY())-$K132))</f>
        <v/>
      </c>
      <c r="O132" s="135">
        <f>IF(OR($F132="",$I132=""),"",$N132*P_Amende)</f>
        <v/>
      </c>
      <c r="P132" s="133" t="n"/>
      <c r="R132">
        <f>IF($M132="En retard",$N132+ROW()/100000,"")</f>
        <v/>
      </c>
      <c r="S132">
        <f>IF(OR($F132="",$I132=""),"",$F132+ROW()/100000)</f>
        <v/>
      </c>
      <c r="T132">
        <f>IF($I132="","",IFERROR(INDEX(LIV_Cat,MATCH($I132,LIV_Code,0)),""))</f>
        <v/>
      </c>
    </row>
    <row r="133" ht="21" customHeight="1">
      <c r="A133" s="1" t="n"/>
      <c r="B133" s="1" t="n"/>
      <c r="C133" s="2" t="n"/>
      <c r="E133" s="130">
        <f>IF($F133="","","EMP-"&amp;TEXT(ROW()-6,"0000"))</f>
        <v/>
      </c>
      <c r="F133" s="134" t="n">
        <v>46195</v>
      </c>
      <c r="G133" s="127" t="inlineStr">
        <is>
          <t>MEM-025</t>
        </is>
      </c>
      <c r="H133" s="130">
        <f>IF($G133="","",IFERROR(INDEX(MEM_Nom,MATCH($G133,MEM_ID,0)),"⚠ ID inconnu"))</f>
        <v/>
      </c>
      <c r="I133" s="127" t="inlineStr">
        <is>
          <t>LIV-010</t>
        </is>
      </c>
      <c r="J133" s="130">
        <f>IF($I133="","",IFERROR(INDEX(LIV_Titre,MATCH($I133,LIV_Code,0)),"⚠ Code inconnu"))</f>
        <v/>
      </c>
      <c r="K133" s="138">
        <f>IF($F133="","",$F133+P_Duree)</f>
        <v/>
      </c>
      <c r="L133" s="134" t="n">
        <v>46204</v>
      </c>
      <c r="M133" s="130">
        <f>IF(OR($F133="",$I133=""),"",IF($L133&lt;&gt;"",IF($L133&gt;$K133,"Rendu en retard","Rendu"),IF(TODAY()&gt;$K133,"En retard","En cours")))</f>
        <v/>
      </c>
      <c r="N133" s="139">
        <f>IF(OR($F133="",$I133=""),"",MAX(0,IF($L133&lt;&gt;"",$L133,TODAY())-$K133))</f>
        <v/>
      </c>
      <c r="O133" s="135">
        <f>IF(OR($F133="",$I133=""),"",$N133*P_Amende)</f>
        <v/>
      </c>
      <c r="P133" s="133" t="n"/>
      <c r="R133">
        <f>IF($M133="En retard",$N133+ROW()/100000,"")</f>
        <v/>
      </c>
      <c r="S133">
        <f>IF(OR($F133="",$I133=""),"",$F133+ROW()/100000)</f>
        <v/>
      </c>
      <c r="T133">
        <f>IF($I133="","",IFERROR(INDEX(LIV_Cat,MATCH($I133,LIV_Code,0)),""))</f>
        <v/>
      </c>
    </row>
    <row r="134" ht="21" customHeight="1">
      <c r="A134" s="1" t="n"/>
      <c r="B134" s="1" t="n"/>
      <c r="C134" s="2" t="n"/>
      <c r="E134" s="130">
        <f>IF($F134="","","EMP-"&amp;TEXT(ROW()-6,"0000"))</f>
        <v/>
      </c>
      <c r="F134" s="134" t="n">
        <v>46195</v>
      </c>
      <c r="G134" s="127" t="inlineStr">
        <is>
          <t>MEM-027</t>
        </is>
      </c>
      <c r="H134" s="130">
        <f>IF($G134="","",IFERROR(INDEX(MEM_Nom,MATCH($G134,MEM_ID,0)),"⚠ ID inconnu"))</f>
        <v/>
      </c>
      <c r="I134" s="127" t="inlineStr">
        <is>
          <t>LIV-050</t>
        </is>
      </c>
      <c r="J134" s="130">
        <f>IF($I134="","",IFERROR(INDEX(LIV_Titre,MATCH($I134,LIV_Code,0)),"⚠ Code inconnu"))</f>
        <v/>
      </c>
      <c r="K134" s="138">
        <f>IF($F134="","",$F134+P_Duree)</f>
        <v/>
      </c>
      <c r="L134" s="134" t="n">
        <v>46199</v>
      </c>
      <c r="M134" s="130">
        <f>IF(OR($F134="",$I134=""),"",IF($L134&lt;&gt;"",IF($L134&gt;$K134,"Rendu en retard","Rendu"),IF(TODAY()&gt;$K134,"En retard","En cours")))</f>
        <v/>
      </c>
      <c r="N134" s="139">
        <f>IF(OR($F134="",$I134=""),"",MAX(0,IF($L134&lt;&gt;"",$L134,TODAY())-$K134))</f>
        <v/>
      </c>
      <c r="O134" s="135">
        <f>IF(OR($F134="",$I134=""),"",$N134*P_Amende)</f>
        <v/>
      </c>
      <c r="P134" s="133" t="n"/>
      <c r="R134">
        <f>IF($M134="En retard",$N134+ROW()/100000,"")</f>
        <v/>
      </c>
      <c r="S134">
        <f>IF(OR($F134="",$I134=""),"",$F134+ROW()/100000)</f>
        <v/>
      </c>
      <c r="T134">
        <f>IF($I134="","",IFERROR(INDEX(LIV_Cat,MATCH($I134,LIV_Code,0)),""))</f>
        <v/>
      </c>
    </row>
    <row r="135" ht="21" customHeight="1">
      <c r="A135" s="1" t="n"/>
      <c r="B135" s="1" t="n"/>
      <c r="C135" s="2" t="n"/>
      <c r="E135" s="130">
        <f>IF($F135="","","EMP-"&amp;TEXT(ROW()-6,"0000"))</f>
        <v/>
      </c>
      <c r="F135" s="134" t="n">
        <v>46197</v>
      </c>
      <c r="G135" s="127" t="inlineStr">
        <is>
          <t>MEM-025</t>
        </is>
      </c>
      <c r="H135" s="130">
        <f>IF($G135="","",IFERROR(INDEX(MEM_Nom,MATCH($G135,MEM_ID,0)),"⚠ ID inconnu"))</f>
        <v/>
      </c>
      <c r="I135" s="127" t="inlineStr">
        <is>
          <t>LIV-023</t>
        </is>
      </c>
      <c r="J135" s="130">
        <f>IF($I135="","",IFERROR(INDEX(LIV_Titre,MATCH($I135,LIV_Code,0)),"⚠ Code inconnu"))</f>
        <v/>
      </c>
      <c r="K135" s="138">
        <f>IF($F135="","",$F135+P_Duree)</f>
        <v/>
      </c>
      <c r="L135" s="134" t="n">
        <v>46210</v>
      </c>
      <c r="M135" s="130">
        <f>IF(OR($F135="",$I135=""),"",IF($L135&lt;&gt;"",IF($L135&gt;$K135,"Rendu en retard","Rendu"),IF(TODAY()&gt;$K135,"En retard","En cours")))</f>
        <v/>
      </c>
      <c r="N135" s="139">
        <f>IF(OR($F135="",$I135=""),"",MAX(0,IF($L135&lt;&gt;"",$L135,TODAY())-$K135))</f>
        <v/>
      </c>
      <c r="O135" s="135">
        <f>IF(OR($F135="",$I135=""),"",$N135*P_Amende)</f>
        <v/>
      </c>
      <c r="P135" s="133" t="n"/>
      <c r="R135">
        <f>IF($M135="En retard",$N135+ROW()/100000,"")</f>
        <v/>
      </c>
      <c r="S135">
        <f>IF(OR($F135="",$I135=""),"",$F135+ROW()/100000)</f>
        <v/>
      </c>
      <c r="T135">
        <f>IF($I135="","",IFERROR(INDEX(LIV_Cat,MATCH($I135,LIV_Code,0)),""))</f>
        <v/>
      </c>
    </row>
    <row r="136" ht="21" customHeight="1">
      <c r="A136" s="1" t="n"/>
      <c r="B136" s="1" t="n"/>
      <c r="C136" s="2" t="n"/>
      <c r="E136" s="130">
        <f>IF($F136="","","EMP-"&amp;TEXT(ROW()-6,"0000"))</f>
        <v/>
      </c>
      <c r="F136" s="134" t="n">
        <v>46197</v>
      </c>
      <c r="G136" s="127" t="inlineStr">
        <is>
          <t>MEM-010</t>
        </is>
      </c>
      <c r="H136" s="130">
        <f>IF($G136="","",IFERROR(INDEX(MEM_Nom,MATCH($G136,MEM_ID,0)),"⚠ ID inconnu"))</f>
        <v/>
      </c>
      <c r="I136" s="127" t="inlineStr">
        <is>
          <t>LIV-059</t>
        </is>
      </c>
      <c r="J136" s="130">
        <f>IF($I136="","",IFERROR(INDEX(LIV_Titre,MATCH($I136,LIV_Code,0)),"⚠ Code inconnu"))</f>
        <v/>
      </c>
      <c r="K136" s="138">
        <f>IF($F136="","",$F136+P_Duree)</f>
        <v/>
      </c>
      <c r="L136" s="134" t="n">
        <v>46211</v>
      </c>
      <c r="M136" s="130">
        <f>IF(OR($F136="",$I136=""),"",IF($L136&lt;&gt;"",IF($L136&gt;$K136,"Rendu en retard","Rendu"),IF(TODAY()&gt;$K136,"En retard","En cours")))</f>
        <v/>
      </c>
      <c r="N136" s="139">
        <f>IF(OR($F136="",$I136=""),"",MAX(0,IF($L136&lt;&gt;"",$L136,TODAY())-$K136))</f>
        <v/>
      </c>
      <c r="O136" s="135">
        <f>IF(OR($F136="",$I136=""),"",$N136*P_Amende)</f>
        <v/>
      </c>
      <c r="P136" s="133" t="n"/>
      <c r="R136">
        <f>IF($M136="En retard",$N136+ROW()/100000,"")</f>
        <v/>
      </c>
      <c r="S136">
        <f>IF(OR($F136="",$I136=""),"",$F136+ROW()/100000)</f>
        <v/>
      </c>
      <c r="T136">
        <f>IF($I136="","",IFERROR(INDEX(LIV_Cat,MATCH($I136,LIV_Code,0)),""))</f>
        <v/>
      </c>
    </row>
    <row r="137" ht="21" customHeight="1">
      <c r="A137" s="1" t="n"/>
      <c r="B137" s="1" t="n"/>
      <c r="C137" s="2" t="n"/>
      <c r="E137" s="130">
        <f>IF($F137="","","EMP-"&amp;TEXT(ROW()-6,"0000"))</f>
        <v/>
      </c>
      <c r="F137" s="134" t="n">
        <v>46202</v>
      </c>
      <c r="G137" s="127" t="inlineStr">
        <is>
          <t>MEM-022</t>
        </is>
      </c>
      <c r="H137" s="130">
        <f>IF($G137="","",IFERROR(INDEX(MEM_Nom,MATCH($G137,MEM_ID,0)),"⚠ ID inconnu"))</f>
        <v/>
      </c>
      <c r="I137" s="127" t="inlineStr">
        <is>
          <t>LIV-059</t>
        </is>
      </c>
      <c r="J137" s="130">
        <f>IF($I137="","",IFERROR(INDEX(LIV_Titre,MATCH($I137,LIV_Code,0)),"⚠ Code inconnu"))</f>
        <v/>
      </c>
      <c r="K137" s="138">
        <f>IF($F137="","",$F137+P_Duree)</f>
        <v/>
      </c>
      <c r="L137" s="134" t="n">
        <v>46208</v>
      </c>
      <c r="M137" s="130">
        <f>IF(OR($F137="",$I137=""),"",IF($L137&lt;&gt;"",IF($L137&gt;$K137,"Rendu en retard","Rendu"),IF(TODAY()&gt;$K137,"En retard","En cours")))</f>
        <v/>
      </c>
      <c r="N137" s="139">
        <f>IF(OR($F137="",$I137=""),"",MAX(0,IF($L137&lt;&gt;"",$L137,TODAY())-$K137))</f>
        <v/>
      </c>
      <c r="O137" s="135">
        <f>IF(OR($F137="",$I137=""),"",$N137*P_Amende)</f>
        <v/>
      </c>
      <c r="P137" s="133" t="n"/>
      <c r="R137">
        <f>IF($M137="En retard",$N137+ROW()/100000,"")</f>
        <v/>
      </c>
      <c r="S137">
        <f>IF(OR($F137="",$I137=""),"",$F137+ROW()/100000)</f>
        <v/>
      </c>
      <c r="T137">
        <f>IF($I137="","",IFERROR(INDEX(LIV_Cat,MATCH($I137,LIV_Code,0)),""))</f>
        <v/>
      </c>
    </row>
    <row r="138" ht="21" customHeight="1">
      <c r="A138" s="1" t="n"/>
      <c r="B138" s="1" t="n"/>
      <c r="C138" s="2" t="n"/>
      <c r="E138" s="130">
        <f>IF($F138="","","EMP-"&amp;TEXT(ROW()-6,"0000"))</f>
        <v/>
      </c>
      <c r="F138" s="134" t="n">
        <v>46203</v>
      </c>
      <c r="G138" s="127" t="inlineStr">
        <is>
          <t>MEM-030</t>
        </is>
      </c>
      <c r="H138" s="130">
        <f>IF($G138="","",IFERROR(INDEX(MEM_Nom,MATCH($G138,MEM_ID,0)),"⚠ ID inconnu"))</f>
        <v/>
      </c>
      <c r="I138" s="127" t="inlineStr">
        <is>
          <t>LIV-003</t>
        </is>
      </c>
      <c r="J138" s="130">
        <f>IF($I138="","",IFERROR(INDEX(LIV_Titre,MATCH($I138,LIV_Code,0)),"⚠ Code inconnu"))</f>
        <v/>
      </c>
      <c r="K138" s="138">
        <f>IF($F138="","",$F138+P_Duree)</f>
        <v/>
      </c>
      <c r="L138" s="134" t="n">
        <v>46207</v>
      </c>
      <c r="M138" s="130">
        <f>IF(OR($F138="",$I138=""),"",IF($L138&lt;&gt;"",IF($L138&gt;$K138,"Rendu en retard","Rendu"),IF(TODAY()&gt;$K138,"En retard","En cours")))</f>
        <v/>
      </c>
      <c r="N138" s="139">
        <f>IF(OR($F138="",$I138=""),"",MAX(0,IF($L138&lt;&gt;"",$L138,TODAY())-$K138))</f>
        <v/>
      </c>
      <c r="O138" s="135">
        <f>IF(OR($F138="",$I138=""),"",$N138*P_Amende)</f>
        <v/>
      </c>
      <c r="P138" s="133" t="n"/>
      <c r="R138">
        <f>IF($M138="En retard",$N138+ROW()/100000,"")</f>
        <v/>
      </c>
      <c r="S138">
        <f>IF(OR($F138="",$I138=""),"",$F138+ROW()/100000)</f>
        <v/>
      </c>
      <c r="T138">
        <f>IF($I138="","",IFERROR(INDEX(LIV_Cat,MATCH($I138,LIV_Code,0)),""))</f>
        <v/>
      </c>
    </row>
    <row r="139" ht="21" customHeight="1">
      <c r="A139" s="1" t="n"/>
      <c r="B139" s="1" t="n"/>
      <c r="C139" s="2" t="n"/>
      <c r="E139" s="130">
        <f>IF($F139="","","EMP-"&amp;TEXT(ROW()-6,"0000"))</f>
        <v/>
      </c>
      <c r="F139" s="134" t="n">
        <v>46220</v>
      </c>
      <c r="G139" s="127" t="inlineStr">
        <is>
          <t>MEM-032</t>
        </is>
      </c>
      <c r="H139" s="130">
        <f>IF($G139="","",IFERROR(INDEX(MEM_Nom,MATCH($G139,MEM_ID,0)),"⚠ ID inconnu"))</f>
        <v/>
      </c>
      <c r="I139" s="127" t="inlineStr">
        <is>
          <t>LIV-039</t>
        </is>
      </c>
      <c r="J139" s="130">
        <f>IF($I139="","",IFERROR(INDEX(LIV_Titre,MATCH($I139,LIV_Code,0)),"⚠ Code inconnu"))</f>
        <v/>
      </c>
      <c r="K139" s="138">
        <f>IF($F139="","",$F139+P_Duree)</f>
        <v/>
      </c>
      <c r="L139" s="134" t="n">
        <v>46234</v>
      </c>
      <c r="M139" s="130">
        <f>IF(OR($F139="",$I139=""),"",IF($L139&lt;&gt;"",IF($L139&gt;$K139,"Rendu en retard","Rendu"),IF(TODAY()&gt;$K139,"En retard","En cours")))</f>
        <v/>
      </c>
      <c r="N139" s="139">
        <f>IF(OR($F139="",$I139=""),"",MAX(0,IF($L139&lt;&gt;"",$L139,TODAY())-$K139))</f>
        <v/>
      </c>
      <c r="O139" s="135">
        <f>IF(OR($F139="",$I139=""),"",$N139*P_Amende)</f>
        <v/>
      </c>
      <c r="P139" s="133" t="n"/>
      <c r="R139">
        <f>IF($M139="En retard",$N139+ROW()/100000,"")</f>
        <v/>
      </c>
      <c r="S139">
        <f>IF(OR($F139="",$I139=""),"",$F139+ROW()/100000)</f>
        <v/>
      </c>
      <c r="T139">
        <f>IF($I139="","",IFERROR(INDEX(LIV_Cat,MATCH($I139,LIV_Code,0)),""))</f>
        <v/>
      </c>
    </row>
    <row r="140" ht="21" customHeight="1">
      <c r="A140" s="1" t="n"/>
      <c r="B140" s="1" t="n"/>
      <c r="C140" s="2" t="n"/>
      <c r="E140" s="130">
        <f>IF($F140="","","EMP-"&amp;TEXT(ROW()-6,"0000"))</f>
        <v/>
      </c>
      <c r="F140" s="134" t="n">
        <v>46220</v>
      </c>
      <c r="G140" s="127" t="inlineStr">
        <is>
          <t>MEM-005</t>
        </is>
      </c>
      <c r="H140" s="130">
        <f>IF($G140="","",IFERROR(INDEX(MEM_Nom,MATCH($G140,MEM_ID,0)),"⚠ ID inconnu"))</f>
        <v/>
      </c>
      <c r="I140" s="127" t="inlineStr">
        <is>
          <t>LIV-001</t>
        </is>
      </c>
      <c r="J140" s="130">
        <f>IF($I140="","",IFERROR(INDEX(LIV_Titre,MATCH($I140,LIV_Code,0)),"⚠ Code inconnu"))</f>
        <v/>
      </c>
      <c r="K140" s="138">
        <f>IF($F140="","",$F140+P_Duree)</f>
        <v/>
      </c>
      <c r="L140" s="134" t="n">
        <v>46229</v>
      </c>
      <c r="M140" s="130">
        <f>IF(OR($F140="",$I140=""),"",IF($L140&lt;&gt;"",IF($L140&gt;$K140,"Rendu en retard","Rendu"),IF(TODAY()&gt;$K140,"En retard","En cours")))</f>
        <v/>
      </c>
      <c r="N140" s="139">
        <f>IF(OR($F140="",$I140=""),"",MAX(0,IF($L140&lt;&gt;"",$L140,TODAY())-$K140))</f>
        <v/>
      </c>
      <c r="O140" s="135">
        <f>IF(OR($F140="",$I140=""),"",$N140*P_Amende)</f>
        <v/>
      </c>
      <c r="P140" s="133" t="n"/>
      <c r="R140">
        <f>IF($M140="En retard",$N140+ROW()/100000,"")</f>
        <v/>
      </c>
      <c r="S140">
        <f>IF(OR($F140="",$I140=""),"",$F140+ROW()/100000)</f>
        <v/>
      </c>
      <c r="T140">
        <f>IF($I140="","",IFERROR(INDEX(LIV_Cat,MATCH($I140,LIV_Code,0)),""))</f>
        <v/>
      </c>
    </row>
    <row r="141" ht="21" customHeight="1">
      <c r="A141" s="1" t="n"/>
      <c r="B141" s="1" t="n"/>
      <c r="C141" s="2" t="n"/>
      <c r="E141" s="130">
        <f>IF($F141="","","EMP-"&amp;TEXT(ROW()-6,"0000"))</f>
        <v/>
      </c>
      <c r="F141" s="134" t="n">
        <v>46231</v>
      </c>
      <c r="G141" s="127" t="inlineStr">
        <is>
          <t>MEM-020</t>
        </is>
      </c>
      <c r="H141" s="130">
        <f>IF($G141="","",IFERROR(INDEX(MEM_Nom,MATCH($G141,MEM_ID,0)),"⚠ ID inconnu"))</f>
        <v/>
      </c>
      <c r="I141" s="127" t="inlineStr">
        <is>
          <t>LIV-006</t>
        </is>
      </c>
      <c r="J141" s="130">
        <f>IF($I141="","",IFERROR(INDEX(LIV_Titre,MATCH($I141,LIV_Code,0)),"⚠ Code inconnu"))</f>
        <v/>
      </c>
      <c r="K141" s="138">
        <f>IF($F141="","",$F141+P_Duree)</f>
        <v/>
      </c>
      <c r="L141" s="134" t="n">
        <v>46235</v>
      </c>
      <c r="M141" s="130">
        <f>IF(OR($F141="",$I141=""),"",IF($L141&lt;&gt;"",IF($L141&gt;$K141,"Rendu en retard","Rendu"),IF(TODAY()&gt;$K141,"En retard","En cours")))</f>
        <v/>
      </c>
      <c r="N141" s="139">
        <f>IF(OR($F141="",$I141=""),"",MAX(0,IF($L141&lt;&gt;"",$L141,TODAY())-$K141))</f>
        <v/>
      </c>
      <c r="O141" s="135">
        <f>IF(OR($F141="",$I141=""),"",$N141*P_Amende)</f>
        <v/>
      </c>
      <c r="P141" s="133" t="n"/>
      <c r="R141">
        <f>IF($M141="En retard",$N141+ROW()/100000,"")</f>
        <v/>
      </c>
      <c r="S141">
        <f>IF(OR($F141="",$I141=""),"",$F141+ROW()/100000)</f>
        <v/>
      </c>
      <c r="T141">
        <f>IF($I141="","",IFERROR(INDEX(LIV_Cat,MATCH($I141,LIV_Code,0)),""))</f>
        <v/>
      </c>
    </row>
    <row r="142" ht="21" customHeight="1">
      <c r="A142" s="1" t="n"/>
      <c r="B142" s="1" t="n"/>
      <c r="C142" s="2" t="n"/>
      <c r="E142" s="130">
        <f>IF($F142="","","EMP-"&amp;TEXT(ROW()-6,"0000"))</f>
        <v/>
      </c>
      <c r="F142" s="134" t="n">
        <v>46246</v>
      </c>
      <c r="G142" s="127" t="inlineStr">
        <is>
          <t>MEM-032</t>
        </is>
      </c>
      <c r="H142" s="130">
        <f>IF($G142="","",IFERROR(INDEX(MEM_Nom,MATCH($G142,MEM_ID,0)),"⚠ ID inconnu"))</f>
        <v/>
      </c>
      <c r="I142" s="127" t="inlineStr">
        <is>
          <t>LIV-036</t>
        </is>
      </c>
      <c r="J142" s="130">
        <f>IF($I142="","",IFERROR(INDEX(LIV_Titre,MATCH($I142,LIV_Code,0)),"⚠ Code inconnu"))</f>
        <v/>
      </c>
      <c r="K142" s="138">
        <f>IF($F142="","",$F142+P_Duree)</f>
        <v/>
      </c>
      <c r="L142" s="134" t="n">
        <v>46262</v>
      </c>
      <c r="M142" s="130">
        <f>IF(OR($F142="",$I142=""),"",IF($L142&lt;&gt;"",IF($L142&gt;$K142,"Rendu en retard","Rendu"),IF(TODAY()&gt;$K142,"En retard","En cours")))</f>
        <v/>
      </c>
      <c r="N142" s="139">
        <f>IF(OR($F142="",$I142=""),"",MAX(0,IF($L142&lt;&gt;"",$L142,TODAY())-$K142))</f>
        <v/>
      </c>
      <c r="O142" s="135">
        <f>IF(OR($F142="",$I142=""),"",$N142*P_Amende)</f>
        <v/>
      </c>
      <c r="P142" s="133" t="inlineStr">
        <is>
          <t>Non</t>
        </is>
      </c>
      <c r="R142">
        <f>IF($M142="En retard",$N142+ROW()/100000,"")</f>
        <v/>
      </c>
      <c r="S142">
        <f>IF(OR($F142="",$I142=""),"",$F142+ROW()/100000)</f>
        <v/>
      </c>
      <c r="T142">
        <f>IF($I142="","",IFERROR(INDEX(LIV_Cat,MATCH($I142,LIV_Code,0)),""))</f>
        <v/>
      </c>
    </row>
    <row r="143" ht="21" customHeight="1">
      <c r="A143" s="1" t="n"/>
      <c r="B143" s="1" t="n"/>
      <c r="C143" s="2" t="n"/>
      <c r="E143" s="130">
        <f>IF($F143="","","EMP-"&amp;TEXT(ROW()-6,"0000"))</f>
        <v/>
      </c>
      <c r="F143" s="134" t="n">
        <v>46255</v>
      </c>
      <c r="G143" s="127" t="inlineStr">
        <is>
          <t>MEM-005</t>
        </is>
      </c>
      <c r="H143" s="130">
        <f>IF($G143="","",IFERROR(INDEX(MEM_Nom,MATCH($G143,MEM_ID,0)),"⚠ ID inconnu"))</f>
        <v/>
      </c>
      <c r="I143" s="127" t="inlineStr">
        <is>
          <t>LIV-029</t>
        </is>
      </c>
      <c r="J143" s="130">
        <f>IF($I143="","",IFERROR(INDEX(LIV_Titre,MATCH($I143,LIV_Code,0)),"⚠ Code inconnu"))</f>
        <v/>
      </c>
      <c r="K143" s="138">
        <f>IF($F143="","",$F143+P_Duree)</f>
        <v/>
      </c>
      <c r="L143" s="134" t="n">
        <v>46269</v>
      </c>
      <c r="M143" s="130">
        <f>IF(OR($F143="",$I143=""),"",IF($L143&lt;&gt;"",IF($L143&gt;$K143,"Rendu en retard","Rendu"),IF(TODAY()&gt;$K143,"En retard","En cours")))</f>
        <v/>
      </c>
      <c r="N143" s="139">
        <f>IF(OR($F143="",$I143=""),"",MAX(0,IF($L143&lt;&gt;"",$L143,TODAY())-$K143))</f>
        <v/>
      </c>
      <c r="O143" s="135">
        <f>IF(OR($F143="",$I143=""),"",$N143*P_Amende)</f>
        <v/>
      </c>
      <c r="P143" s="133" t="n"/>
      <c r="R143">
        <f>IF($M143="En retard",$N143+ROW()/100000,"")</f>
        <v/>
      </c>
      <c r="S143">
        <f>IF(OR($F143="",$I143=""),"",$F143+ROW()/100000)</f>
        <v/>
      </c>
      <c r="T143">
        <f>IF($I143="","",IFERROR(INDEX(LIV_Cat,MATCH($I143,LIV_Code,0)),""))</f>
        <v/>
      </c>
    </row>
    <row r="144" ht="21" customHeight="1">
      <c r="A144" s="1" t="n"/>
      <c r="B144" s="1" t="n"/>
      <c r="C144" s="2" t="n"/>
      <c r="E144" s="130">
        <f>IF($F144="","","EMP-"&amp;TEXT(ROW()-6,"0000"))</f>
        <v/>
      </c>
      <c r="F144" s="134" t="n">
        <v>46255</v>
      </c>
      <c r="G144" s="127" t="inlineStr">
        <is>
          <t>MEM-038</t>
        </is>
      </c>
      <c r="H144" s="130">
        <f>IF($G144="","",IFERROR(INDEX(MEM_Nom,MATCH($G144,MEM_ID,0)),"⚠ ID inconnu"))</f>
        <v/>
      </c>
      <c r="I144" s="127" t="inlineStr">
        <is>
          <t>LIV-059</t>
        </is>
      </c>
      <c r="J144" s="130">
        <f>IF($I144="","",IFERROR(INDEX(LIV_Titre,MATCH($I144,LIV_Code,0)),"⚠ Code inconnu"))</f>
        <v/>
      </c>
      <c r="K144" s="138">
        <f>IF($F144="","",$F144+P_Duree)</f>
        <v/>
      </c>
      <c r="L144" s="134" t="n">
        <v>46265</v>
      </c>
      <c r="M144" s="130">
        <f>IF(OR($F144="",$I144=""),"",IF($L144&lt;&gt;"",IF($L144&gt;$K144,"Rendu en retard","Rendu"),IF(TODAY()&gt;$K144,"En retard","En cours")))</f>
        <v/>
      </c>
      <c r="N144" s="139">
        <f>IF(OR($F144="",$I144=""),"",MAX(0,IF($L144&lt;&gt;"",$L144,TODAY())-$K144))</f>
        <v/>
      </c>
      <c r="O144" s="135">
        <f>IF(OR($F144="",$I144=""),"",$N144*P_Amende)</f>
        <v/>
      </c>
      <c r="P144" s="133" t="n"/>
      <c r="R144">
        <f>IF($M144="En retard",$N144+ROW()/100000,"")</f>
        <v/>
      </c>
      <c r="S144">
        <f>IF(OR($F144="",$I144=""),"",$F144+ROW()/100000)</f>
        <v/>
      </c>
      <c r="T144">
        <f>IF($I144="","",IFERROR(INDEX(LIV_Cat,MATCH($I144,LIV_Code,0)),""))</f>
        <v/>
      </c>
    </row>
    <row r="145" ht="21" customHeight="1">
      <c r="A145" s="1" t="n"/>
      <c r="B145" s="1" t="n"/>
      <c r="C145" s="2" t="n"/>
      <c r="E145" s="130">
        <f>IF($F145="","","EMP-"&amp;TEXT(ROW()-6,"0000"))</f>
        <v/>
      </c>
      <c r="F145" s="134" t="n">
        <v>46266</v>
      </c>
      <c r="G145" s="127" t="inlineStr">
        <is>
          <t>MEM-025</t>
        </is>
      </c>
      <c r="H145" s="130">
        <f>IF($G145="","",IFERROR(INDEX(MEM_Nom,MATCH($G145,MEM_ID,0)),"⚠ ID inconnu"))</f>
        <v/>
      </c>
      <c r="I145" s="127" t="inlineStr">
        <is>
          <t>LIV-004</t>
        </is>
      </c>
      <c r="J145" s="130">
        <f>IF($I145="","",IFERROR(INDEX(LIV_Titre,MATCH($I145,LIV_Code,0)),"⚠ Code inconnu"))</f>
        <v/>
      </c>
      <c r="K145" s="138">
        <f>IF($F145="","",$F145+P_Duree)</f>
        <v/>
      </c>
      <c r="L145" s="134" t="n">
        <v>46282</v>
      </c>
      <c r="M145" s="130">
        <f>IF(OR($F145="",$I145=""),"",IF($L145&lt;&gt;"",IF($L145&gt;$K145,"Rendu en retard","Rendu"),IF(TODAY()&gt;$K145,"En retard","En cours")))</f>
        <v/>
      </c>
      <c r="N145" s="139">
        <f>IF(OR($F145="",$I145=""),"",MAX(0,IF($L145&lt;&gt;"",$L145,TODAY())-$K145))</f>
        <v/>
      </c>
      <c r="O145" s="135">
        <f>IF(OR($F145="",$I145=""),"",$N145*P_Amende)</f>
        <v/>
      </c>
      <c r="P145" s="133" t="inlineStr">
        <is>
          <t>Oui</t>
        </is>
      </c>
      <c r="R145">
        <f>IF($M145="En retard",$N145+ROW()/100000,"")</f>
        <v/>
      </c>
      <c r="S145">
        <f>IF(OR($F145="",$I145=""),"",$F145+ROW()/100000)</f>
        <v/>
      </c>
      <c r="T145">
        <f>IF($I145="","",IFERROR(INDEX(LIV_Cat,MATCH($I145,LIV_Code,0)),""))</f>
        <v/>
      </c>
    </row>
    <row r="146" ht="21" customHeight="1">
      <c r="A146" s="1" t="n"/>
      <c r="B146" s="1" t="n"/>
      <c r="C146" s="2" t="n"/>
      <c r="E146" s="130">
        <f>IF($F146="","","EMP-"&amp;TEXT(ROW()-6,"0000"))</f>
        <v/>
      </c>
      <c r="F146" s="134" t="n">
        <v>46266</v>
      </c>
      <c r="G146" s="127" t="inlineStr">
        <is>
          <t>MEM-027</t>
        </is>
      </c>
      <c r="H146" s="130">
        <f>IF($G146="","",IFERROR(INDEX(MEM_Nom,MATCH($G146,MEM_ID,0)),"⚠ ID inconnu"))</f>
        <v/>
      </c>
      <c r="I146" s="127" t="inlineStr">
        <is>
          <t>LIV-014</t>
        </is>
      </c>
      <c r="J146" s="130">
        <f>IF($I146="","",IFERROR(INDEX(LIV_Titre,MATCH($I146,LIV_Code,0)),"⚠ Code inconnu"))</f>
        <v/>
      </c>
      <c r="K146" s="138">
        <f>IF($F146="","",$F146+P_Duree)</f>
        <v/>
      </c>
      <c r="L146" s="134" t="n"/>
      <c r="M146" s="130">
        <f>IF(OR($F146="",$I146=""),"",IF($L146&lt;&gt;"",IF($L146&gt;$K146,"Rendu en retard","Rendu"),IF(TODAY()&gt;$K146,"En retard","En cours")))</f>
        <v/>
      </c>
      <c r="N146" s="139">
        <f>IF(OR($F146="",$I146=""),"",MAX(0,IF($L146&lt;&gt;"",$L146,TODAY())-$K146))</f>
        <v/>
      </c>
      <c r="O146" s="135">
        <f>IF(OR($F146="",$I146=""),"",$N146*P_Amende)</f>
        <v/>
      </c>
      <c r="P146" s="133" t="n"/>
      <c r="R146">
        <f>IF($M146="En retard",$N146+ROW()/100000,"")</f>
        <v/>
      </c>
      <c r="S146">
        <f>IF(OR($F146="",$I146=""),"",$F146+ROW()/100000)</f>
        <v/>
      </c>
      <c r="T146">
        <f>IF($I146="","",IFERROR(INDEX(LIV_Cat,MATCH($I146,LIV_Code,0)),""))</f>
        <v/>
      </c>
    </row>
    <row r="147" ht="21" customHeight="1">
      <c r="A147" s="1" t="n"/>
      <c r="B147" s="1" t="n"/>
      <c r="C147" s="2" t="n"/>
      <c r="E147" s="130">
        <f>IF($F147="","","EMP-"&amp;TEXT(ROW()-6,"0000"))</f>
        <v/>
      </c>
      <c r="F147" s="134" t="n">
        <v>46268</v>
      </c>
      <c r="G147" s="127" t="inlineStr">
        <is>
          <t>MEM-019</t>
        </is>
      </c>
      <c r="H147" s="130">
        <f>IF($G147="","",IFERROR(INDEX(MEM_Nom,MATCH($G147,MEM_ID,0)),"⚠ ID inconnu"))</f>
        <v/>
      </c>
      <c r="I147" s="127" t="inlineStr">
        <is>
          <t>LIV-011</t>
        </is>
      </c>
      <c r="J147" s="130">
        <f>IF($I147="","",IFERROR(INDEX(LIV_Titre,MATCH($I147,LIV_Code,0)),"⚠ Code inconnu"))</f>
        <v/>
      </c>
      <c r="K147" s="138">
        <f>IF($F147="","",$F147+P_Duree)</f>
        <v/>
      </c>
      <c r="L147" s="134" t="n">
        <v>46272</v>
      </c>
      <c r="M147" s="130">
        <f>IF(OR($F147="",$I147=""),"",IF($L147&lt;&gt;"",IF($L147&gt;$K147,"Rendu en retard","Rendu"),IF(TODAY()&gt;$K147,"En retard","En cours")))</f>
        <v/>
      </c>
      <c r="N147" s="139">
        <f>IF(OR($F147="",$I147=""),"",MAX(0,IF($L147&lt;&gt;"",$L147,TODAY())-$K147))</f>
        <v/>
      </c>
      <c r="O147" s="135">
        <f>IF(OR($F147="",$I147=""),"",$N147*P_Amende)</f>
        <v/>
      </c>
      <c r="P147" s="133" t="n"/>
      <c r="R147">
        <f>IF($M147="En retard",$N147+ROW()/100000,"")</f>
        <v/>
      </c>
      <c r="S147">
        <f>IF(OR($F147="",$I147=""),"",$F147+ROW()/100000)</f>
        <v/>
      </c>
      <c r="T147">
        <f>IF($I147="","",IFERROR(INDEX(LIV_Cat,MATCH($I147,LIV_Code,0)),""))</f>
        <v/>
      </c>
    </row>
    <row r="148" ht="21" customHeight="1">
      <c r="A148" s="1" t="n"/>
      <c r="B148" s="1" t="n"/>
      <c r="C148" s="2" t="n"/>
      <c r="E148" s="130">
        <f>IF($F148="","","EMP-"&amp;TEXT(ROW()-6,"0000"))</f>
        <v/>
      </c>
      <c r="F148" s="134" t="n">
        <v>46269</v>
      </c>
      <c r="G148" s="127" t="inlineStr">
        <is>
          <t>MEM-001</t>
        </is>
      </c>
      <c r="H148" s="130">
        <f>IF($G148="","",IFERROR(INDEX(MEM_Nom,MATCH($G148,MEM_ID,0)),"⚠ ID inconnu"))</f>
        <v/>
      </c>
      <c r="I148" s="127" t="inlineStr">
        <is>
          <t>LIV-018</t>
        </is>
      </c>
      <c r="J148" s="130">
        <f>IF($I148="","",IFERROR(INDEX(LIV_Titre,MATCH($I148,LIV_Code,0)),"⚠ Code inconnu"))</f>
        <v/>
      </c>
      <c r="K148" s="138">
        <f>IF($F148="","",$F148+P_Duree)</f>
        <v/>
      </c>
      <c r="L148" s="134" t="n">
        <v>46285</v>
      </c>
      <c r="M148" s="130">
        <f>IF(OR($F148="",$I148=""),"",IF($L148&lt;&gt;"",IF($L148&gt;$K148,"Rendu en retard","Rendu"),IF(TODAY()&gt;$K148,"En retard","En cours")))</f>
        <v/>
      </c>
      <c r="N148" s="139">
        <f>IF(OR($F148="",$I148=""),"",MAX(0,IF($L148&lt;&gt;"",$L148,TODAY())-$K148))</f>
        <v/>
      </c>
      <c r="O148" s="135">
        <f>IF(OR($F148="",$I148=""),"",$N148*P_Amende)</f>
        <v/>
      </c>
      <c r="P148" s="133" t="inlineStr">
        <is>
          <t>Oui</t>
        </is>
      </c>
      <c r="R148">
        <f>IF($M148="En retard",$N148+ROW()/100000,"")</f>
        <v/>
      </c>
      <c r="S148">
        <f>IF(OR($F148="",$I148=""),"",$F148+ROW()/100000)</f>
        <v/>
      </c>
      <c r="T148">
        <f>IF($I148="","",IFERROR(INDEX(LIV_Cat,MATCH($I148,LIV_Code,0)),""))</f>
        <v/>
      </c>
    </row>
    <row r="149" ht="21" customHeight="1">
      <c r="A149" s="1" t="n"/>
      <c r="B149" s="1" t="n"/>
      <c r="C149" s="2" t="n"/>
      <c r="E149" s="130">
        <f>IF($F149="","","EMP-"&amp;TEXT(ROW()-6,"0000"))</f>
        <v/>
      </c>
      <c r="F149" s="134" t="n">
        <v>46269</v>
      </c>
      <c r="G149" s="127" t="inlineStr">
        <is>
          <t>MEM-004</t>
        </is>
      </c>
      <c r="H149" s="130">
        <f>IF($G149="","",IFERROR(INDEX(MEM_Nom,MATCH($G149,MEM_ID,0)),"⚠ ID inconnu"))</f>
        <v/>
      </c>
      <c r="I149" s="127" t="inlineStr">
        <is>
          <t>LIV-050</t>
        </is>
      </c>
      <c r="J149" s="130">
        <f>IF($I149="","",IFERROR(INDEX(LIV_Titre,MATCH($I149,LIV_Code,0)),"⚠ Code inconnu"))</f>
        <v/>
      </c>
      <c r="K149" s="138">
        <f>IF($F149="","",$F149+P_Duree)</f>
        <v/>
      </c>
      <c r="L149" s="134" t="n">
        <v>46285</v>
      </c>
      <c r="M149" s="130">
        <f>IF(OR($F149="",$I149=""),"",IF($L149&lt;&gt;"",IF($L149&gt;$K149,"Rendu en retard","Rendu"),IF(TODAY()&gt;$K149,"En retard","En cours")))</f>
        <v/>
      </c>
      <c r="N149" s="139">
        <f>IF(OR($F149="",$I149=""),"",MAX(0,IF($L149&lt;&gt;"",$L149,TODAY())-$K149))</f>
        <v/>
      </c>
      <c r="O149" s="135">
        <f>IF(OR($F149="",$I149=""),"",$N149*P_Amende)</f>
        <v/>
      </c>
      <c r="P149" s="133" t="inlineStr">
        <is>
          <t>Non</t>
        </is>
      </c>
      <c r="R149">
        <f>IF($M149="En retard",$N149+ROW()/100000,"")</f>
        <v/>
      </c>
      <c r="S149">
        <f>IF(OR($F149="",$I149=""),"",$F149+ROW()/100000)</f>
        <v/>
      </c>
      <c r="T149">
        <f>IF($I149="","",IFERROR(INDEX(LIV_Cat,MATCH($I149,LIV_Code,0)),""))</f>
        <v/>
      </c>
    </row>
    <row r="150" ht="21" customHeight="1">
      <c r="A150" s="1" t="n"/>
      <c r="B150" s="1" t="n"/>
      <c r="C150" s="2" t="n"/>
      <c r="E150" s="130">
        <f>IF($F150="","","EMP-"&amp;TEXT(ROW()-6,"0000"))</f>
        <v/>
      </c>
      <c r="F150" s="134" t="n">
        <v>46271</v>
      </c>
      <c r="G150" s="127" t="inlineStr">
        <is>
          <t>MEM-024</t>
        </is>
      </c>
      <c r="H150" s="130">
        <f>IF($G150="","",IFERROR(INDEX(MEM_Nom,MATCH($G150,MEM_ID,0)),"⚠ ID inconnu"))</f>
        <v/>
      </c>
      <c r="I150" s="127" t="inlineStr">
        <is>
          <t>LIV-059</t>
        </is>
      </c>
      <c r="J150" s="130">
        <f>IF($I150="","",IFERROR(INDEX(LIV_Titre,MATCH($I150,LIV_Code,0)),"⚠ Code inconnu"))</f>
        <v/>
      </c>
      <c r="K150" s="138">
        <f>IF($F150="","",$F150+P_Duree)</f>
        <v/>
      </c>
      <c r="L150" s="134" t="n"/>
      <c r="M150" s="130">
        <f>IF(OR($F150="",$I150=""),"",IF($L150&lt;&gt;"",IF($L150&gt;$K150,"Rendu en retard","Rendu"),IF(TODAY()&gt;$K150,"En retard","En cours")))</f>
        <v/>
      </c>
      <c r="N150" s="139">
        <f>IF(OR($F150="",$I150=""),"",MAX(0,IF($L150&lt;&gt;"",$L150,TODAY())-$K150))</f>
        <v/>
      </c>
      <c r="O150" s="135">
        <f>IF(OR($F150="",$I150=""),"",$N150*P_Amende)</f>
        <v/>
      </c>
      <c r="P150" s="133" t="n"/>
      <c r="R150">
        <f>IF($M150="En retard",$N150+ROW()/100000,"")</f>
        <v/>
      </c>
      <c r="S150">
        <f>IF(OR($F150="",$I150=""),"",$F150+ROW()/100000)</f>
        <v/>
      </c>
      <c r="T150">
        <f>IF($I150="","",IFERROR(INDEX(LIV_Cat,MATCH($I150,LIV_Code,0)),""))</f>
        <v/>
      </c>
    </row>
    <row r="151" ht="21" customHeight="1">
      <c r="A151" s="1" t="n"/>
      <c r="B151" s="1" t="n"/>
      <c r="C151" s="2" t="n"/>
      <c r="E151" s="130">
        <f>IF($F151="","","EMP-"&amp;TEXT(ROW()-6,"0000"))</f>
        <v/>
      </c>
      <c r="F151" s="134" t="n">
        <v>46272</v>
      </c>
      <c r="G151" s="127" t="inlineStr">
        <is>
          <t>MEM-019</t>
        </is>
      </c>
      <c r="H151" s="130">
        <f>IF($G151="","",IFERROR(INDEX(MEM_Nom,MATCH($G151,MEM_ID,0)),"⚠ ID inconnu"))</f>
        <v/>
      </c>
      <c r="I151" s="127" t="inlineStr">
        <is>
          <t>LIV-024</t>
        </is>
      </c>
      <c r="J151" s="130">
        <f>IF($I151="","",IFERROR(INDEX(LIV_Titre,MATCH($I151,LIV_Code,0)),"⚠ Code inconnu"))</f>
        <v/>
      </c>
      <c r="K151" s="138">
        <f>IF($F151="","",$F151+P_Duree)</f>
        <v/>
      </c>
      <c r="L151" s="134" t="n">
        <v>46281</v>
      </c>
      <c r="M151" s="130">
        <f>IF(OR($F151="",$I151=""),"",IF($L151&lt;&gt;"",IF($L151&gt;$K151,"Rendu en retard","Rendu"),IF(TODAY()&gt;$K151,"En retard","En cours")))</f>
        <v/>
      </c>
      <c r="N151" s="139">
        <f>IF(OR($F151="",$I151=""),"",MAX(0,IF($L151&lt;&gt;"",$L151,TODAY())-$K151))</f>
        <v/>
      </c>
      <c r="O151" s="135">
        <f>IF(OR($F151="",$I151=""),"",$N151*P_Amende)</f>
        <v/>
      </c>
      <c r="P151" s="133" t="n"/>
      <c r="R151">
        <f>IF($M151="En retard",$N151+ROW()/100000,"")</f>
        <v/>
      </c>
      <c r="S151">
        <f>IF(OR($F151="",$I151=""),"",$F151+ROW()/100000)</f>
        <v/>
      </c>
      <c r="T151">
        <f>IF($I151="","",IFERROR(INDEX(LIV_Cat,MATCH($I151,LIV_Code,0)),""))</f>
        <v/>
      </c>
    </row>
    <row r="152" ht="21" customHeight="1">
      <c r="A152" s="1" t="n"/>
      <c r="B152" s="1" t="n"/>
      <c r="C152" s="2" t="n"/>
      <c r="E152" s="130">
        <f>IF($F152="","","EMP-"&amp;TEXT(ROW()-6,"0000"))</f>
        <v/>
      </c>
      <c r="F152" s="134" t="n">
        <v>46272</v>
      </c>
      <c r="G152" s="127" t="inlineStr">
        <is>
          <t>MEM-023</t>
        </is>
      </c>
      <c r="H152" s="130">
        <f>IF($G152="","",IFERROR(INDEX(MEM_Nom,MATCH($G152,MEM_ID,0)),"⚠ ID inconnu"))</f>
        <v/>
      </c>
      <c r="I152" s="127" t="inlineStr">
        <is>
          <t>LIV-032</t>
        </is>
      </c>
      <c r="J152" s="130">
        <f>IF($I152="","",IFERROR(INDEX(LIV_Titre,MATCH($I152,LIV_Code,0)),"⚠ Code inconnu"))</f>
        <v/>
      </c>
      <c r="K152" s="138">
        <f>IF($F152="","",$F152+P_Duree)</f>
        <v/>
      </c>
      <c r="L152" s="134" t="n">
        <v>46281</v>
      </c>
      <c r="M152" s="130">
        <f>IF(OR($F152="",$I152=""),"",IF($L152&lt;&gt;"",IF($L152&gt;$K152,"Rendu en retard","Rendu"),IF(TODAY()&gt;$K152,"En retard","En cours")))</f>
        <v/>
      </c>
      <c r="N152" s="139">
        <f>IF(OR($F152="",$I152=""),"",MAX(0,IF($L152&lt;&gt;"",$L152,TODAY())-$K152))</f>
        <v/>
      </c>
      <c r="O152" s="135">
        <f>IF(OR($F152="",$I152=""),"",$N152*P_Amende)</f>
        <v/>
      </c>
      <c r="P152" s="133" t="n"/>
      <c r="R152">
        <f>IF($M152="En retard",$N152+ROW()/100000,"")</f>
        <v/>
      </c>
      <c r="S152">
        <f>IF(OR($F152="",$I152=""),"",$F152+ROW()/100000)</f>
        <v/>
      </c>
      <c r="T152">
        <f>IF($I152="","",IFERROR(INDEX(LIV_Cat,MATCH($I152,LIV_Code,0)),""))</f>
        <v/>
      </c>
    </row>
    <row r="153" ht="21" customHeight="1">
      <c r="A153" s="1" t="n"/>
      <c r="B153" s="1" t="n"/>
      <c r="C153" s="2" t="n"/>
      <c r="E153" s="130">
        <f>IF($F153="","","EMP-"&amp;TEXT(ROW()-6,"0000"))</f>
        <v/>
      </c>
      <c r="F153" s="134" t="n">
        <v>46273</v>
      </c>
      <c r="G153" s="127" t="inlineStr">
        <is>
          <t>MEM-017</t>
        </is>
      </c>
      <c r="H153" s="130">
        <f>IF($G153="","",IFERROR(INDEX(MEM_Nom,MATCH($G153,MEM_ID,0)),"⚠ ID inconnu"))</f>
        <v/>
      </c>
      <c r="I153" s="127" t="inlineStr">
        <is>
          <t>LIV-008</t>
        </is>
      </c>
      <c r="J153" s="130">
        <f>IF($I153="","",IFERROR(INDEX(LIV_Titre,MATCH($I153,LIV_Code,0)),"⚠ Code inconnu"))</f>
        <v/>
      </c>
      <c r="K153" s="138">
        <f>IF($F153="","",$F153+P_Duree)</f>
        <v/>
      </c>
      <c r="L153" s="134" t="n">
        <v>46292</v>
      </c>
      <c r="M153" s="130">
        <f>IF(OR($F153="",$I153=""),"",IF($L153&lt;&gt;"",IF($L153&gt;$K153,"Rendu en retard","Rendu"),IF(TODAY()&gt;$K153,"En retard","En cours")))</f>
        <v/>
      </c>
      <c r="N153" s="139">
        <f>IF(OR($F153="",$I153=""),"",MAX(0,IF($L153&lt;&gt;"",$L153,TODAY())-$K153))</f>
        <v/>
      </c>
      <c r="O153" s="135">
        <f>IF(OR($F153="",$I153=""),"",$N153*P_Amende)</f>
        <v/>
      </c>
      <c r="P153" s="133" t="inlineStr">
        <is>
          <t>Oui</t>
        </is>
      </c>
      <c r="R153">
        <f>IF($M153="En retard",$N153+ROW()/100000,"")</f>
        <v/>
      </c>
      <c r="S153">
        <f>IF(OR($F153="",$I153=""),"",$F153+ROW()/100000)</f>
        <v/>
      </c>
      <c r="T153">
        <f>IF($I153="","",IFERROR(INDEX(LIV_Cat,MATCH($I153,LIV_Code,0)),""))</f>
        <v/>
      </c>
    </row>
    <row r="154" ht="21" customHeight="1">
      <c r="A154" s="1" t="n"/>
      <c r="B154" s="1" t="n"/>
      <c r="C154" s="2" t="n"/>
      <c r="E154" s="130">
        <f>IF($F154="","","EMP-"&amp;TEXT(ROW()-6,"0000"))</f>
        <v/>
      </c>
      <c r="F154" s="134" t="n">
        <v>46273</v>
      </c>
      <c r="G154" s="127" t="inlineStr">
        <is>
          <t>MEM-009</t>
        </is>
      </c>
      <c r="H154" s="130">
        <f>IF($G154="","",IFERROR(INDEX(MEM_Nom,MATCH($G154,MEM_ID,0)),"⚠ ID inconnu"))</f>
        <v/>
      </c>
      <c r="I154" s="127" t="inlineStr">
        <is>
          <t>LIV-043</t>
        </is>
      </c>
      <c r="J154" s="130">
        <f>IF($I154="","",IFERROR(INDEX(LIV_Titre,MATCH($I154,LIV_Code,0)),"⚠ Code inconnu"))</f>
        <v/>
      </c>
      <c r="K154" s="138">
        <f>IF($F154="","",$F154+P_Duree)</f>
        <v/>
      </c>
      <c r="L154" s="134" t="n">
        <v>46292</v>
      </c>
      <c r="M154" s="130">
        <f>IF(OR($F154="",$I154=""),"",IF($L154&lt;&gt;"",IF($L154&gt;$K154,"Rendu en retard","Rendu"),IF(TODAY()&gt;$K154,"En retard","En cours")))</f>
        <v/>
      </c>
      <c r="N154" s="139">
        <f>IF(OR($F154="",$I154=""),"",MAX(0,IF($L154&lt;&gt;"",$L154,TODAY())-$K154))</f>
        <v/>
      </c>
      <c r="O154" s="135">
        <f>IF(OR($F154="",$I154=""),"",$N154*P_Amende)</f>
        <v/>
      </c>
      <c r="P154" s="133" t="inlineStr">
        <is>
          <t>Non</t>
        </is>
      </c>
      <c r="R154">
        <f>IF($M154="En retard",$N154+ROW()/100000,"")</f>
        <v/>
      </c>
      <c r="S154">
        <f>IF(OR($F154="",$I154=""),"",$F154+ROW()/100000)</f>
        <v/>
      </c>
      <c r="T154">
        <f>IF($I154="","",IFERROR(INDEX(LIV_Cat,MATCH($I154,LIV_Code,0)),""))</f>
        <v/>
      </c>
    </row>
    <row r="155" ht="21" customHeight="1">
      <c r="A155" s="1" t="n"/>
      <c r="B155" s="1" t="n"/>
      <c r="C155" s="2" t="n"/>
      <c r="E155" s="130">
        <f>IF($F155="","","EMP-"&amp;TEXT(ROW()-6,"0000"))</f>
        <v/>
      </c>
      <c r="F155" s="134" t="n">
        <v>46275</v>
      </c>
      <c r="G155" s="127" t="inlineStr">
        <is>
          <t>MEM-020</t>
        </is>
      </c>
      <c r="H155" s="130">
        <f>IF($G155="","",IFERROR(INDEX(MEM_Nom,MATCH($G155,MEM_ID,0)),"⚠ ID inconnu"))</f>
        <v/>
      </c>
      <c r="I155" s="127" t="inlineStr">
        <is>
          <t>LIV-035</t>
        </is>
      </c>
      <c r="J155" s="130">
        <f>IF($I155="","",IFERROR(INDEX(LIV_Titre,MATCH($I155,LIV_Code,0)),"⚠ Code inconnu"))</f>
        <v/>
      </c>
      <c r="K155" s="138">
        <f>IF($F155="","",$F155+P_Duree)</f>
        <v/>
      </c>
      <c r="L155" s="134" t="n">
        <v>46289</v>
      </c>
      <c r="M155" s="130">
        <f>IF(OR($F155="",$I155=""),"",IF($L155&lt;&gt;"",IF($L155&gt;$K155,"Rendu en retard","Rendu"),IF(TODAY()&gt;$K155,"En retard","En cours")))</f>
        <v/>
      </c>
      <c r="N155" s="139">
        <f>IF(OR($F155="",$I155=""),"",MAX(0,IF($L155&lt;&gt;"",$L155,TODAY())-$K155))</f>
        <v/>
      </c>
      <c r="O155" s="135">
        <f>IF(OR($F155="",$I155=""),"",$N155*P_Amende)</f>
        <v/>
      </c>
      <c r="P155" s="133" t="n"/>
      <c r="R155">
        <f>IF($M155="En retard",$N155+ROW()/100000,"")</f>
        <v/>
      </c>
      <c r="S155">
        <f>IF(OR($F155="",$I155=""),"",$F155+ROW()/100000)</f>
        <v/>
      </c>
      <c r="T155">
        <f>IF($I155="","",IFERROR(INDEX(LIV_Cat,MATCH($I155,LIV_Code,0)),""))</f>
        <v/>
      </c>
    </row>
    <row r="156" ht="21" customHeight="1">
      <c r="A156" s="1" t="n"/>
      <c r="B156" s="1" t="n"/>
      <c r="C156" s="2" t="n"/>
      <c r="E156" s="130">
        <f>IF($F156="","","EMP-"&amp;TEXT(ROW()-6,"0000"))</f>
        <v/>
      </c>
      <c r="F156" s="134" t="n">
        <v>46275</v>
      </c>
      <c r="G156" s="127" t="inlineStr">
        <is>
          <t>MEM-024</t>
        </is>
      </c>
      <c r="H156" s="130">
        <f>IF($G156="","",IFERROR(INDEX(MEM_Nom,MATCH($G156,MEM_ID,0)),"⚠ ID inconnu"))</f>
        <v/>
      </c>
      <c r="I156" s="127" t="inlineStr">
        <is>
          <t>LIV-001</t>
        </is>
      </c>
      <c r="J156" s="130">
        <f>IF($I156="","",IFERROR(INDEX(LIV_Titre,MATCH($I156,LIV_Code,0)),"⚠ Code inconnu"))</f>
        <v/>
      </c>
      <c r="K156" s="138">
        <f>IF($F156="","",$F156+P_Duree)</f>
        <v/>
      </c>
      <c r="L156" s="134" t="n">
        <v>46298</v>
      </c>
      <c r="M156" s="130">
        <f>IF(OR($F156="",$I156=""),"",IF($L156&lt;&gt;"",IF($L156&gt;$K156,"Rendu en retard","Rendu"),IF(TODAY()&gt;$K156,"En retard","En cours")))</f>
        <v/>
      </c>
      <c r="N156" s="139">
        <f>IF(OR($F156="",$I156=""),"",MAX(0,IF($L156&lt;&gt;"",$L156,TODAY())-$K156))</f>
        <v/>
      </c>
      <c r="O156" s="135">
        <f>IF(OR($F156="",$I156=""),"",$N156*P_Amende)</f>
        <v/>
      </c>
      <c r="P156" s="133" t="inlineStr">
        <is>
          <t>Oui</t>
        </is>
      </c>
      <c r="R156">
        <f>IF($M156="En retard",$N156+ROW()/100000,"")</f>
        <v/>
      </c>
      <c r="S156">
        <f>IF(OR($F156="",$I156=""),"",$F156+ROW()/100000)</f>
        <v/>
      </c>
      <c r="T156">
        <f>IF($I156="","",IFERROR(INDEX(LIV_Cat,MATCH($I156,LIV_Code,0)),""))</f>
        <v/>
      </c>
    </row>
    <row r="157" ht="21" customHeight="1">
      <c r="A157" s="1" t="n"/>
      <c r="B157" s="1" t="n"/>
      <c r="C157" s="2" t="n"/>
      <c r="E157" s="130">
        <f>IF($F157="","","EMP-"&amp;TEXT(ROW()-6,"0000"))</f>
        <v/>
      </c>
      <c r="F157" s="134" t="n">
        <v>46275</v>
      </c>
      <c r="G157" s="127" t="inlineStr">
        <is>
          <t>MEM-022</t>
        </is>
      </c>
      <c r="H157" s="130">
        <f>IF($G157="","",IFERROR(INDEX(MEM_Nom,MATCH($G157,MEM_ID,0)),"⚠ ID inconnu"))</f>
        <v/>
      </c>
      <c r="I157" s="127" t="inlineStr">
        <is>
          <t>LIV-033</t>
        </is>
      </c>
      <c r="J157" s="130">
        <f>IF($I157="","",IFERROR(INDEX(LIV_Titre,MATCH($I157,LIV_Code,0)),"⚠ Code inconnu"))</f>
        <v/>
      </c>
      <c r="K157" s="138">
        <f>IF($F157="","",$F157+P_Duree)</f>
        <v/>
      </c>
      <c r="L157" s="134" t="n"/>
      <c r="M157" s="130">
        <f>IF(OR($F157="",$I157=""),"",IF($L157&lt;&gt;"",IF($L157&gt;$K157,"Rendu en retard","Rendu"),IF(TODAY()&gt;$K157,"En retard","En cours")))</f>
        <v/>
      </c>
      <c r="N157" s="139">
        <f>IF(OR($F157="",$I157=""),"",MAX(0,IF($L157&lt;&gt;"",$L157,TODAY())-$K157))</f>
        <v/>
      </c>
      <c r="O157" s="135">
        <f>IF(OR($F157="",$I157=""),"",$N157*P_Amende)</f>
        <v/>
      </c>
      <c r="P157" s="133" t="n"/>
      <c r="R157">
        <f>IF($M157="En retard",$N157+ROW()/100000,"")</f>
        <v/>
      </c>
      <c r="S157">
        <f>IF(OR($F157="",$I157=""),"",$F157+ROW()/100000)</f>
        <v/>
      </c>
      <c r="T157">
        <f>IF($I157="","",IFERROR(INDEX(LIV_Cat,MATCH($I157,LIV_Code,0)),""))</f>
        <v/>
      </c>
    </row>
    <row r="158" ht="21" customHeight="1">
      <c r="A158" s="1" t="n"/>
      <c r="B158" s="1" t="n"/>
      <c r="C158" s="2" t="n"/>
      <c r="E158" s="130">
        <f>IF($F158="","","EMP-"&amp;TEXT(ROW()-6,"0000"))</f>
        <v/>
      </c>
      <c r="F158" s="134" t="n">
        <v>46278</v>
      </c>
      <c r="G158" s="127" t="inlineStr">
        <is>
          <t>MEM-012</t>
        </is>
      </c>
      <c r="H158" s="130">
        <f>IF($G158="","",IFERROR(INDEX(MEM_Nom,MATCH($G158,MEM_ID,0)),"⚠ ID inconnu"))</f>
        <v/>
      </c>
      <c r="I158" s="127" t="inlineStr">
        <is>
          <t>LIV-023</t>
        </is>
      </c>
      <c r="J158" s="130">
        <f>IF($I158="","",IFERROR(INDEX(LIV_Titre,MATCH($I158,LIV_Code,0)),"⚠ Code inconnu"))</f>
        <v/>
      </c>
      <c r="K158" s="138">
        <f>IF($F158="","",$F158+P_Duree)</f>
        <v/>
      </c>
      <c r="L158" s="134" t="n"/>
      <c r="M158" s="130">
        <f>IF(OR($F158="",$I158=""),"",IF($L158&lt;&gt;"",IF($L158&gt;$K158,"Rendu en retard","Rendu"),IF(TODAY()&gt;$K158,"En retard","En cours")))</f>
        <v/>
      </c>
      <c r="N158" s="139">
        <f>IF(OR($F158="",$I158=""),"",MAX(0,IF($L158&lt;&gt;"",$L158,TODAY())-$K158))</f>
        <v/>
      </c>
      <c r="O158" s="135">
        <f>IF(OR($F158="",$I158=""),"",$N158*P_Amende)</f>
        <v/>
      </c>
      <c r="P158" s="133" t="n"/>
      <c r="R158">
        <f>IF($M158="En retard",$N158+ROW()/100000,"")</f>
        <v/>
      </c>
      <c r="S158">
        <f>IF(OR($F158="",$I158=""),"",$F158+ROW()/100000)</f>
        <v/>
      </c>
      <c r="T158">
        <f>IF($I158="","",IFERROR(INDEX(LIV_Cat,MATCH($I158,LIV_Code,0)),""))</f>
        <v/>
      </c>
    </row>
    <row r="159" ht="21" customHeight="1">
      <c r="A159" s="1" t="n"/>
      <c r="B159" s="1" t="n"/>
      <c r="C159" s="2" t="n"/>
      <c r="E159" s="130">
        <f>IF($F159="","","EMP-"&amp;TEXT(ROW()-6,"0000"))</f>
        <v/>
      </c>
      <c r="F159" s="134" t="n">
        <v>46281</v>
      </c>
      <c r="G159" s="127" t="inlineStr">
        <is>
          <t>MEM-015</t>
        </is>
      </c>
      <c r="H159" s="130">
        <f>IF($G159="","",IFERROR(INDEX(MEM_Nom,MATCH($G159,MEM_ID,0)),"⚠ ID inconnu"))</f>
        <v/>
      </c>
      <c r="I159" s="127" t="inlineStr">
        <is>
          <t>LIV-035</t>
        </is>
      </c>
      <c r="J159" s="130">
        <f>IF($I159="","",IFERROR(INDEX(LIV_Titre,MATCH($I159,LIV_Code,0)),"⚠ Code inconnu"))</f>
        <v/>
      </c>
      <c r="K159" s="138">
        <f>IF($F159="","",$F159+P_Duree)</f>
        <v/>
      </c>
      <c r="L159" s="134" t="n"/>
      <c r="M159" s="130">
        <f>IF(OR($F159="",$I159=""),"",IF($L159&lt;&gt;"",IF($L159&gt;$K159,"Rendu en retard","Rendu"),IF(TODAY()&gt;$K159,"En retard","En cours")))</f>
        <v/>
      </c>
      <c r="N159" s="139">
        <f>IF(OR($F159="",$I159=""),"",MAX(0,IF($L159&lt;&gt;"",$L159,TODAY())-$K159))</f>
        <v/>
      </c>
      <c r="O159" s="135">
        <f>IF(OR($F159="",$I159=""),"",$N159*P_Amende)</f>
        <v/>
      </c>
      <c r="P159" s="133" t="n"/>
      <c r="R159">
        <f>IF($M159="En retard",$N159+ROW()/100000,"")</f>
        <v/>
      </c>
      <c r="S159">
        <f>IF(OR($F159="",$I159=""),"",$F159+ROW()/100000)</f>
        <v/>
      </c>
      <c r="T159">
        <f>IF($I159="","",IFERROR(INDEX(LIV_Cat,MATCH($I159,LIV_Code,0)),""))</f>
        <v/>
      </c>
    </row>
    <row r="160" ht="21" customHeight="1">
      <c r="A160" s="1" t="n"/>
      <c r="B160" s="1" t="n"/>
      <c r="C160" s="2" t="n"/>
      <c r="E160" s="130">
        <f>IF($F160="","","EMP-"&amp;TEXT(ROW()-6,"0000"))</f>
        <v/>
      </c>
      <c r="F160" s="134" t="n">
        <v>46282</v>
      </c>
      <c r="G160" s="127" t="inlineStr">
        <is>
          <t>MEM-013</t>
        </is>
      </c>
      <c r="H160" s="130">
        <f>IF($G160="","",IFERROR(INDEX(MEM_Nom,MATCH($G160,MEM_ID,0)),"⚠ ID inconnu"))</f>
        <v/>
      </c>
      <c r="I160" s="127" t="inlineStr">
        <is>
          <t>LIV-020</t>
        </is>
      </c>
      <c r="J160" s="130">
        <f>IF($I160="","",IFERROR(INDEX(LIV_Titre,MATCH($I160,LIV_Code,0)),"⚠ Code inconnu"))</f>
        <v/>
      </c>
      <c r="K160" s="138">
        <f>IF($F160="","",$F160+P_Duree)</f>
        <v/>
      </c>
      <c r="L160" s="134" t="n">
        <v>46289</v>
      </c>
      <c r="M160" s="130">
        <f>IF(OR($F160="",$I160=""),"",IF($L160&lt;&gt;"",IF($L160&gt;$K160,"Rendu en retard","Rendu"),IF(TODAY()&gt;$K160,"En retard","En cours")))</f>
        <v/>
      </c>
      <c r="N160" s="139">
        <f>IF(OR($F160="",$I160=""),"",MAX(0,IF($L160&lt;&gt;"",$L160,TODAY())-$K160))</f>
        <v/>
      </c>
      <c r="O160" s="135">
        <f>IF(OR($F160="",$I160=""),"",$N160*P_Amende)</f>
        <v/>
      </c>
      <c r="P160" s="133" t="n"/>
      <c r="R160">
        <f>IF($M160="En retard",$N160+ROW()/100000,"")</f>
        <v/>
      </c>
      <c r="S160">
        <f>IF(OR($F160="",$I160=""),"",$F160+ROW()/100000)</f>
        <v/>
      </c>
      <c r="T160">
        <f>IF($I160="","",IFERROR(INDEX(LIV_Cat,MATCH($I160,LIV_Code,0)),""))</f>
        <v/>
      </c>
    </row>
    <row r="161" ht="21" customHeight="1">
      <c r="A161" s="1" t="n"/>
      <c r="B161" s="1" t="n"/>
      <c r="C161" s="2" t="n"/>
      <c r="E161" s="130">
        <f>IF($F161="","","EMP-"&amp;TEXT(ROW()-6,"0000"))</f>
        <v/>
      </c>
      <c r="F161" s="134" t="n">
        <v>46282</v>
      </c>
      <c r="G161" s="127" t="inlineStr">
        <is>
          <t>MEM-024</t>
        </is>
      </c>
      <c r="H161" s="130">
        <f>IF($G161="","",IFERROR(INDEX(MEM_Nom,MATCH($G161,MEM_ID,0)),"⚠ ID inconnu"))</f>
        <v/>
      </c>
      <c r="I161" s="127" t="inlineStr">
        <is>
          <t>LIV-045</t>
        </is>
      </c>
      <c r="J161" s="130">
        <f>IF($I161="","",IFERROR(INDEX(LIV_Titre,MATCH($I161,LIV_Code,0)),"⚠ Code inconnu"))</f>
        <v/>
      </c>
      <c r="K161" s="138">
        <f>IF($F161="","",$F161+P_Duree)</f>
        <v/>
      </c>
      <c r="L161" s="134" t="n">
        <v>46296</v>
      </c>
      <c r="M161" s="130">
        <f>IF(OR($F161="",$I161=""),"",IF($L161&lt;&gt;"",IF($L161&gt;$K161,"Rendu en retard","Rendu"),IF(TODAY()&gt;$K161,"En retard","En cours")))</f>
        <v/>
      </c>
      <c r="N161" s="139">
        <f>IF(OR($F161="",$I161=""),"",MAX(0,IF($L161&lt;&gt;"",$L161,TODAY())-$K161))</f>
        <v/>
      </c>
      <c r="O161" s="135">
        <f>IF(OR($F161="",$I161=""),"",$N161*P_Amende)</f>
        <v/>
      </c>
      <c r="P161" s="133" t="n"/>
      <c r="R161">
        <f>IF($M161="En retard",$N161+ROW()/100000,"")</f>
        <v/>
      </c>
      <c r="S161">
        <f>IF(OR($F161="",$I161=""),"",$F161+ROW()/100000)</f>
        <v/>
      </c>
      <c r="T161">
        <f>IF($I161="","",IFERROR(INDEX(LIV_Cat,MATCH($I161,LIV_Code,0)),""))</f>
        <v/>
      </c>
    </row>
    <row r="162" ht="21" customHeight="1">
      <c r="A162" s="1" t="n"/>
      <c r="B162" s="1" t="n"/>
      <c r="C162" s="2" t="n"/>
      <c r="E162" s="130">
        <f>IF($F162="","","EMP-"&amp;TEXT(ROW()-6,"0000"))</f>
        <v/>
      </c>
      <c r="F162" s="134" t="n">
        <v>46283</v>
      </c>
      <c r="G162" s="127" t="inlineStr">
        <is>
          <t>MEM-011</t>
        </is>
      </c>
      <c r="H162" s="130">
        <f>IF($G162="","",IFERROR(INDEX(MEM_Nom,MATCH($G162,MEM_ID,0)),"⚠ ID inconnu"))</f>
        <v/>
      </c>
      <c r="I162" s="127" t="inlineStr">
        <is>
          <t>LIV-056</t>
        </is>
      </c>
      <c r="J162" s="130">
        <f>IF($I162="","",IFERROR(INDEX(LIV_Titre,MATCH($I162,LIV_Code,0)),"⚠ Code inconnu"))</f>
        <v/>
      </c>
      <c r="K162" s="138">
        <f>IF($F162="","",$F162+P_Duree)</f>
        <v/>
      </c>
      <c r="L162" s="134" t="n">
        <v>46293</v>
      </c>
      <c r="M162" s="130">
        <f>IF(OR($F162="",$I162=""),"",IF($L162&lt;&gt;"",IF($L162&gt;$K162,"Rendu en retard","Rendu"),IF(TODAY()&gt;$K162,"En retard","En cours")))</f>
        <v/>
      </c>
      <c r="N162" s="139">
        <f>IF(OR($F162="",$I162=""),"",MAX(0,IF($L162&lt;&gt;"",$L162,TODAY())-$K162))</f>
        <v/>
      </c>
      <c r="O162" s="135">
        <f>IF(OR($F162="",$I162=""),"",$N162*P_Amende)</f>
        <v/>
      </c>
      <c r="P162" s="133" t="n"/>
      <c r="R162">
        <f>IF($M162="En retard",$N162+ROW()/100000,"")</f>
        <v/>
      </c>
      <c r="S162">
        <f>IF(OR($F162="",$I162=""),"",$F162+ROW()/100000)</f>
        <v/>
      </c>
      <c r="T162">
        <f>IF($I162="","",IFERROR(INDEX(LIV_Cat,MATCH($I162,LIV_Code,0)),""))</f>
        <v/>
      </c>
    </row>
    <row r="163" ht="21" customHeight="1">
      <c r="A163" s="1" t="n"/>
      <c r="B163" s="1" t="n"/>
      <c r="C163" s="2" t="n"/>
      <c r="E163" s="130">
        <f>IF($F163="","","EMP-"&amp;TEXT(ROW()-6,"0000"))</f>
        <v/>
      </c>
      <c r="F163" s="134" t="n">
        <v>46283</v>
      </c>
      <c r="G163" s="127" t="inlineStr">
        <is>
          <t>MEM-004</t>
        </is>
      </c>
      <c r="H163" s="130">
        <f>IF($G163="","",IFERROR(INDEX(MEM_Nom,MATCH($G163,MEM_ID,0)),"⚠ ID inconnu"))</f>
        <v/>
      </c>
      <c r="I163" s="127" t="inlineStr">
        <is>
          <t>LIV-015</t>
        </is>
      </c>
      <c r="J163" s="130">
        <f>IF($I163="","",IFERROR(INDEX(LIV_Titre,MATCH($I163,LIV_Code,0)),"⚠ Code inconnu"))</f>
        <v/>
      </c>
      <c r="K163" s="138">
        <f>IF($F163="","",$F163+P_Duree)</f>
        <v/>
      </c>
      <c r="L163" s="134" t="n"/>
      <c r="M163" s="130">
        <f>IF(OR($F163="",$I163=""),"",IF($L163&lt;&gt;"",IF($L163&gt;$K163,"Rendu en retard","Rendu"),IF(TODAY()&gt;$K163,"En retard","En cours")))</f>
        <v/>
      </c>
      <c r="N163" s="139">
        <f>IF(OR($F163="",$I163=""),"",MAX(0,IF($L163&lt;&gt;"",$L163,TODAY())-$K163))</f>
        <v/>
      </c>
      <c r="O163" s="135">
        <f>IF(OR($F163="",$I163=""),"",$N163*P_Amende)</f>
        <v/>
      </c>
      <c r="P163" s="133" t="n"/>
      <c r="R163">
        <f>IF($M163="En retard",$N163+ROW()/100000,"")</f>
        <v/>
      </c>
      <c r="S163">
        <f>IF(OR($F163="",$I163=""),"",$F163+ROW()/100000)</f>
        <v/>
      </c>
      <c r="T163">
        <f>IF($I163="","",IFERROR(INDEX(LIV_Cat,MATCH($I163,LIV_Code,0)),""))</f>
        <v/>
      </c>
    </row>
    <row r="164" ht="21" customHeight="1">
      <c r="A164" s="1" t="n"/>
      <c r="B164" s="1" t="n"/>
      <c r="C164" s="2" t="n"/>
      <c r="E164" s="130">
        <f>IF($F164="","","EMP-"&amp;TEXT(ROW()-6,"0000"))</f>
        <v/>
      </c>
      <c r="F164" s="134" t="n">
        <v>46286</v>
      </c>
      <c r="G164" s="127" t="inlineStr">
        <is>
          <t>MEM-019</t>
        </is>
      </c>
      <c r="H164" s="130">
        <f>IF($G164="","",IFERROR(INDEX(MEM_Nom,MATCH($G164,MEM_ID,0)),"⚠ ID inconnu"))</f>
        <v/>
      </c>
      <c r="I164" s="127" t="inlineStr">
        <is>
          <t>LIV-059</t>
        </is>
      </c>
      <c r="J164" s="130">
        <f>IF($I164="","",IFERROR(INDEX(LIV_Titre,MATCH($I164,LIV_Code,0)),"⚠ Code inconnu"))</f>
        <v/>
      </c>
      <c r="K164" s="138">
        <f>IF($F164="","",$F164+P_Duree)</f>
        <v/>
      </c>
      <c r="L164" s="134" t="n">
        <v>46304</v>
      </c>
      <c r="M164" s="130">
        <f>IF(OR($F164="",$I164=""),"",IF($L164&lt;&gt;"",IF($L164&gt;$K164,"Rendu en retard","Rendu"),IF(TODAY()&gt;$K164,"En retard","En cours")))</f>
        <v/>
      </c>
      <c r="N164" s="139">
        <f>IF(OR($F164="",$I164=""),"",MAX(0,IF($L164&lt;&gt;"",$L164,TODAY())-$K164))</f>
        <v/>
      </c>
      <c r="O164" s="135">
        <f>IF(OR($F164="",$I164=""),"",$N164*P_Amende)</f>
        <v/>
      </c>
      <c r="P164" s="133" t="inlineStr">
        <is>
          <t>Oui</t>
        </is>
      </c>
      <c r="R164">
        <f>IF($M164="En retard",$N164+ROW()/100000,"")</f>
        <v/>
      </c>
      <c r="S164">
        <f>IF(OR($F164="",$I164=""),"",$F164+ROW()/100000)</f>
        <v/>
      </c>
      <c r="T164">
        <f>IF($I164="","",IFERROR(INDEX(LIV_Cat,MATCH($I164,LIV_Code,0)),""))</f>
        <v/>
      </c>
    </row>
    <row r="165" ht="21" customHeight="1">
      <c r="A165" s="1" t="n"/>
      <c r="B165" s="1" t="n"/>
      <c r="C165" s="2" t="n"/>
      <c r="E165" s="130">
        <f>IF($F165="","","EMP-"&amp;TEXT(ROW()-6,"0000"))</f>
        <v/>
      </c>
      <c r="F165" s="134" t="n">
        <v>46286</v>
      </c>
      <c r="G165" s="127" t="inlineStr">
        <is>
          <t>MEM-018</t>
        </is>
      </c>
      <c r="H165" s="130">
        <f>IF($G165="","",IFERROR(INDEX(MEM_Nom,MATCH($G165,MEM_ID,0)),"⚠ ID inconnu"))</f>
        <v/>
      </c>
      <c r="I165" s="127" t="inlineStr">
        <is>
          <t>LIV-035</t>
        </is>
      </c>
      <c r="J165" s="130">
        <f>IF($I165="","",IFERROR(INDEX(LIV_Titre,MATCH($I165,LIV_Code,0)),"⚠ Code inconnu"))</f>
        <v/>
      </c>
      <c r="K165" s="138">
        <f>IF($F165="","",$F165+P_Duree)</f>
        <v/>
      </c>
      <c r="L165" s="134" t="n"/>
      <c r="M165" s="130">
        <f>IF(OR($F165="",$I165=""),"",IF($L165&lt;&gt;"",IF($L165&gt;$K165,"Rendu en retard","Rendu"),IF(TODAY()&gt;$K165,"En retard","En cours")))</f>
        <v/>
      </c>
      <c r="N165" s="139">
        <f>IF(OR($F165="",$I165=""),"",MAX(0,IF($L165&lt;&gt;"",$L165,TODAY())-$K165))</f>
        <v/>
      </c>
      <c r="O165" s="135">
        <f>IF(OR($F165="",$I165=""),"",$N165*P_Amende)</f>
        <v/>
      </c>
      <c r="P165" s="133" t="n"/>
      <c r="R165">
        <f>IF($M165="En retard",$N165+ROW()/100000,"")</f>
        <v/>
      </c>
      <c r="S165">
        <f>IF(OR($F165="",$I165=""),"",$F165+ROW()/100000)</f>
        <v/>
      </c>
      <c r="T165">
        <f>IF($I165="","",IFERROR(INDEX(LIV_Cat,MATCH($I165,LIV_Code,0)),""))</f>
        <v/>
      </c>
    </row>
    <row r="166" ht="21" customHeight="1">
      <c r="A166" s="1" t="n"/>
      <c r="B166" s="1" t="n"/>
      <c r="C166" s="2" t="n"/>
      <c r="E166" s="130">
        <f>IF($F166="","","EMP-"&amp;TEXT(ROW()-6,"0000"))</f>
        <v/>
      </c>
      <c r="F166" s="134" t="n">
        <v>46288</v>
      </c>
      <c r="G166" s="127" t="inlineStr">
        <is>
          <t>MEM-017</t>
        </is>
      </c>
      <c r="H166" s="130">
        <f>IF($G166="","",IFERROR(INDEX(MEM_Nom,MATCH($G166,MEM_ID,0)),"⚠ ID inconnu"))</f>
        <v/>
      </c>
      <c r="I166" s="127" t="inlineStr">
        <is>
          <t>LIV-011</t>
        </is>
      </c>
      <c r="J166" s="130">
        <f>IF($I166="","",IFERROR(INDEX(LIV_Titre,MATCH($I166,LIV_Code,0)),"⚠ Code inconnu"))</f>
        <v/>
      </c>
      <c r="K166" s="138">
        <f>IF($F166="","",$F166+P_Duree)</f>
        <v/>
      </c>
      <c r="L166" s="134" t="n"/>
      <c r="M166" s="130">
        <f>IF(OR($F166="",$I166=""),"",IF($L166&lt;&gt;"",IF($L166&gt;$K166,"Rendu en retard","Rendu"),IF(TODAY()&gt;$K166,"En retard","En cours")))</f>
        <v/>
      </c>
      <c r="N166" s="139">
        <f>IF(OR($F166="",$I166=""),"",MAX(0,IF($L166&lt;&gt;"",$L166,TODAY())-$K166))</f>
        <v/>
      </c>
      <c r="O166" s="135">
        <f>IF(OR($F166="",$I166=""),"",$N166*P_Amende)</f>
        <v/>
      </c>
      <c r="P166" s="133" t="n"/>
      <c r="R166">
        <f>IF($M166="En retard",$N166+ROW()/100000,"")</f>
        <v/>
      </c>
      <c r="S166">
        <f>IF(OR($F166="",$I166=""),"",$F166+ROW()/100000)</f>
        <v/>
      </c>
      <c r="T166">
        <f>IF($I166="","",IFERROR(INDEX(LIV_Cat,MATCH($I166,LIV_Code,0)),""))</f>
        <v/>
      </c>
    </row>
    <row r="167" ht="21" customHeight="1">
      <c r="A167" s="1" t="n"/>
      <c r="B167" s="1" t="n"/>
      <c r="C167" s="2" t="n"/>
      <c r="E167" s="130">
        <f>IF($F167="","","EMP-"&amp;TEXT(ROW()-6,"0000"))</f>
        <v/>
      </c>
      <c r="F167" s="134" t="n">
        <v>46289</v>
      </c>
      <c r="G167" s="127" t="inlineStr">
        <is>
          <t>MEM-010</t>
        </is>
      </c>
      <c r="H167" s="130">
        <f>IF($G167="","",IFERROR(INDEX(MEM_Nom,MATCH($G167,MEM_ID,0)),"⚠ ID inconnu"))</f>
        <v/>
      </c>
      <c r="I167" s="127" t="inlineStr">
        <is>
          <t>LIV-059</t>
        </is>
      </c>
      <c r="J167" s="130">
        <f>IF($I167="","",IFERROR(INDEX(LIV_Titre,MATCH($I167,LIV_Code,0)),"⚠ Code inconnu"))</f>
        <v/>
      </c>
      <c r="K167" s="138">
        <f>IF($F167="","",$F167+P_Duree)</f>
        <v/>
      </c>
      <c r="L167" s="134" t="n">
        <v>46298</v>
      </c>
      <c r="M167" s="130">
        <f>IF(OR($F167="",$I167=""),"",IF($L167&lt;&gt;"",IF($L167&gt;$K167,"Rendu en retard","Rendu"),IF(TODAY()&gt;$K167,"En retard","En cours")))</f>
        <v/>
      </c>
      <c r="N167" s="139">
        <f>IF(OR($F167="",$I167=""),"",MAX(0,IF($L167&lt;&gt;"",$L167,TODAY())-$K167))</f>
        <v/>
      </c>
      <c r="O167" s="135">
        <f>IF(OR($F167="",$I167=""),"",$N167*P_Amende)</f>
        <v/>
      </c>
      <c r="P167" s="133" t="n"/>
      <c r="R167">
        <f>IF($M167="En retard",$N167+ROW()/100000,"")</f>
        <v/>
      </c>
      <c r="S167">
        <f>IF(OR($F167="",$I167=""),"",$F167+ROW()/100000)</f>
        <v/>
      </c>
      <c r="T167">
        <f>IF($I167="","",IFERROR(INDEX(LIV_Cat,MATCH($I167,LIV_Code,0)),""))</f>
        <v/>
      </c>
    </row>
    <row r="168" ht="21" customHeight="1">
      <c r="A168" s="1" t="n"/>
      <c r="B168" s="1" t="n"/>
      <c r="C168" s="2" t="n"/>
      <c r="E168" s="130">
        <f>IF($F168="","","EMP-"&amp;TEXT(ROW()-6,"0000"))</f>
        <v/>
      </c>
      <c r="F168" s="134" t="n">
        <v>46290</v>
      </c>
      <c r="G168" s="127" t="inlineStr">
        <is>
          <t>MEM-026</t>
        </is>
      </c>
      <c r="H168" s="130">
        <f>IF($G168="","",IFERROR(INDEX(MEM_Nom,MATCH($G168,MEM_ID,0)),"⚠ ID inconnu"))</f>
        <v/>
      </c>
      <c r="I168" s="127" t="inlineStr">
        <is>
          <t>LIV-040</t>
        </is>
      </c>
      <c r="J168" s="130">
        <f>IF($I168="","",IFERROR(INDEX(LIV_Titre,MATCH($I168,LIV_Code,0)),"⚠ Code inconnu"))</f>
        <v/>
      </c>
      <c r="K168" s="138">
        <f>IF($F168="","",$F168+P_Duree)</f>
        <v/>
      </c>
      <c r="L168" s="134" t="n">
        <v>46304</v>
      </c>
      <c r="M168" s="130">
        <f>IF(OR($F168="",$I168=""),"",IF($L168&lt;&gt;"",IF($L168&gt;$K168,"Rendu en retard","Rendu"),IF(TODAY()&gt;$K168,"En retard","En cours")))</f>
        <v/>
      </c>
      <c r="N168" s="139">
        <f>IF(OR($F168="",$I168=""),"",MAX(0,IF($L168&lt;&gt;"",$L168,TODAY())-$K168))</f>
        <v/>
      </c>
      <c r="O168" s="135">
        <f>IF(OR($F168="",$I168=""),"",$N168*P_Amende)</f>
        <v/>
      </c>
      <c r="P168" s="133" t="n"/>
      <c r="R168">
        <f>IF($M168="En retard",$N168+ROW()/100000,"")</f>
        <v/>
      </c>
      <c r="S168">
        <f>IF(OR($F168="",$I168=""),"",$F168+ROW()/100000)</f>
        <v/>
      </c>
      <c r="T168">
        <f>IF($I168="","",IFERROR(INDEX(LIV_Cat,MATCH($I168,LIV_Code,0)),""))</f>
        <v/>
      </c>
    </row>
    <row r="169" ht="21" customHeight="1">
      <c r="A169" s="1" t="n"/>
      <c r="B169" s="1" t="n"/>
      <c r="C169" s="2" t="n"/>
      <c r="E169" s="130">
        <f>IF($F169="","","EMP-"&amp;TEXT(ROW()-6,"0000"))</f>
        <v/>
      </c>
      <c r="F169" s="134" t="n">
        <v>46290</v>
      </c>
      <c r="G169" s="127" t="inlineStr">
        <is>
          <t>MEM-026</t>
        </is>
      </c>
      <c r="H169" s="130">
        <f>IF($G169="","",IFERROR(INDEX(MEM_Nom,MATCH($G169,MEM_ID,0)),"⚠ ID inconnu"))</f>
        <v/>
      </c>
      <c r="I169" s="127" t="inlineStr">
        <is>
          <t>LIV-015</t>
        </is>
      </c>
      <c r="J169" s="130">
        <f>IF($I169="","",IFERROR(INDEX(LIV_Titre,MATCH($I169,LIV_Code,0)),"⚠ Code inconnu"))</f>
        <v/>
      </c>
      <c r="K169" s="138">
        <f>IF($F169="","",$F169+P_Duree)</f>
        <v/>
      </c>
      <c r="L169" s="134" t="n">
        <v>46294</v>
      </c>
      <c r="M169" s="130">
        <f>IF(OR($F169="",$I169=""),"",IF($L169&lt;&gt;"",IF($L169&gt;$K169,"Rendu en retard","Rendu"),IF(TODAY()&gt;$K169,"En retard","En cours")))</f>
        <v/>
      </c>
      <c r="N169" s="139">
        <f>IF(OR($F169="",$I169=""),"",MAX(0,IF($L169&lt;&gt;"",$L169,TODAY())-$K169))</f>
        <v/>
      </c>
      <c r="O169" s="135">
        <f>IF(OR($F169="",$I169=""),"",$N169*P_Amende)</f>
        <v/>
      </c>
      <c r="P169" s="133" t="n"/>
      <c r="R169">
        <f>IF($M169="En retard",$N169+ROW()/100000,"")</f>
        <v/>
      </c>
      <c r="S169">
        <f>IF(OR($F169="",$I169=""),"",$F169+ROW()/100000)</f>
        <v/>
      </c>
      <c r="T169">
        <f>IF($I169="","",IFERROR(INDEX(LIV_Cat,MATCH($I169,LIV_Code,0)),""))</f>
        <v/>
      </c>
    </row>
    <row r="170" ht="21" customHeight="1">
      <c r="A170" s="1" t="n"/>
      <c r="B170" s="1" t="n"/>
      <c r="C170" s="2" t="n"/>
      <c r="E170" s="130">
        <f>IF($F170="","","EMP-"&amp;TEXT(ROW()-6,"0000"))</f>
        <v/>
      </c>
      <c r="F170" s="134" t="n">
        <v>46291</v>
      </c>
      <c r="G170" s="127" t="inlineStr">
        <is>
          <t>MEM-027</t>
        </is>
      </c>
      <c r="H170" s="130">
        <f>IF($G170="","",IFERROR(INDEX(MEM_Nom,MATCH($G170,MEM_ID,0)),"⚠ ID inconnu"))</f>
        <v/>
      </c>
      <c r="I170" s="127" t="inlineStr">
        <is>
          <t>LIV-047</t>
        </is>
      </c>
      <c r="J170" s="130">
        <f>IF($I170="","",IFERROR(INDEX(LIV_Titre,MATCH($I170,LIV_Code,0)),"⚠ Code inconnu"))</f>
        <v/>
      </c>
      <c r="K170" s="138">
        <f>IF($F170="","",$F170+P_Duree)</f>
        <v/>
      </c>
      <c r="L170" s="134" t="n"/>
      <c r="M170" s="130">
        <f>IF(OR($F170="",$I170=""),"",IF($L170&lt;&gt;"",IF($L170&gt;$K170,"Rendu en retard","Rendu"),IF(TODAY()&gt;$K170,"En retard","En cours")))</f>
        <v/>
      </c>
      <c r="N170" s="139">
        <f>IF(OR($F170="",$I170=""),"",MAX(0,IF($L170&lt;&gt;"",$L170,TODAY())-$K170))</f>
        <v/>
      </c>
      <c r="O170" s="135">
        <f>IF(OR($F170="",$I170=""),"",$N170*P_Amende)</f>
        <v/>
      </c>
      <c r="P170" s="133" t="n"/>
      <c r="R170">
        <f>IF($M170="En retard",$N170+ROW()/100000,"")</f>
        <v/>
      </c>
      <c r="S170">
        <f>IF(OR($F170="",$I170=""),"",$F170+ROW()/100000)</f>
        <v/>
      </c>
      <c r="T170">
        <f>IF($I170="","",IFERROR(INDEX(LIV_Cat,MATCH($I170,LIV_Code,0)),""))</f>
        <v/>
      </c>
    </row>
    <row r="171" ht="21" customHeight="1">
      <c r="A171" s="1" t="n"/>
      <c r="B171" s="1" t="n"/>
      <c r="C171" s="2" t="n"/>
      <c r="E171" s="130">
        <f>IF($F171="","","EMP-"&amp;TEXT(ROW()-6,"0000"))</f>
        <v/>
      </c>
      <c r="F171" s="134" t="n">
        <v>46293</v>
      </c>
      <c r="G171" s="127" t="inlineStr">
        <is>
          <t>MEM-018</t>
        </is>
      </c>
      <c r="H171" s="130">
        <f>IF($G171="","",IFERROR(INDEX(MEM_Nom,MATCH($G171,MEM_ID,0)),"⚠ ID inconnu"))</f>
        <v/>
      </c>
      <c r="I171" s="127" t="inlineStr">
        <is>
          <t>LIV-001</t>
        </is>
      </c>
      <c r="J171" s="130">
        <f>IF($I171="","",IFERROR(INDEX(LIV_Titre,MATCH($I171,LIV_Code,0)),"⚠ Code inconnu"))</f>
        <v/>
      </c>
      <c r="K171" s="138">
        <f>IF($F171="","",$F171+P_Duree)</f>
        <v/>
      </c>
      <c r="L171" s="134" t="n">
        <v>46304</v>
      </c>
      <c r="M171" s="130">
        <f>IF(OR($F171="",$I171=""),"",IF($L171&lt;&gt;"",IF($L171&gt;$K171,"Rendu en retard","Rendu"),IF(TODAY()&gt;$K171,"En retard","En cours")))</f>
        <v/>
      </c>
      <c r="N171" s="139">
        <f>IF(OR($F171="",$I171=""),"",MAX(0,IF($L171&lt;&gt;"",$L171,TODAY())-$K171))</f>
        <v/>
      </c>
      <c r="O171" s="135">
        <f>IF(OR($F171="",$I171=""),"",$N171*P_Amende)</f>
        <v/>
      </c>
      <c r="P171" s="133" t="n"/>
      <c r="R171">
        <f>IF($M171="En retard",$N171+ROW()/100000,"")</f>
        <v/>
      </c>
      <c r="S171">
        <f>IF(OR($F171="",$I171=""),"",$F171+ROW()/100000)</f>
        <v/>
      </c>
      <c r="T171">
        <f>IF($I171="","",IFERROR(INDEX(LIV_Cat,MATCH($I171,LIV_Code,0)),""))</f>
        <v/>
      </c>
    </row>
    <row r="172" ht="21" customHeight="1">
      <c r="A172" s="1" t="n"/>
      <c r="B172" s="1" t="n"/>
      <c r="C172" s="2" t="n"/>
      <c r="E172" s="130">
        <f>IF($F172="","","EMP-"&amp;TEXT(ROW()-6,"0000"))</f>
        <v/>
      </c>
      <c r="F172" s="134" t="n">
        <v>46294</v>
      </c>
      <c r="G172" s="127" t="inlineStr">
        <is>
          <t>MEM-038</t>
        </is>
      </c>
      <c r="H172" s="130">
        <f>IF($G172="","",IFERROR(INDEX(MEM_Nom,MATCH($G172,MEM_ID,0)),"⚠ ID inconnu"))</f>
        <v/>
      </c>
      <c r="I172" s="127" t="inlineStr">
        <is>
          <t>LIV-005</t>
        </is>
      </c>
      <c r="J172" s="130">
        <f>IF($I172="","",IFERROR(INDEX(LIV_Titre,MATCH($I172,LIV_Code,0)),"⚠ Code inconnu"))</f>
        <v/>
      </c>
      <c r="K172" s="138">
        <f>IF($F172="","",$F172+P_Duree)</f>
        <v/>
      </c>
      <c r="L172" s="134" t="n"/>
      <c r="M172" s="130">
        <f>IF(OR($F172="",$I172=""),"",IF($L172&lt;&gt;"",IF($L172&gt;$K172,"Rendu en retard","Rendu"),IF(TODAY()&gt;$K172,"En retard","En cours")))</f>
        <v/>
      </c>
      <c r="N172" s="139">
        <f>IF(OR($F172="",$I172=""),"",MAX(0,IF($L172&lt;&gt;"",$L172,TODAY())-$K172))</f>
        <v/>
      </c>
      <c r="O172" s="135">
        <f>IF(OR($F172="",$I172=""),"",$N172*P_Amende)</f>
        <v/>
      </c>
      <c r="P172" s="133" t="n"/>
      <c r="R172">
        <f>IF($M172="En retard",$N172+ROW()/100000,"")</f>
        <v/>
      </c>
      <c r="S172">
        <f>IF(OR($F172="",$I172=""),"",$F172+ROW()/100000)</f>
        <v/>
      </c>
      <c r="T172">
        <f>IF($I172="","",IFERROR(INDEX(LIV_Cat,MATCH($I172,LIV_Code,0)),""))</f>
        <v/>
      </c>
    </row>
    <row r="173" ht="21" customHeight="1">
      <c r="A173" s="1" t="n"/>
      <c r="B173" s="1" t="n"/>
      <c r="C173" s="2" t="n"/>
      <c r="E173" s="130">
        <f>IF($F173="","","EMP-"&amp;TEXT(ROW()-6,"0000"))</f>
        <v/>
      </c>
      <c r="F173" s="134" t="n">
        <v>46295</v>
      </c>
      <c r="G173" s="127" t="inlineStr">
        <is>
          <t>MEM-040</t>
        </is>
      </c>
      <c r="H173" s="130">
        <f>IF($G173="","",IFERROR(INDEX(MEM_Nom,MATCH($G173,MEM_ID,0)),"⚠ ID inconnu"))</f>
        <v/>
      </c>
      <c r="I173" s="127" t="inlineStr">
        <is>
          <t>LIV-019</t>
        </is>
      </c>
      <c r="J173" s="130">
        <f>IF($I173="","",IFERROR(INDEX(LIV_Titre,MATCH($I173,LIV_Code,0)),"⚠ Code inconnu"))</f>
        <v/>
      </c>
      <c r="K173" s="138">
        <f>IF($F173="","",$F173+P_Duree)</f>
        <v/>
      </c>
      <c r="L173" s="134" t="n">
        <v>46304</v>
      </c>
      <c r="M173" s="130">
        <f>IF(OR($F173="",$I173=""),"",IF($L173&lt;&gt;"",IF($L173&gt;$K173,"Rendu en retard","Rendu"),IF(TODAY()&gt;$K173,"En retard","En cours")))</f>
        <v/>
      </c>
      <c r="N173" s="139">
        <f>IF(OR($F173="",$I173=""),"",MAX(0,IF($L173&lt;&gt;"",$L173,TODAY())-$K173))</f>
        <v/>
      </c>
      <c r="O173" s="135">
        <f>IF(OR($F173="",$I173=""),"",$N173*P_Amende)</f>
        <v/>
      </c>
      <c r="P173" s="133" t="n"/>
      <c r="R173">
        <f>IF($M173="En retard",$N173+ROW()/100000,"")</f>
        <v/>
      </c>
      <c r="S173">
        <f>IF(OR($F173="",$I173=""),"",$F173+ROW()/100000)</f>
        <v/>
      </c>
      <c r="T173">
        <f>IF($I173="","",IFERROR(INDEX(LIV_Cat,MATCH($I173,LIV_Code,0)),""))</f>
        <v/>
      </c>
    </row>
    <row r="174" ht="21" customHeight="1">
      <c r="A174" s="1" t="n"/>
      <c r="B174" s="1" t="n"/>
      <c r="C174" s="2" t="n"/>
      <c r="E174" s="130">
        <f>IF($F174="","","EMP-"&amp;TEXT(ROW()-6,"0000"))</f>
        <v/>
      </c>
      <c r="F174" s="134" t="n">
        <v>46296</v>
      </c>
      <c r="G174" s="127" t="inlineStr">
        <is>
          <t>MEM-030</t>
        </is>
      </c>
      <c r="H174" s="130">
        <f>IF($G174="","",IFERROR(INDEX(MEM_Nom,MATCH($G174,MEM_ID,0)),"⚠ ID inconnu"))</f>
        <v/>
      </c>
      <c r="I174" s="127" t="inlineStr">
        <is>
          <t>LIV-029</t>
        </is>
      </c>
      <c r="J174" s="130">
        <f>IF($I174="","",IFERROR(INDEX(LIV_Titre,MATCH($I174,LIV_Code,0)),"⚠ Code inconnu"))</f>
        <v/>
      </c>
      <c r="K174" s="138">
        <f>IF($F174="","",$F174+P_Duree)</f>
        <v/>
      </c>
      <c r="L174" s="134" t="n"/>
      <c r="M174" s="130">
        <f>IF(OR($F174="",$I174=""),"",IF($L174&lt;&gt;"",IF($L174&gt;$K174,"Rendu en retard","Rendu"),IF(TODAY()&gt;$K174,"En retard","En cours")))</f>
        <v/>
      </c>
      <c r="N174" s="139">
        <f>IF(OR($F174="",$I174=""),"",MAX(0,IF($L174&lt;&gt;"",$L174,TODAY())-$K174))</f>
        <v/>
      </c>
      <c r="O174" s="135">
        <f>IF(OR($F174="",$I174=""),"",$N174*P_Amende)</f>
        <v/>
      </c>
      <c r="P174" s="133" t="n"/>
      <c r="R174">
        <f>IF($M174="En retard",$N174+ROW()/100000,"")</f>
        <v/>
      </c>
      <c r="S174">
        <f>IF(OR($F174="",$I174=""),"",$F174+ROW()/100000)</f>
        <v/>
      </c>
      <c r="T174">
        <f>IF($I174="","",IFERROR(INDEX(LIV_Cat,MATCH($I174,LIV_Code,0)),""))</f>
        <v/>
      </c>
    </row>
    <row r="175" ht="21" customHeight="1">
      <c r="A175" s="1" t="n"/>
      <c r="B175" s="1" t="n"/>
      <c r="C175" s="2" t="n"/>
      <c r="E175" s="130">
        <f>IF($F175="","","EMP-"&amp;TEXT(ROW()-6,"0000"))</f>
        <v/>
      </c>
      <c r="F175" s="134" t="n">
        <v>46297</v>
      </c>
      <c r="G175" s="127" t="inlineStr">
        <is>
          <t>MEM-035</t>
        </is>
      </c>
      <c r="H175" s="130">
        <f>IF($G175="","",IFERROR(INDEX(MEM_Nom,MATCH($G175,MEM_ID,0)),"⚠ ID inconnu"))</f>
        <v/>
      </c>
      <c r="I175" s="127" t="inlineStr">
        <is>
          <t>LIV-004</t>
        </is>
      </c>
      <c r="J175" s="130">
        <f>IF($I175="","",IFERROR(INDEX(LIV_Titre,MATCH($I175,LIV_Code,0)),"⚠ Code inconnu"))</f>
        <v/>
      </c>
      <c r="K175" s="138">
        <f>IF($F175="","",$F175+P_Duree)</f>
        <v/>
      </c>
      <c r="L175" s="134" t="n"/>
      <c r="M175" s="130">
        <f>IF(OR($F175="",$I175=""),"",IF($L175&lt;&gt;"",IF($L175&gt;$K175,"Rendu en retard","Rendu"),IF(TODAY()&gt;$K175,"En retard","En cours")))</f>
        <v/>
      </c>
      <c r="N175" s="139">
        <f>IF(OR($F175="",$I175=""),"",MAX(0,IF($L175&lt;&gt;"",$L175,TODAY())-$K175))</f>
        <v/>
      </c>
      <c r="O175" s="135">
        <f>IF(OR($F175="",$I175=""),"",$N175*P_Amende)</f>
        <v/>
      </c>
      <c r="P175" s="133" t="n"/>
      <c r="R175">
        <f>IF($M175="En retard",$N175+ROW()/100000,"")</f>
        <v/>
      </c>
      <c r="S175">
        <f>IF(OR($F175="",$I175=""),"",$F175+ROW()/100000)</f>
        <v/>
      </c>
      <c r="T175">
        <f>IF($I175="","",IFERROR(INDEX(LIV_Cat,MATCH($I175,LIV_Code,0)),""))</f>
        <v/>
      </c>
    </row>
    <row r="176" ht="21" customHeight="1">
      <c r="A176" s="1" t="n"/>
      <c r="B176" s="1" t="n"/>
      <c r="C176" s="2" t="n"/>
      <c r="E176" s="130">
        <f>IF($F176="","","EMP-"&amp;TEXT(ROW()-6,"0000"))</f>
        <v/>
      </c>
      <c r="F176" s="134" t="n">
        <v>46298</v>
      </c>
      <c r="G176" s="127" t="inlineStr">
        <is>
          <t>MEM-008</t>
        </is>
      </c>
      <c r="H176" s="130">
        <f>IF($G176="","",IFERROR(INDEX(MEM_Nom,MATCH($G176,MEM_ID,0)),"⚠ ID inconnu"))</f>
        <v/>
      </c>
      <c r="I176" s="127" t="inlineStr">
        <is>
          <t>LIV-003</t>
        </is>
      </c>
      <c r="J176" s="130">
        <f>IF($I176="","",IFERROR(INDEX(LIV_Titre,MATCH($I176,LIV_Code,0)),"⚠ Code inconnu"))</f>
        <v/>
      </c>
      <c r="K176" s="138">
        <f>IF($F176="","",$F176+P_Duree)</f>
        <v/>
      </c>
      <c r="L176" s="134" t="n"/>
      <c r="M176" s="130">
        <f>IF(OR($F176="",$I176=""),"",IF($L176&lt;&gt;"",IF($L176&gt;$K176,"Rendu en retard","Rendu"),IF(TODAY()&gt;$K176,"En retard","En cours")))</f>
        <v/>
      </c>
      <c r="N176" s="139">
        <f>IF(OR($F176="",$I176=""),"",MAX(0,IF($L176&lt;&gt;"",$L176,TODAY())-$K176))</f>
        <v/>
      </c>
      <c r="O176" s="135">
        <f>IF(OR($F176="",$I176=""),"",$N176*P_Amende)</f>
        <v/>
      </c>
      <c r="P176" s="133" t="n"/>
      <c r="R176">
        <f>IF($M176="En retard",$N176+ROW()/100000,"")</f>
        <v/>
      </c>
      <c r="S176">
        <f>IF(OR($F176="",$I176=""),"",$F176+ROW()/100000)</f>
        <v/>
      </c>
      <c r="T176">
        <f>IF($I176="","",IFERROR(INDEX(LIV_Cat,MATCH($I176,LIV_Code,0)),""))</f>
        <v/>
      </c>
    </row>
    <row r="177" ht="21" customHeight="1">
      <c r="A177" s="1" t="n"/>
      <c r="B177" s="1" t="n"/>
      <c r="C177" s="2" t="n"/>
      <c r="E177" s="130">
        <f>IF($F177="","","EMP-"&amp;TEXT(ROW()-6,"0000"))</f>
        <v/>
      </c>
      <c r="F177" s="134" t="n">
        <v>46301</v>
      </c>
      <c r="G177" s="127" t="inlineStr">
        <is>
          <t>MEM-020</t>
        </is>
      </c>
      <c r="H177" s="130">
        <f>IF($G177="","",IFERROR(INDEX(MEM_Nom,MATCH($G177,MEM_ID,0)),"⚠ ID inconnu"))</f>
        <v/>
      </c>
      <c r="I177" s="127" t="inlineStr">
        <is>
          <t>LIV-060</t>
        </is>
      </c>
      <c r="J177" s="130">
        <f>IF($I177="","",IFERROR(INDEX(LIV_Titre,MATCH($I177,LIV_Code,0)),"⚠ Code inconnu"))</f>
        <v/>
      </c>
      <c r="K177" s="138">
        <f>IF($F177="","",$F177+P_Duree)</f>
        <v/>
      </c>
      <c r="L177" s="134" t="n"/>
      <c r="M177" s="130">
        <f>IF(OR($F177="",$I177=""),"",IF($L177&lt;&gt;"",IF($L177&gt;$K177,"Rendu en retard","Rendu"),IF(TODAY()&gt;$K177,"En retard","En cours")))</f>
        <v/>
      </c>
      <c r="N177" s="139">
        <f>IF(OR($F177="",$I177=""),"",MAX(0,IF($L177&lt;&gt;"",$L177,TODAY())-$K177))</f>
        <v/>
      </c>
      <c r="O177" s="135">
        <f>IF(OR($F177="",$I177=""),"",$N177*P_Amende)</f>
        <v/>
      </c>
      <c r="P177" s="133" t="n"/>
      <c r="R177">
        <f>IF($M177="En retard",$N177+ROW()/100000,"")</f>
        <v/>
      </c>
      <c r="S177">
        <f>IF(OR($F177="",$I177=""),"",$F177+ROW()/100000)</f>
        <v/>
      </c>
      <c r="T177">
        <f>IF($I177="","",IFERROR(INDEX(LIV_Cat,MATCH($I177,LIV_Code,0)),""))</f>
        <v/>
      </c>
    </row>
    <row r="178" ht="21" customHeight="1">
      <c r="A178" s="1" t="n"/>
      <c r="B178" s="1" t="n"/>
      <c r="C178" s="2" t="n"/>
      <c r="E178" s="130">
        <f>IF($F178="","","EMP-"&amp;TEXT(ROW()-6,"0000"))</f>
        <v/>
      </c>
      <c r="F178" s="134" t="n">
        <v>46302</v>
      </c>
      <c r="G178" s="127" t="inlineStr">
        <is>
          <t>MEM-003</t>
        </is>
      </c>
      <c r="H178" s="130">
        <f>IF($G178="","",IFERROR(INDEX(MEM_Nom,MATCH($G178,MEM_ID,0)),"⚠ ID inconnu"))</f>
        <v/>
      </c>
      <c r="I178" s="127" t="inlineStr">
        <is>
          <t>LIV-059</t>
        </is>
      </c>
      <c r="J178" s="130">
        <f>IF($I178="","",IFERROR(INDEX(LIV_Titre,MATCH($I178,LIV_Code,0)),"⚠ Code inconnu"))</f>
        <v/>
      </c>
      <c r="K178" s="138">
        <f>IF($F178="","",$F178+P_Duree)</f>
        <v/>
      </c>
      <c r="L178" s="134" t="n"/>
      <c r="M178" s="130">
        <f>IF(OR($F178="",$I178=""),"",IF($L178&lt;&gt;"",IF($L178&gt;$K178,"Rendu en retard","Rendu"),IF(TODAY()&gt;$K178,"En retard","En cours")))</f>
        <v/>
      </c>
      <c r="N178" s="139">
        <f>IF(OR($F178="",$I178=""),"",MAX(0,IF($L178&lt;&gt;"",$L178,TODAY())-$K178))</f>
        <v/>
      </c>
      <c r="O178" s="135">
        <f>IF(OR($F178="",$I178=""),"",$N178*P_Amende)</f>
        <v/>
      </c>
      <c r="P178" s="133" t="n"/>
      <c r="R178">
        <f>IF($M178="En retard",$N178+ROW()/100000,"")</f>
        <v/>
      </c>
      <c r="S178">
        <f>IF(OR($F178="",$I178=""),"",$F178+ROW()/100000)</f>
        <v/>
      </c>
      <c r="T178">
        <f>IF($I178="","",IFERROR(INDEX(LIV_Cat,MATCH($I178,LIV_Code,0)),""))</f>
        <v/>
      </c>
    </row>
    <row r="179" ht="21" customHeight="1">
      <c r="A179" s="1" t="n"/>
      <c r="B179" s="1" t="n"/>
      <c r="C179" s="2" t="n"/>
      <c r="E179" s="130">
        <f>IF($F179="","","EMP-"&amp;TEXT(ROW()-6,"0000"))</f>
        <v/>
      </c>
      <c r="F179" s="134" t="n">
        <v>46303</v>
      </c>
      <c r="G179" s="127" t="inlineStr">
        <is>
          <t>MEM-020</t>
        </is>
      </c>
      <c r="H179" s="130">
        <f>IF($G179="","",IFERROR(INDEX(MEM_Nom,MATCH($G179,MEM_ID,0)),"⚠ ID inconnu"))</f>
        <v/>
      </c>
      <c r="I179" s="127" t="inlineStr">
        <is>
          <t>LIV-004</t>
        </is>
      </c>
      <c r="J179" s="130">
        <f>IF($I179="","",IFERROR(INDEX(LIV_Titre,MATCH($I179,LIV_Code,0)),"⚠ Code inconnu"))</f>
        <v/>
      </c>
      <c r="K179" s="138">
        <f>IF($F179="","",$F179+P_Duree)</f>
        <v/>
      </c>
      <c r="L179" s="134" t="n"/>
      <c r="M179" s="130">
        <f>IF(OR($F179="",$I179=""),"",IF($L179&lt;&gt;"",IF($L179&gt;$K179,"Rendu en retard","Rendu"),IF(TODAY()&gt;$K179,"En retard","En cours")))</f>
        <v/>
      </c>
      <c r="N179" s="139">
        <f>IF(OR($F179="",$I179=""),"",MAX(0,IF($L179&lt;&gt;"",$L179,TODAY())-$K179))</f>
        <v/>
      </c>
      <c r="O179" s="135">
        <f>IF(OR($F179="",$I179=""),"",$N179*P_Amende)</f>
        <v/>
      </c>
      <c r="P179" s="133" t="n"/>
      <c r="R179">
        <f>IF($M179="En retard",$N179+ROW()/100000,"")</f>
        <v/>
      </c>
      <c r="S179">
        <f>IF(OR($F179="",$I179=""),"",$F179+ROW()/100000)</f>
        <v/>
      </c>
      <c r="T179">
        <f>IF($I179="","",IFERROR(INDEX(LIV_Cat,MATCH($I179,LIV_Code,0)),""))</f>
        <v/>
      </c>
    </row>
    <row r="180" ht="21" customHeight="1">
      <c r="A180" s="1" t="n"/>
      <c r="B180" s="1" t="n"/>
      <c r="C180" s="2" t="n"/>
      <c r="E180" s="130">
        <f>IF($F180="","","EMP-"&amp;TEXT(ROW()-6,"0000"))</f>
        <v/>
      </c>
      <c r="F180" s="134" t="n">
        <v>46304</v>
      </c>
      <c r="G180" s="127" t="inlineStr">
        <is>
          <t>MEM-040</t>
        </is>
      </c>
      <c r="H180" s="130">
        <f>IF($G180="","",IFERROR(INDEX(MEM_Nom,MATCH($G180,MEM_ID,0)),"⚠ ID inconnu"))</f>
        <v/>
      </c>
      <c r="I180" s="127" t="inlineStr">
        <is>
          <t>LIV-010</t>
        </is>
      </c>
      <c r="J180" s="130">
        <f>IF($I180="","",IFERROR(INDEX(LIV_Titre,MATCH($I180,LIV_Code,0)),"⚠ Code inconnu"))</f>
        <v/>
      </c>
      <c r="K180" s="138">
        <f>IF($F180="","",$F180+P_Duree)</f>
        <v/>
      </c>
      <c r="L180" s="134" t="n"/>
      <c r="M180" s="130">
        <f>IF(OR($F180="",$I180=""),"",IF($L180&lt;&gt;"",IF($L180&gt;$K180,"Rendu en retard","Rendu"),IF(TODAY()&gt;$K180,"En retard","En cours")))</f>
        <v/>
      </c>
      <c r="N180" s="139">
        <f>IF(OR($F180="",$I180=""),"",MAX(0,IF($L180&lt;&gt;"",$L180,TODAY())-$K180))</f>
        <v/>
      </c>
      <c r="O180" s="135">
        <f>IF(OR($F180="",$I180=""),"",$N180*P_Amende)</f>
        <v/>
      </c>
      <c r="P180" s="133" t="n"/>
      <c r="R180">
        <f>IF($M180="En retard",$N180+ROW()/100000,"")</f>
        <v/>
      </c>
      <c r="S180">
        <f>IF(OR($F180="",$I180=""),"",$F180+ROW()/100000)</f>
        <v/>
      </c>
      <c r="T180">
        <f>IF($I180="","",IFERROR(INDEX(LIV_Cat,MATCH($I180,LIV_Code,0)),""))</f>
        <v/>
      </c>
    </row>
    <row r="181" ht="21" customHeight="1">
      <c r="A181" s="1" t="n"/>
      <c r="B181" s="1" t="n"/>
      <c r="C181" s="2" t="n"/>
      <c r="E181" s="130">
        <f>IF($F181="","","EMP-"&amp;TEXT(ROW()-6,"0000"))</f>
        <v/>
      </c>
      <c r="F181" s="134" t="n">
        <v>46304</v>
      </c>
      <c r="G181" s="127" t="inlineStr">
        <is>
          <t>MEM-005</t>
        </is>
      </c>
      <c r="H181" s="130">
        <f>IF($G181="","",IFERROR(INDEX(MEM_Nom,MATCH($G181,MEM_ID,0)),"⚠ ID inconnu"))</f>
        <v/>
      </c>
      <c r="I181" s="127" t="inlineStr">
        <is>
          <t>LIV-023</t>
        </is>
      </c>
      <c r="J181" s="130">
        <f>IF($I181="","",IFERROR(INDEX(LIV_Titre,MATCH($I181,LIV_Code,0)),"⚠ Code inconnu"))</f>
        <v/>
      </c>
      <c r="K181" s="138">
        <f>IF($F181="","",$F181+P_Duree)</f>
        <v/>
      </c>
      <c r="L181" s="134" t="n"/>
      <c r="M181" s="130">
        <f>IF(OR($F181="",$I181=""),"",IF($L181&lt;&gt;"",IF($L181&gt;$K181,"Rendu en retard","Rendu"),IF(TODAY()&gt;$K181,"En retard","En cours")))</f>
        <v/>
      </c>
      <c r="N181" s="139">
        <f>IF(OR($F181="",$I181=""),"",MAX(0,IF($L181&lt;&gt;"",$L181,TODAY())-$K181))</f>
        <v/>
      </c>
      <c r="O181" s="135">
        <f>IF(OR($F181="",$I181=""),"",$N181*P_Amende)</f>
        <v/>
      </c>
      <c r="P181" s="133" t="n"/>
      <c r="R181">
        <f>IF($M181="En retard",$N181+ROW()/100000,"")</f>
        <v/>
      </c>
      <c r="S181">
        <f>IF(OR($F181="",$I181=""),"",$F181+ROW()/100000)</f>
        <v/>
      </c>
      <c r="T181">
        <f>IF($I181="","",IFERROR(INDEX(LIV_Cat,MATCH($I181,LIV_Code,0)),""))</f>
        <v/>
      </c>
    </row>
    <row r="182" ht="21" customHeight="1">
      <c r="A182" s="1" t="n"/>
      <c r="B182" s="1" t="n"/>
      <c r="C182" s="2" t="n"/>
      <c r="E182" s="130">
        <f>IF($F182="","","EMP-"&amp;TEXT(ROW()-6,"0000"))</f>
        <v/>
      </c>
      <c r="F182" s="134" t="n"/>
      <c r="G182" s="127" t="n"/>
      <c r="H182" s="130">
        <f>IF($G182="","",IFERROR(INDEX(MEM_Nom,MATCH($G182,MEM_ID,0)),"⚠ ID inconnu"))</f>
        <v/>
      </c>
      <c r="I182" s="127" t="n"/>
      <c r="J182" s="130">
        <f>IF($I182="","",IFERROR(INDEX(LIV_Titre,MATCH($I182,LIV_Code,0)),"⚠ Code inconnu"))</f>
        <v/>
      </c>
      <c r="K182" s="138">
        <f>IF($F182="","",$F182+P_Duree)</f>
        <v/>
      </c>
      <c r="L182" s="134" t="n"/>
      <c r="M182" s="130">
        <f>IF(OR($F182="",$I182=""),"",IF($L182&lt;&gt;"",IF($L182&gt;$K182,"Rendu en retard","Rendu"),IF(TODAY()&gt;$K182,"En retard","En cours")))</f>
        <v/>
      </c>
      <c r="N182" s="139">
        <f>IF(OR($F182="",$I182=""),"",MAX(0,IF($L182&lt;&gt;"",$L182,TODAY())-$K182))</f>
        <v/>
      </c>
      <c r="O182" s="135">
        <f>IF(OR($F182="",$I182=""),"",$N182*P_Amende)</f>
        <v/>
      </c>
      <c r="P182" s="133" t="n"/>
      <c r="R182">
        <f>IF($M182="En retard",$N182+ROW()/100000,"")</f>
        <v/>
      </c>
      <c r="S182">
        <f>IF(OR($F182="",$I182=""),"",$F182+ROW()/100000)</f>
        <v/>
      </c>
      <c r="T182">
        <f>IF($I182="","",IFERROR(INDEX(LIV_Cat,MATCH($I182,LIV_Code,0)),""))</f>
        <v/>
      </c>
    </row>
    <row r="183" ht="21" customHeight="1">
      <c r="A183" s="1" t="n"/>
      <c r="B183" s="1" t="n"/>
      <c r="C183" s="2" t="n"/>
      <c r="E183" s="130">
        <f>IF($F183="","","EMP-"&amp;TEXT(ROW()-6,"0000"))</f>
        <v/>
      </c>
      <c r="F183" s="134" t="n"/>
      <c r="G183" s="127" t="n"/>
      <c r="H183" s="130">
        <f>IF($G183="","",IFERROR(INDEX(MEM_Nom,MATCH($G183,MEM_ID,0)),"⚠ ID inconnu"))</f>
        <v/>
      </c>
      <c r="I183" s="127" t="n"/>
      <c r="J183" s="130">
        <f>IF($I183="","",IFERROR(INDEX(LIV_Titre,MATCH($I183,LIV_Code,0)),"⚠ Code inconnu"))</f>
        <v/>
      </c>
      <c r="K183" s="138">
        <f>IF($F183="","",$F183+P_Duree)</f>
        <v/>
      </c>
      <c r="L183" s="134" t="n"/>
      <c r="M183" s="130">
        <f>IF(OR($F183="",$I183=""),"",IF($L183&lt;&gt;"",IF($L183&gt;$K183,"Rendu en retard","Rendu"),IF(TODAY()&gt;$K183,"En retard","En cours")))</f>
        <v/>
      </c>
      <c r="N183" s="139">
        <f>IF(OR($F183="",$I183=""),"",MAX(0,IF($L183&lt;&gt;"",$L183,TODAY())-$K183))</f>
        <v/>
      </c>
      <c r="O183" s="135">
        <f>IF(OR($F183="",$I183=""),"",$N183*P_Amende)</f>
        <v/>
      </c>
      <c r="P183" s="133" t="n"/>
      <c r="R183">
        <f>IF($M183="En retard",$N183+ROW()/100000,"")</f>
        <v/>
      </c>
      <c r="S183">
        <f>IF(OR($F183="",$I183=""),"",$F183+ROW()/100000)</f>
        <v/>
      </c>
      <c r="T183">
        <f>IF($I183="","",IFERROR(INDEX(LIV_Cat,MATCH($I183,LIV_Code,0)),""))</f>
        <v/>
      </c>
    </row>
    <row r="184" ht="21" customHeight="1">
      <c r="A184" s="1" t="n"/>
      <c r="B184" s="1" t="n"/>
      <c r="C184" s="2" t="n"/>
      <c r="E184" s="130">
        <f>IF($F184="","","EMP-"&amp;TEXT(ROW()-6,"0000"))</f>
        <v/>
      </c>
      <c r="F184" s="134" t="n"/>
      <c r="G184" s="127" t="n"/>
      <c r="H184" s="130">
        <f>IF($G184="","",IFERROR(INDEX(MEM_Nom,MATCH($G184,MEM_ID,0)),"⚠ ID inconnu"))</f>
        <v/>
      </c>
      <c r="I184" s="127" t="n"/>
      <c r="J184" s="130">
        <f>IF($I184="","",IFERROR(INDEX(LIV_Titre,MATCH($I184,LIV_Code,0)),"⚠ Code inconnu"))</f>
        <v/>
      </c>
      <c r="K184" s="138">
        <f>IF($F184="","",$F184+P_Duree)</f>
        <v/>
      </c>
      <c r="L184" s="134" t="n"/>
      <c r="M184" s="130">
        <f>IF(OR($F184="",$I184=""),"",IF($L184&lt;&gt;"",IF($L184&gt;$K184,"Rendu en retard","Rendu"),IF(TODAY()&gt;$K184,"En retard","En cours")))</f>
        <v/>
      </c>
      <c r="N184" s="139">
        <f>IF(OR($F184="",$I184=""),"",MAX(0,IF($L184&lt;&gt;"",$L184,TODAY())-$K184))</f>
        <v/>
      </c>
      <c r="O184" s="135">
        <f>IF(OR($F184="",$I184=""),"",$N184*P_Amende)</f>
        <v/>
      </c>
      <c r="P184" s="133" t="n"/>
      <c r="R184">
        <f>IF($M184="En retard",$N184+ROW()/100000,"")</f>
        <v/>
      </c>
      <c r="S184">
        <f>IF(OR($F184="",$I184=""),"",$F184+ROW()/100000)</f>
        <v/>
      </c>
      <c r="T184">
        <f>IF($I184="","",IFERROR(INDEX(LIV_Cat,MATCH($I184,LIV_Code,0)),""))</f>
        <v/>
      </c>
    </row>
    <row r="185" ht="21" customHeight="1">
      <c r="A185" s="1" t="n"/>
      <c r="B185" s="1" t="n"/>
      <c r="C185" s="2" t="n"/>
      <c r="E185" s="130">
        <f>IF($F185="","","EMP-"&amp;TEXT(ROW()-6,"0000"))</f>
        <v/>
      </c>
      <c r="F185" s="134" t="n"/>
      <c r="G185" s="127" t="n"/>
      <c r="H185" s="130">
        <f>IF($G185="","",IFERROR(INDEX(MEM_Nom,MATCH($G185,MEM_ID,0)),"⚠ ID inconnu"))</f>
        <v/>
      </c>
      <c r="I185" s="127" t="n"/>
      <c r="J185" s="130">
        <f>IF($I185="","",IFERROR(INDEX(LIV_Titre,MATCH($I185,LIV_Code,0)),"⚠ Code inconnu"))</f>
        <v/>
      </c>
      <c r="K185" s="138">
        <f>IF($F185="","",$F185+P_Duree)</f>
        <v/>
      </c>
      <c r="L185" s="134" t="n"/>
      <c r="M185" s="130">
        <f>IF(OR($F185="",$I185=""),"",IF($L185&lt;&gt;"",IF($L185&gt;$K185,"Rendu en retard","Rendu"),IF(TODAY()&gt;$K185,"En retard","En cours")))</f>
        <v/>
      </c>
      <c r="N185" s="139">
        <f>IF(OR($F185="",$I185=""),"",MAX(0,IF($L185&lt;&gt;"",$L185,TODAY())-$K185))</f>
        <v/>
      </c>
      <c r="O185" s="135">
        <f>IF(OR($F185="",$I185=""),"",$N185*P_Amende)</f>
        <v/>
      </c>
      <c r="P185" s="133" t="n"/>
      <c r="R185">
        <f>IF($M185="En retard",$N185+ROW()/100000,"")</f>
        <v/>
      </c>
      <c r="S185">
        <f>IF(OR($F185="",$I185=""),"",$F185+ROW()/100000)</f>
        <v/>
      </c>
      <c r="T185">
        <f>IF($I185="","",IFERROR(INDEX(LIV_Cat,MATCH($I185,LIV_Code,0)),""))</f>
        <v/>
      </c>
    </row>
    <row r="186" ht="21" customHeight="1">
      <c r="A186" s="1" t="n"/>
      <c r="B186" s="1" t="n"/>
      <c r="C186" s="2" t="n"/>
      <c r="E186" s="130">
        <f>IF($F186="","","EMP-"&amp;TEXT(ROW()-6,"0000"))</f>
        <v/>
      </c>
      <c r="F186" s="134" t="n"/>
      <c r="G186" s="127" t="n"/>
      <c r="H186" s="130">
        <f>IF($G186="","",IFERROR(INDEX(MEM_Nom,MATCH($G186,MEM_ID,0)),"⚠ ID inconnu"))</f>
        <v/>
      </c>
      <c r="I186" s="127" t="n"/>
      <c r="J186" s="130">
        <f>IF($I186="","",IFERROR(INDEX(LIV_Titre,MATCH($I186,LIV_Code,0)),"⚠ Code inconnu"))</f>
        <v/>
      </c>
      <c r="K186" s="138">
        <f>IF($F186="","",$F186+P_Duree)</f>
        <v/>
      </c>
      <c r="L186" s="134" t="n"/>
      <c r="M186" s="130">
        <f>IF(OR($F186="",$I186=""),"",IF($L186&lt;&gt;"",IF($L186&gt;$K186,"Rendu en retard","Rendu"),IF(TODAY()&gt;$K186,"En retard","En cours")))</f>
        <v/>
      </c>
      <c r="N186" s="139">
        <f>IF(OR($F186="",$I186=""),"",MAX(0,IF($L186&lt;&gt;"",$L186,TODAY())-$K186))</f>
        <v/>
      </c>
      <c r="O186" s="135">
        <f>IF(OR($F186="",$I186=""),"",$N186*P_Amende)</f>
        <v/>
      </c>
      <c r="P186" s="133" t="n"/>
      <c r="R186">
        <f>IF($M186="En retard",$N186+ROW()/100000,"")</f>
        <v/>
      </c>
      <c r="S186">
        <f>IF(OR($F186="",$I186=""),"",$F186+ROW()/100000)</f>
        <v/>
      </c>
      <c r="T186">
        <f>IF($I186="","",IFERROR(INDEX(LIV_Cat,MATCH($I186,LIV_Code,0)),""))</f>
        <v/>
      </c>
    </row>
    <row r="187" ht="21" customHeight="1">
      <c r="A187" s="1" t="n"/>
      <c r="B187" s="1" t="n"/>
      <c r="C187" s="2" t="n"/>
      <c r="E187" s="130">
        <f>IF($F187="","","EMP-"&amp;TEXT(ROW()-6,"0000"))</f>
        <v/>
      </c>
      <c r="F187" s="134" t="n"/>
      <c r="G187" s="127" t="n"/>
      <c r="H187" s="130">
        <f>IF($G187="","",IFERROR(INDEX(MEM_Nom,MATCH($G187,MEM_ID,0)),"⚠ ID inconnu"))</f>
        <v/>
      </c>
      <c r="I187" s="127" t="n"/>
      <c r="J187" s="130">
        <f>IF($I187="","",IFERROR(INDEX(LIV_Titre,MATCH($I187,LIV_Code,0)),"⚠ Code inconnu"))</f>
        <v/>
      </c>
      <c r="K187" s="138">
        <f>IF($F187="","",$F187+P_Duree)</f>
        <v/>
      </c>
      <c r="L187" s="134" t="n"/>
      <c r="M187" s="130">
        <f>IF(OR($F187="",$I187=""),"",IF($L187&lt;&gt;"",IF($L187&gt;$K187,"Rendu en retard","Rendu"),IF(TODAY()&gt;$K187,"En retard","En cours")))</f>
        <v/>
      </c>
      <c r="N187" s="139">
        <f>IF(OR($F187="",$I187=""),"",MAX(0,IF($L187&lt;&gt;"",$L187,TODAY())-$K187))</f>
        <v/>
      </c>
      <c r="O187" s="135">
        <f>IF(OR($F187="",$I187=""),"",$N187*P_Amende)</f>
        <v/>
      </c>
      <c r="P187" s="133" t="n"/>
      <c r="R187">
        <f>IF($M187="En retard",$N187+ROW()/100000,"")</f>
        <v/>
      </c>
      <c r="S187">
        <f>IF(OR($F187="",$I187=""),"",$F187+ROW()/100000)</f>
        <v/>
      </c>
      <c r="T187">
        <f>IF($I187="","",IFERROR(INDEX(LIV_Cat,MATCH($I187,LIV_Code,0)),""))</f>
        <v/>
      </c>
    </row>
    <row r="188" ht="21" customHeight="1">
      <c r="A188" s="1" t="n"/>
      <c r="B188" s="1" t="n"/>
      <c r="C188" s="2" t="n"/>
      <c r="E188" s="130">
        <f>IF($F188="","","EMP-"&amp;TEXT(ROW()-6,"0000"))</f>
        <v/>
      </c>
      <c r="F188" s="134" t="n"/>
      <c r="G188" s="127" t="n"/>
      <c r="H188" s="130">
        <f>IF($G188="","",IFERROR(INDEX(MEM_Nom,MATCH($G188,MEM_ID,0)),"⚠ ID inconnu"))</f>
        <v/>
      </c>
      <c r="I188" s="127" t="n"/>
      <c r="J188" s="130">
        <f>IF($I188="","",IFERROR(INDEX(LIV_Titre,MATCH($I188,LIV_Code,0)),"⚠ Code inconnu"))</f>
        <v/>
      </c>
      <c r="K188" s="138">
        <f>IF($F188="","",$F188+P_Duree)</f>
        <v/>
      </c>
      <c r="L188" s="134" t="n"/>
      <c r="M188" s="130">
        <f>IF(OR($F188="",$I188=""),"",IF($L188&lt;&gt;"",IF($L188&gt;$K188,"Rendu en retard","Rendu"),IF(TODAY()&gt;$K188,"En retard","En cours")))</f>
        <v/>
      </c>
      <c r="N188" s="139">
        <f>IF(OR($F188="",$I188=""),"",MAX(0,IF($L188&lt;&gt;"",$L188,TODAY())-$K188))</f>
        <v/>
      </c>
      <c r="O188" s="135">
        <f>IF(OR($F188="",$I188=""),"",$N188*P_Amende)</f>
        <v/>
      </c>
      <c r="P188" s="133" t="n"/>
      <c r="R188">
        <f>IF($M188="En retard",$N188+ROW()/100000,"")</f>
        <v/>
      </c>
      <c r="S188">
        <f>IF(OR($F188="",$I188=""),"",$F188+ROW()/100000)</f>
        <v/>
      </c>
      <c r="T188">
        <f>IF($I188="","",IFERROR(INDEX(LIV_Cat,MATCH($I188,LIV_Code,0)),""))</f>
        <v/>
      </c>
    </row>
    <row r="189" ht="21" customHeight="1">
      <c r="A189" s="1" t="n"/>
      <c r="B189" s="1" t="n"/>
      <c r="C189" s="2" t="n"/>
      <c r="E189" s="130">
        <f>IF($F189="","","EMP-"&amp;TEXT(ROW()-6,"0000"))</f>
        <v/>
      </c>
      <c r="F189" s="134" t="n"/>
      <c r="G189" s="127" t="n"/>
      <c r="H189" s="130">
        <f>IF($G189="","",IFERROR(INDEX(MEM_Nom,MATCH($G189,MEM_ID,0)),"⚠ ID inconnu"))</f>
        <v/>
      </c>
      <c r="I189" s="127" t="n"/>
      <c r="J189" s="130">
        <f>IF($I189="","",IFERROR(INDEX(LIV_Titre,MATCH($I189,LIV_Code,0)),"⚠ Code inconnu"))</f>
        <v/>
      </c>
      <c r="K189" s="138">
        <f>IF($F189="","",$F189+P_Duree)</f>
        <v/>
      </c>
      <c r="L189" s="134" t="n"/>
      <c r="M189" s="130">
        <f>IF(OR($F189="",$I189=""),"",IF($L189&lt;&gt;"",IF($L189&gt;$K189,"Rendu en retard","Rendu"),IF(TODAY()&gt;$K189,"En retard","En cours")))</f>
        <v/>
      </c>
      <c r="N189" s="139">
        <f>IF(OR($F189="",$I189=""),"",MAX(0,IF($L189&lt;&gt;"",$L189,TODAY())-$K189))</f>
        <v/>
      </c>
      <c r="O189" s="135">
        <f>IF(OR($F189="",$I189=""),"",$N189*P_Amende)</f>
        <v/>
      </c>
      <c r="P189" s="133" t="n"/>
      <c r="R189">
        <f>IF($M189="En retard",$N189+ROW()/100000,"")</f>
        <v/>
      </c>
      <c r="S189">
        <f>IF(OR($F189="",$I189=""),"",$F189+ROW()/100000)</f>
        <v/>
      </c>
      <c r="T189">
        <f>IF($I189="","",IFERROR(INDEX(LIV_Cat,MATCH($I189,LIV_Code,0)),""))</f>
        <v/>
      </c>
    </row>
    <row r="190" ht="21" customHeight="1">
      <c r="A190" s="1" t="n"/>
      <c r="B190" s="1" t="n"/>
      <c r="C190" s="2" t="n"/>
      <c r="E190" s="130">
        <f>IF($F190="","","EMP-"&amp;TEXT(ROW()-6,"0000"))</f>
        <v/>
      </c>
      <c r="F190" s="134" t="n"/>
      <c r="G190" s="127" t="n"/>
      <c r="H190" s="130">
        <f>IF($G190="","",IFERROR(INDEX(MEM_Nom,MATCH($G190,MEM_ID,0)),"⚠ ID inconnu"))</f>
        <v/>
      </c>
      <c r="I190" s="127" t="n"/>
      <c r="J190" s="130">
        <f>IF($I190="","",IFERROR(INDEX(LIV_Titre,MATCH($I190,LIV_Code,0)),"⚠ Code inconnu"))</f>
        <v/>
      </c>
      <c r="K190" s="138">
        <f>IF($F190="","",$F190+P_Duree)</f>
        <v/>
      </c>
      <c r="L190" s="134" t="n"/>
      <c r="M190" s="130">
        <f>IF(OR($F190="",$I190=""),"",IF($L190&lt;&gt;"",IF($L190&gt;$K190,"Rendu en retard","Rendu"),IF(TODAY()&gt;$K190,"En retard","En cours")))</f>
        <v/>
      </c>
      <c r="N190" s="139">
        <f>IF(OR($F190="",$I190=""),"",MAX(0,IF($L190&lt;&gt;"",$L190,TODAY())-$K190))</f>
        <v/>
      </c>
      <c r="O190" s="135">
        <f>IF(OR($F190="",$I190=""),"",$N190*P_Amende)</f>
        <v/>
      </c>
      <c r="P190" s="133" t="n"/>
      <c r="R190">
        <f>IF($M190="En retard",$N190+ROW()/100000,"")</f>
        <v/>
      </c>
      <c r="S190">
        <f>IF(OR($F190="",$I190=""),"",$F190+ROW()/100000)</f>
        <v/>
      </c>
      <c r="T190">
        <f>IF($I190="","",IFERROR(INDEX(LIV_Cat,MATCH($I190,LIV_Code,0)),""))</f>
        <v/>
      </c>
    </row>
    <row r="191" ht="21" customHeight="1">
      <c r="A191" s="1" t="n"/>
      <c r="B191" s="1" t="n"/>
      <c r="C191" s="2" t="n"/>
      <c r="E191" s="130">
        <f>IF($F191="","","EMP-"&amp;TEXT(ROW()-6,"0000"))</f>
        <v/>
      </c>
      <c r="F191" s="134" t="n"/>
      <c r="G191" s="127" t="n"/>
      <c r="H191" s="130">
        <f>IF($G191="","",IFERROR(INDEX(MEM_Nom,MATCH($G191,MEM_ID,0)),"⚠ ID inconnu"))</f>
        <v/>
      </c>
      <c r="I191" s="127" t="n"/>
      <c r="J191" s="130">
        <f>IF($I191="","",IFERROR(INDEX(LIV_Titre,MATCH($I191,LIV_Code,0)),"⚠ Code inconnu"))</f>
        <v/>
      </c>
      <c r="K191" s="138">
        <f>IF($F191="","",$F191+P_Duree)</f>
        <v/>
      </c>
      <c r="L191" s="134" t="n"/>
      <c r="M191" s="130">
        <f>IF(OR($F191="",$I191=""),"",IF($L191&lt;&gt;"",IF($L191&gt;$K191,"Rendu en retard","Rendu"),IF(TODAY()&gt;$K191,"En retard","En cours")))</f>
        <v/>
      </c>
      <c r="N191" s="139">
        <f>IF(OR($F191="",$I191=""),"",MAX(0,IF($L191&lt;&gt;"",$L191,TODAY())-$K191))</f>
        <v/>
      </c>
      <c r="O191" s="135">
        <f>IF(OR($F191="",$I191=""),"",$N191*P_Amende)</f>
        <v/>
      </c>
      <c r="P191" s="133" t="n"/>
      <c r="R191">
        <f>IF($M191="En retard",$N191+ROW()/100000,"")</f>
        <v/>
      </c>
      <c r="S191">
        <f>IF(OR($F191="",$I191=""),"",$F191+ROW()/100000)</f>
        <v/>
      </c>
      <c r="T191">
        <f>IF($I191="","",IFERROR(INDEX(LIV_Cat,MATCH($I191,LIV_Code,0)),""))</f>
        <v/>
      </c>
    </row>
    <row r="192" ht="21" customHeight="1">
      <c r="A192" s="1" t="n"/>
      <c r="B192" s="1" t="n"/>
      <c r="C192" s="2" t="n"/>
      <c r="E192" s="130">
        <f>IF($F192="","","EMP-"&amp;TEXT(ROW()-6,"0000"))</f>
        <v/>
      </c>
      <c r="F192" s="134" t="n"/>
      <c r="G192" s="127" t="n"/>
      <c r="H192" s="130">
        <f>IF($G192="","",IFERROR(INDEX(MEM_Nom,MATCH($G192,MEM_ID,0)),"⚠ ID inconnu"))</f>
        <v/>
      </c>
      <c r="I192" s="127" t="n"/>
      <c r="J192" s="130">
        <f>IF($I192="","",IFERROR(INDEX(LIV_Titre,MATCH($I192,LIV_Code,0)),"⚠ Code inconnu"))</f>
        <v/>
      </c>
      <c r="K192" s="138">
        <f>IF($F192="","",$F192+P_Duree)</f>
        <v/>
      </c>
      <c r="L192" s="134" t="n"/>
      <c r="M192" s="130">
        <f>IF(OR($F192="",$I192=""),"",IF($L192&lt;&gt;"",IF($L192&gt;$K192,"Rendu en retard","Rendu"),IF(TODAY()&gt;$K192,"En retard","En cours")))</f>
        <v/>
      </c>
      <c r="N192" s="139">
        <f>IF(OR($F192="",$I192=""),"",MAX(0,IF($L192&lt;&gt;"",$L192,TODAY())-$K192))</f>
        <v/>
      </c>
      <c r="O192" s="135">
        <f>IF(OR($F192="",$I192=""),"",$N192*P_Amende)</f>
        <v/>
      </c>
      <c r="P192" s="133" t="n"/>
      <c r="R192">
        <f>IF($M192="En retard",$N192+ROW()/100000,"")</f>
        <v/>
      </c>
      <c r="S192">
        <f>IF(OR($F192="",$I192=""),"",$F192+ROW()/100000)</f>
        <v/>
      </c>
      <c r="T192">
        <f>IF($I192="","",IFERROR(INDEX(LIV_Cat,MATCH($I192,LIV_Code,0)),""))</f>
        <v/>
      </c>
    </row>
    <row r="193" ht="21" customHeight="1">
      <c r="A193" s="1" t="n"/>
      <c r="B193" s="1" t="n"/>
      <c r="C193" s="2" t="n"/>
      <c r="E193" s="130">
        <f>IF($F193="","","EMP-"&amp;TEXT(ROW()-6,"0000"))</f>
        <v/>
      </c>
      <c r="F193" s="134" t="n"/>
      <c r="G193" s="127" t="n"/>
      <c r="H193" s="130">
        <f>IF($G193="","",IFERROR(INDEX(MEM_Nom,MATCH($G193,MEM_ID,0)),"⚠ ID inconnu"))</f>
        <v/>
      </c>
      <c r="I193" s="127" t="n"/>
      <c r="J193" s="130">
        <f>IF($I193="","",IFERROR(INDEX(LIV_Titre,MATCH($I193,LIV_Code,0)),"⚠ Code inconnu"))</f>
        <v/>
      </c>
      <c r="K193" s="138">
        <f>IF($F193="","",$F193+P_Duree)</f>
        <v/>
      </c>
      <c r="L193" s="134" t="n"/>
      <c r="M193" s="130">
        <f>IF(OR($F193="",$I193=""),"",IF($L193&lt;&gt;"",IF($L193&gt;$K193,"Rendu en retard","Rendu"),IF(TODAY()&gt;$K193,"En retard","En cours")))</f>
        <v/>
      </c>
      <c r="N193" s="139">
        <f>IF(OR($F193="",$I193=""),"",MAX(0,IF($L193&lt;&gt;"",$L193,TODAY())-$K193))</f>
        <v/>
      </c>
      <c r="O193" s="135">
        <f>IF(OR($F193="",$I193=""),"",$N193*P_Amende)</f>
        <v/>
      </c>
      <c r="P193" s="133" t="n"/>
      <c r="R193">
        <f>IF($M193="En retard",$N193+ROW()/100000,"")</f>
        <v/>
      </c>
      <c r="S193">
        <f>IF(OR($F193="",$I193=""),"",$F193+ROW()/100000)</f>
        <v/>
      </c>
      <c r="T193">
        <f>IF($I193="","",IFERROR(INDEX(LIV_Cat,MATCH($I193,LIV_Code,0)),""))</f>
        <v/>
      </c>
    </row>
    <row r="194" ht="21" customHeight="1">
      <c r="A194" s="1" t="n"/>
      <c r="B194" s="1" t="n"/>
      <c r="C194" s="2" t="n"/>
      <c r="E194" s="130">
        <f>IF($F194="","","EMP-"&amp;TEXT(ROW()-6,"0000"))</f>
        <v/>
      </c>
      <c r="F194" s="134" t="n"/>
      <c r="G194" s="127" t="n"/>
      <c r="H194" s="130">
        <f>IF($G194="","",IFERROR(INDEX(MEM_Nom,MATCH($G194,MEM_ID,0)),"⚠ ID inconnu"))</f>
        <v/>
      </c>
      <c r="I194" s="127" t="n"/>
      <c r="J194" s="130">
        <f>IF($I194="","",IFERROR(INDEX(LIV_Titre,MATCH($I194,LIV_Code,0)),"⚠ Code inconnu"))</f>
        <v/>
      </c>
      <c r="K194" s="138">
        <f>IF($F194="","",$F194+P_Duree)</f>
        <v/>
      </c>
      <c r="L194" s="134" t="n"/>
      <c r="M194" s="130">
        <f>IF(OR($F194="",$I194=""),"",IF($L194&lt;&gt;"",IF($L194&gt;$K194,"Rendu en retard","Rendu"),IF(TODAY()&gt;$K194,"En retard","En cours")))</f>
        <v/>
      </c>
      <c r="N194" s="139">
        <f>IF(OR($F194="",$I194=""),"",MAX(0,IF($L194&lt;&gt;"",$L194,TODAY())-$K194))</f>
        <v/>
      </c>
      <c r="O194" s="135">
        <f>IF(OR($F194="",$I194=""),"",$N194*P_Amende)</f>
        <v/>
      </c>
      <c r="P194" s="133" t="n"/>
      <c r="R194">
        <f>IF($M194="En retard",$N194+ROW()/100000,"")</f>
        <v/>
      </c>
      <c r="S194">
        <f>IF(OR($F194="",$I194=""),"",$F194+ROW()/100000)</f>
        <v/>
      </c>
      <c r="T194">
        <f>IF($I194="","",IFERROR(INDEX(LIV_Cat,MATCH($I194,LIV_Code,0)),""))</f>
        <v/>
      </c>
    </row>
    <row r="195" ht="21" customHeight="1">
      <c r="A195" s="1" t="n"/>
      <c r="B195" s="1" t="n"/>
      <c r="C195" s="2" t="n"/>
      <c r="E195" s="130">
        <f>IF($F195="","","EMP-"&amp;TEXT(ROW()-6,"0000"))</f>
        <v/>
      </c>
      <c r="F195" s="134" t="n"/>
      <c r="G195" s="127" t="n"/>
      <c r="H195" s="130">
        <f>IF($G195="","",IFERROR(INDEX(MEM_Nom,MATCH($G195,MEM_ID,0)),"⚠ ID inconnu"))</f>
        <v/>
      </c>
      <c r="I195" s="127" t="n"/>
      <c r="J195" s="130">
        <f>IF($I195="","",IFERROR(INDEX(LIV_Titre,MATCH($I195,LIV_Code,0)),"⚠ Code inconnu"))</f>
        <v/>
      </c>
      <c r="K195" s="138">
        <f>IF($F195="","",$F195+P_Duree)</f>
        <v/>
      </c>
      <c r="L195" s="134" t="n"/>
      <c r="M195" s="130">
        <f>IF(OR($F195="",$I195=""),"",IF($L195&lt;&gt;"",IF($L195&gt;$K195,"Rendu en retard","Rendu"),IF(TODAY()&gt;$K195,"En retard","En cours")))</f>
        <v/>
      </c>
      <c r="N195" s="139">
        <f>IF(OR($F195="",$I195=""),"",MAX(0,IF($L195&lt;&gt;"",$L195,TODAY())-$K195))</f>
        <v/>
      </c>
      <c r="O195" s="135">
        <f>IF(OR($F195="",$I195=""),"",$N195*P_Amende)</f>
        <v/>
      </c>
      <c r="P195" s="133" t="n"/>
      <c r="R195">
        <f>IF($M195="En retard",$N195+ROW()/100000,"")</f>
        <v/>
      </c>
      <c r="S195">
        <f>IF(OR($F195="",$I195=""),"",$F195+ROW()/100000)</f>
        <v/>
      </c>
      <c r="T195">
        <f>IF($I195="","",IFERROR(INDEX(LIV_Cat,MATCH($I195,LIV_Code,0)),""))</f>
        <v/>
      </c>
    </row>
    <row r="196" ht="21" customHeight="1">
      <c r="A196" s="1" t="n"/>
      <c r="B196" s="1" t="n"/>
      <c r="C196" s="2" t="n"/>
      <c r="E196" s="130">
        <f>IF($F196="","","EMP-"&amp;TEXT(ROW()-6,"0000"))</f>
        <v/>
      </c>
      <c r="F196" s="134" t="n"/>
      <c r="G196" s="127" t="n"/>
      <c r="H196" s="130">
        <f>IF($G196="","",IFERROR(INDEX(MEM_Nom,MATCH($G196,MEM_ID,0)),"⚠ ID inconnu"))</f>
        <v/>
      </c>
      <c r="I196" s="127" t="n"/>
      <c r="J196" s="130">
        <f>IF($I196="","",IFERROR(INDEX(LIV_Titre,MATCH($I196,LIV_Code,0)),"⚠ Code inconnu"))</f>
        <v/>
      </c>
      <c r="K196" s="138">
        <f>IF($F196="","",$F196+P_Duree)</f>
        <v/>
      </c>
      <c r="L196" s="134" t="n"/>
      <c r="M196" s="130">
        <f>IF(OR($F196="",$I196=""),"",IF($L196&lt;&gt;"",IF($L196&gt;$K196,"Rendu en retard","Rendu"),IF(TODAY()&gt;$K196,"En retard","En cours")))</f>
        <v/>
      </c>
      <c r="N196" s="139">
        <f>IF(OR($F196="",$I196=""),"",MAX(0,IF($L196&lt;&gt;"",$L196,TODAY())-$K196))</f>
        <v/>
      </c>
      <c r="O196" s="135">
        <f>IF(OR($F196="",$I196=""),"",$N196*P_Amende)</f>
        <v/>
      </c>
      <c r="P196" s="133" t="n"/>
      <c r="R196">
        <f>IF($M196="En retard",$N196+ROW()/100000,"")</f>
        <v/>
      </c>
      <c r="S196">
        <f>IF(OR($F196="",$I196=""),"",$F196+ROW()/100000)</f>
        <v/>
      </c>
      <c r="T196">
        <f>IF($I196="","",IFERROR(INDEX(LIV_Cat,MATCH($I196,LIV_Code,0)),""))</f>
        <v/>
      </c>
    </row>
    <row r="197" ht="21" customHeight="1">
      <c r="A197" s="1" t="n"/>
      <c r="B197" s="1" t="n"/>
      <c r="C197" s="2" t="n"/>
      <c r="E197" s="130">
        <f>IF($F197="","","EMP-"&amp;TEXT(ROW()-6,"0000"))</f>
        <v/>
      </c>
      <c r="F197" s="134" t="n"/>
      <c r="G197" s="127" t="n"/>
      <c r="H197" s="130">
        <f>IF($G197="","",IFERROR(INDEX(MEM_Nom,MATCH($G197,MEM_ID,0)),"⚠ ID inconnu"))</f>
        <v/>
      </c>
      <c r="I197" s="127" t="n"/>
      <c r="J197" s="130">
        <f>IF($I197="","",IFERROR(INDEX(LIV_Titre,MATCH($I197,LIV_Code,0)),"⚠ Code inconnu"))</f>
        <v/>
      </c>
      <c r="K197" s="138">
        <f>IF($F197="","",$F197+P_Duree)</f>
        <v/>
      </c>
      <c r="L197" s="134" t="n"/>
      <c r="M197" s="130">
        <f>IF(OR($F197="",$I197=""),"",IF($L197&lt;&gt;"",IF($L197&gt;$K197,"Rendu en retard","Rendu"),IF(TODAY()&gt;$K197,"En retard","En cours")))</f>
        <v/>
      </c>
      <c r="N197" s="139">
        <f>IF(OR($F197="",$I197=""),"",MAX(0,IF($L197&lt;&gt;"",$L197,TODAY())-$K197))</f>
        <v/>
      </c>
      <c r="O197" s="135">
        <f>IF(OR($F197="",$I197=""),"",$N197*P_Amende)</f>
        <v/>
      </c>
      <c r="P197" s="133" t="n"/>
      <c r="R197">
        <f>IF($M197="En retard",$N197+ROW()/100000,"")</f>
        <v/>
      </c>
      <c r="S197">
        <f>IF(OR($F197="",$I197=""),"",$F197+ROW()/100000)</f>
        <v/>
      </c>
      <c r="T197">
        <f>IF($I197="","",IFERROR(INDEX(LIV_Cat,MATCH($I197,LIV_Code,0)),""))</f>
        <v/>
      </c>
    </row>
    <row r="198" ht="21" customHeight="1">
      <c r="A198" s="1" t="n"/>
      <c r="B198" s="1" t="n"/>
      <c r="C198" s="2" t="n"/>
      <c r="E198" s="130">
        <f>IF($F198="","","EMP-"&amp;TEXT(ROW()-6,"0000"))</f>
        <v/>
      </c>
      <c r="F198" s="134" t="n"/>
      <c r="G198" s="127" t="n"/>
      <c r="H198" s="130">
        <f>IF($G198="","",IFERROR(INDEX(MEM_Nom,MATCH($G198,MEM_ID,0)),"⚠ ID inconnu"))</f>
        <v/>
      </c>
      <c r="I198" s="127" t="n"/>
      <c r="J198" s="130">
        <f>IF($I198="","",IFERROR(INDEX(LIV_Titre,MATCH($I198,LIV_Code,0)),"⚠ Code inconnu"))</f>
        <v/>
      </c>
      <c r="K198" s="138">
        <f>IF($F198="","",$F198+P_Duree)</f>
        <v/>
      </c>
      <c r="L198" s="134" t="n"/>
      <c r="M198" s="130">
        <f>IF(OR($F198="",$I198=""),"",IF($L198&lt;&gt;"",IF($L198&gt;$K198,"Rendu en retard","Rendu"),IF(TODAY()&gt;$K198,"En retard","En cours")))</f>
        <v/>
      </c>
      <c r="N198" s="139">
        <f>IF(OR($F198="",$I198=""),"",MAX(0,IF($L198&lt;&gt;"",$L198,TODAY())-$K198))</f>
        <v/>
      </c>
      <c r="O198" s="135">
        <f>IF(OR($F198="",$I198=""),"",$N198*P_Amende)</f>
        <v/>
      </c>
      <c r="P198" s="133" t="n"/>
      <c r="R198">
        <f>IF($M198="En retard",$N198+ROW()/100000,"")</f>
        <v/>
      </c>
      <c r="S198">
        <f>IF(OR($F198="",$I198=""),"",$F198+ROW()/100000)</f>
        <v/>
      </c>
      <c r="T198">
        <f>IF($I198="","",IFERROR(INDEX(LIV_Cat,MATCH($I198,LIV_Code,0)),""))</f>
        <v/>
      </c>
    </row>
    <row r="199" ht="21" customHeight="1">
      <c r="A199" s="1" t="n"/>
      <c r="B199" s="1" t="n"/>
      <c r="C199" s="2" t="n"/>
      <c r="E199" s="130">
        <f>IF($F199="","","EMP-"&amp;TEXT(ROW()-6,"0000"))</f>
        <v/>
      </c>
      <c r="F199" s="134" t="n"/>
      <c r="G199" s="127" t="n"/>
      <c r="H199" s="130">
        <f>IF($G199="","",IFERROR(INDEX(MEM_Nom,MATCH($G199,MEM_ID,0)),"⚠ ID inconnu"))</f>
        <v/>
      </c>
      <c r="I199" s="127" t="n"/>
      <c r="J199" s="130">
        <f>IF($I199="","",IFERROR(INDEX(LIV_Titre,MATCH($I199,LIV_Code,0)),"⚠ Code inconnu"))</f>
        <v/>
      </c>
      <c r="K199" s="138">
        <f>IF($F199="","",$F199+P_Duree)</f>
        <v/>
      </c>
      <c r="L199" s="134" t="n"/>
      <c r="M199" s="130">
        <f>IF(OR($F199="",$I199=""),"",IF($L199&lt;&gt;"",IF($L199&gt;$K199,"Rendu en retard","Rendu"),IF(TODAY()&gt;$K199,"En retard","En cours")))</f>
        <v/>
      </c>
      <c r="N199" s="139">
        <f>IF(OR($F199="",$I199=""),"",MAX(0,IF($L199&lt;&gt;"",$L199,TODAY())-$K199))</f>
        <v/>
      </c>
      <c r="O199" s="135">
        <f>IF(OR($F199="",$I199=""),"",$N199*P_Amende)</f>
        <v/>
      </c>
      <c r="P199" s="133" t="n"/>
      <c r="R199">
        <f>IF($M199="En retard",$N199+ROW()/100000,"")</f>
        <v/>
      </c>
      <c r="S199">
        <f>IF(OR($F199="",$I199=""),"",$F199+ROW()/100000)</f>
        <v/>
      </c>
      <c r="T199">
        <f>IF($I199="","",IFERROR(INDEX(LIV_Cat,MATCH($I199,LIV_Code,0)),""))</f>
        <v/>
      </c>
    </row>
    <row r="200" ht="21" customHeight="1">
      <c r="A200" s="1" t="n"/>
      <c r="B200" s="1" t="n"/>
      <c r="C200" s="2" t="n"/>
      <c r="E200" s="130">
        <f>IF($F200="","","EMP-"&amp;TEXT(ROW()-6,"0000"))</f>
        <v/>
      </c>
      <c r="F200" s="134" t="n"/>
      <c r="G200" s="127" t="n"/>
      <c r="H200" s="130">
        <f>IF($G200="","",IFERROR(INDEX(MEM_Nom,MATCH($G200,MEM_ID,0)),"⚠ ID inconnu"))</f>
        <v/>
      </c>
      <c r="I200" s="127" t="n"/>
      <c r="J200" s="130">
        <f>IF($I200="","",IFERROR(INDEX(LIV_Titre,MATCH($I200,LIV_Code,0)),"⚠ Code inconnu"))</f>
        <v/>
      </c>
      <c r="K200" s="138">
        <f>IF($F200="","",$F200+P_Duree)</f>
        <v/>
      </c>
      <c r="L200" s="134" t="n"/>
      <c r="M200" s="130">
        <f>IF(OR($F200="",$I200=""),"",IF($L200&lt;&gt;"",IF($L200&gt;$K200,"Rendu en retard","Rendu"),IF(TODAY()&gt;$K200,"En retard","En cours")))</f>
        <v/>
      </c>
      <c r="N200" s="139">
        <f>IF(OR($F200="",$I200=""),"",MAX(0,IF($L200&lt;&gt;"",$L200,TODAY())-$K200))</f>
        <v/>
      </c>
      <c r="O200" s="135">
        <f>IF(OR($F200="",$I200=""),"",$N200*P_Amende)</f>
        <v/>
      </c>
      <c r="P200" s="133" t="n"/>
      <c r="R200">
        <f>IF($M200="En retard",$N200+ROW()/100000,"")</f>
        <v/>
      </c>
      <c r="S200">
        <f>IF(OR($F200="",$I200=""),"",$F200+ROW()/100000)</f>
        <v/>
      </c>
      <c r="T200">
        <f>IF($I200="","",IFERROR(INDEX(LIV_Cat,MATCH($I200,LIV_Code,0)),""))</f>
        <v/>
      </c>
    </row>
    <row r="201" ht="21" customHeight="1">
      <c r="A201" s="1" t="n"/>
      <c r="B201" s="1" t="n"/>
      <c r="C201" s="2" t="n"/>
      <c r="E201" s="130">
        <f>IF($F201="","","EMP-"&amp;TEXT(ROW()-6,"0000"))</f>
        <v/>
      </c>
      <c r="F201" s="134" t="n"/>
      <c r="G201" s="127" t="n"/>
      <c r="H201" s="130">
        <f>IF($G201="","",IFERROR(INDEX(MEM_Nom,MATCH($G201,MEM_ID,0)),"⚠ ID inconnu"))</f>
        <v/>
      </c>
      <c r="I201" s="127" t="n"/>
      <c r="J201" s="130">
        <f>IF($I201="","",IFERROR(INDEX(LIV_Titre,MATCH($I201,LIV_Code,0)),"⚠ Code inconnu"))</f>
        <v/>
      </c>
      <c r="K201" s="138">
        <f>IF($F201="","",$F201+P_Duree)</f>
        <v/>
      </c>
      <c r="L201" s="134" t="n"/>
      <c r="M201" s="130">
        <f>IF(OR($F201="",$I201=""),"",IF($L201&lt;&gt;"",IF($L201&gt;$K201,"Rendu en retard","Rendu"),IF(TODAY()&gt;$K201,"En retard","En cours")))</f>
        <v/>
      </c>
      <c r="N201" s="139">
        <f>IF(OR($F201="",$I201=""),"",MAX(0,IF($L201&lt;&gt;"",$L201,TODAY())-$K201))</f>
        <v/>
      </c>
      <c r="O201" s="135">
        <f>IF(OR($F201="",$I201=""),"",$N201*P_Amende)</f>
        <v/>
      </c>
      <c r="P201" s="133" t="n"/>
      <c r="R201">
        <f>IF($M201="En retard",$N201+ROW()/100000,"")</f>
        <v/>
      </c>
      <c r="S201">
        <f>IF(OR($F201="",$I201=""),"",$F201+ROW()/100000)</f>
        <v/>
      </c>
      <c r="T201">
        <f>IF($I201="","",IFERROR(INDEX(LIV_Cat,MATCH($I201,LIV_Code,0)),""))</f>
        <v/>
      </c>
    </row>
    <row r="202" ht="21" customHeight="1">
      <c r="A202" s="1" t="n"/>
      <c r="B202" s="1" t="n"/>
      <c r="C202" s="2" t="n"/>
      <c r="E202" s="130">
        <f>IF($F202="","","EMP-"&amp;TEXT(ROW()-6,"0000"))</f>
        <v/>
      </c>
      <c r="F202" s="134" t="n"/>
      <c r="G202" s="127" t="n"/>
      <c r="H202" s="130">
        <f>IF($G202="","",IFERROR(INDEX(MEM_Nom,MATCH($G202,MEM_ID,0)),"⚠ ID inconnu"))</f>
        <v/>
      </c>
      <c r="I202" s="127" t="n"/>
      <c r="J202" s="130">
        <f>IF($I202="","",IFERROR(INDEX(LIV_Titre,MATCH($I202,LIV_Code,0)),"⚠ Code inconnu"))</f>
        <v/>
      </c>
      <c r="K202" s="138">
        <f>IF($F202="","",$F202+P_Duree)</f>
        <v/>
      </c>
      <c r="L202" s="134" t="n"/>
      <c r="M202" s="130">
        <f>IF(OR($F202="",$I202=""),"",IF($L202&lt;&gt;"",IF($L202&gt;$K202,"Rendu en retard","Rendu"),IF(TODAY()&gt;$K202,"En retard","En cours")))</f>
        <v/>
      </c>
      <c r="N202" s="139">
        <f>IF(OR($F202="",$I202=""),"",MAX(0,IF($L202&lt;&gt;"",$L202,TODAY())-$K202))</f>
        <v/>
      </c>
      <c r="O202" s="135">
        <f>IF(OR($F202="",$I202=""),"",$N202*P_Amende)</f>
        <v/>
      </c>
      <c r="P202" s="133" t="n"/>
      <c r="R202">
        <f>IF($M202="En retard",$N202+ROW()/100000,"")</f>
        <v/>
      </c>
      <c r="S202">
        <f>IF(OR($F202="",$I202=""),"",$F202+ROW()/100000)</f>
        <v/>
      </c>
      <c r="T202">
        <f>IF($I202="","",IFERROR(INDEX(LIV_Cat,MATCH($I202,LIV_Code,0)),""))</f>
        <v/>
      </c>
    </row>
    <row r="203" ht="21" customHeight="1">
      <c r="A203" s="1" t="n"/>
      <c r="B203" s="1" t="n"/>
      <c r="C203" s="2" t="n"/>
      <c r="E203" s="130">
        <f>IF($F203="","","EMP-"&amp;TEXT(ROW()-6,"0000"))</f>
        <v/>
      </c>
      <c r="F203" s="134" t="n"/>
      <c r="G203" s="127" t="n"/>
      <c r="H203" s="130">
        <f>IF($G203="","",IFERROR(INDEX(MEM_Nom,MATCH($G203,MEM_ID,0)),"⚠ ID inconnu"))</f>
        <v/>
      </c>
      <c r="I203" s="127" t="n"/>
      <c r="J203" s="130">
        <f>IF($I203="","",IFERROR(INDEX(LIV_Titre,MATCH($I203,LIV_Code,0)),"⚠ Code inconnu"))</f>
        <v/>
      </c>
      <c r="K203" s="138">
        <f>IF($F203="","",$F203+P_Duree)</f>
        <v/>
      </c>
      <c r="L203" s="134" t="n"/>
      <c r="M203" s="130">
        <f>IF(OR($F203="",$I203=""),"",IF($L203&lt;&gt;"",IF($L203&gt;$K203,"Rendu en retard","Rendu"),IF(TODAY()&gt;$K203,"En retard","En cours")))</f>
        <v/>
      </c>
      <c r="N203" s="139">
        <f>IF(OR($F203="",$I203=""),"",MAX(0,IF($L203&lt;&gt;"",$L203,TODAY())-$K203))</f>
        <v/>
      </c>
      <c r="O203" s="135">
        <f>IF(OR($F203="",$I203=""),"",$N203*P_Amende)</f>
        <v/>
      </c>
      <c r="P203" s="133" t="n"/>
      <c r="R203">
        <f>IF($M203="En retard",$N203+ROW()/100000,"")</f>
        <v/>
      </c>
      <c r="S203">
        <f>IF(OR($F203="",$I203=""),"",$F203+ROW()/100000)</f>
        <v/>
      </c>
      <c r="T203">
        <f>IF($I203="","",IFERROR(INDEX(LIV_Cat,MATCH($I203,LIV_Code,0)),""))</f>
        <v/>
      </c>
    </row>
    <row r="204" ht="21" customHeight="1">
      <c r="A204" s="1" t="n"/>
      <c r="B204" s="1" t="n"/>
      <c r="C204" s="2" t="n"/>
      <c r="E204" s="130">
        <f>IF($F204="","","EMP-"&amp;TEXT(ROW()-6,"0000"))</f>
        <v/>
      </c>
      <c r="F204" s="134" t="n"/>
      <c r="G204" s="127" t="n"/>
      <c r="H204" s="130">
        <f>IF($G204="","",IFERROR(INDEX(MEM_Nom,MATCH($G204,MEM_ID,0)),"⚠ ID inconnu"))</f>
        <v/>
      </c>
      <c r="I204" s="127" t="n"/>
      <c r="J204" s="130">
        <f>IF($I204="","",IFERROR(INDEX(LIV_Titre,MATCH($I204,LIV_Code,0)),"⚠ Code inconnu"))</f>
        <v/>
      </c>
      <c r="K204" s="138">
        <f>IF($F204="","",$F204+P_Duree)</f>
        <v/>
      </c>
      <c r="L204" s="134" t="n"/>
      <c r="M204" s="130">
        <f>IF(OR($F204="",$I204=""),"",IF($L204&lt;&gt;"",IF($L204&gt;$K204,"Rendu en retard","Rendu"),IF(TODAY()&gt;$K204,"En retard","En cours")))</f>
        <v/>
      </c>
      <c r="N204" s="139">
        <f>IF(OR($F204="",$I204=""),"",MAX(0,IF($L204&lt;&gt;"",$L204,TODAY())-$K204))</f>
        <v/>
      </c>
      <c r="O204" s="135">
        <f>IF(OR($F204="",$I204=""),"",$N204*P_Amende)</f>
        <v/>
      </c>
      <c r="P204" s="133" t="n"/>
      <c r="R204">
        <f>IF($M204="En retard",$N204+ROW()/100000,"")</f>
        <v/>
      </c>
      <c r="S204">
        <f>IF(OR($F204="",$I204=""),"",$F204+ROW()/100000)</f>
        <v/>
      </c>
      <c r="T204">
        <f>IF($I204="","",IFERROR(INDEX(LIV_Cat,MATCH($I204,LIV_Code,0)),""))</f>
        <v/>
      </c>
    </row>
    <row r="205" ht="21" customHeight="1">
      <c r="A205" s="1" t="n"/>
      <c r="B205" s="1" t="n"/>
      <c r="C205" s="2" t="n"/>
      <c r="E205" s="130">
        <f>IF($F205="","","EMP-"&amp;TEXT(ROW()-6,"0000"))</f>
        <v/>
      </c>
      <c r="F205" s="134" t="n"/>
      <c r="G205" s="127" t="n"/>
      <c r="H205" s="130">
        <f>IF($G205="","",IFERROR(INDEX(MEM_Nom,MATCH($G205,MEM_ID,0)),"⚠ ID inconnu"))</f>
        <v/>
      </c>
      <c r="I205" s="127" t="n"/>
      <c r="J205" s="130">
        <f>IF($I205="","",IFERROR(INDEX(LIV_Titre,MATCH($I205,LIV_Code,0)),"⚠ Code inconnu"))</f>
        <v/>
      </c>
      <c r="K205" s="138">
        <f>IF($F205="","",$F205+P_Duree)</f>
        <v/>
      </c>
      <c r="L205" s="134" t="n"/>
      <c r="M205" s="130">
        <f>IF(OR($F205="",$I205=""),"",IF($L205&lt;&gt;"",IF($L205&gt;$K205,"Rendu en retard","Rendu"),IF(TODAY()&gt;$K205,"En retard","En cours")))</f>
        <v/>
      </c>
      <c r="N205" s="139">
        <f>IF(OR($F205="",$I205=""),"",MAX(0,IF($L205&lt;&gt;"",$L205,TODAY())-$K205))</f>
        <v/>
      </c>
      <c r="O205" s="135">
        <f>IF(OR($F205="",$I205=""),"",$N205*P_Amende)</f>
        <v/>
      </c>
      <c r="P205" s="133" t="n"/>
      <c r="R205">
        <f>IF($M205="En retard",$N205+ROW()/100000,"")</f>
        <v/>
      </c>
      <c r="S205">
        <f>IF(OR($F205="",$I205=""),"",$F205+ROW()/100000)</f>
        <v/>
      </c>
      <c r="T205">
        <f>IF($I205="","",IFERROR(INDEX(LIV_Cat,MATCH($I205,LIV_Code,0)),""))</f>
        <v/>
      </c>
    </row>
    <row r="206" ht="21" customHeight="1">
      <c r="A206" s="1" t="n"/>
      <c r="B206" s="1" t="n"/>
      <c r="C206" s="2" t="n"/>
      <c r="E206" s="130">
        <f>IF($F206="","","EMP-"&amp;TEXT(ROW()-6,"0000"))</f>
        <v/>
      </c>
      <c r="F206" s="134" t="n"/>
      <c r="G206" s="127" t="n"/>
      <c r="H206" s="130">
        <f>IF($G206="","",IFERROR(INDEX(MEM_Nom,MATCH($G206,MEM_ID,0)),"⚠ ID inconnu"))</f>
        <v/>
      </c>
      <c r="I206" s="127" t="n"/>
      <c r="J206" s="130">
        <f>IF($I206="","",IFERROR(INDEX(LIV_Titre,MATCH($I206,LIV_Code,0)),"⚠ Code inconnu"))</f>
        <v/>
      </c>
      <c r="K206" s="138">
        <f>IF($F206="","",$F206+P_Duree)</f>
        <v/>
      </c>
      <c r="L206" s="134" t="n"/>
      <c r="M206" s="130">
        <f>IF(OR($F206="",$I206=""),"",IF($L206&lt;&gt;"",IF($L206&gt;$K206,"Rendu en retard","Rendu"),IF(TODAY()&gt;$K206,"En retard","En cours")))</f>
        <v/>
      </c>
      <c r="N206" s="139">
        <f>IF(OR($F206="",$I206=""),"",MAX(0,IF($L206&lt;&gt;"",$L206,TODAY())-$K206))</f>
        <v/>
      </c>
      <c r="O206" s="135">
        <f>IF(OR($F206="",$I206=""),"",$N206*P_Amende)</f>
        <v/>
      </c>
      <c r="P206" s="133" t="n"/>
      <c r="R206">
        <f>IF($M206="En retard",$N206+ROW()/100000,"")</f>
        <v/>
      </c>
      <c r="S206">
        <f>IF(OR($F206="",$I206=""),"",$F206+ROW()/100000)</f>
        <v/>
      </c>
      <c r="T206">
        <f>IF($I206="","",IFERROR(INDEX(LIV_Cat,MATCH($I206,LIV_Code,0)),""))</f>
        <v/>
      </c>
    </row>
    <row r="207" ht="21" customHeight="1">
      <c r="A207" s="1" t="n"/>
      <c r="B207" s="1" t="n"/>
      <c r="C207" s="2" t="n"/>
      <c r="E207" s="130">
        <f>IF($F207="","","EMP-"&amp;TEXT(ROW()-6,"0000"))</f>
        <v/>
      </c>
      <c r="F207" s="134" t="n"/>
      <c r="G207" s="127" t="n"/>
      <c r="H207" s="130">
        <f>IF($G207="","",IFERROR(INDEX(MEM_Nom,MATCH($G207,MEM_ID,0)),"⚠ ID inconnu"))</f>
        <v/>
      </c>
      <c r="I207" s="127" t="n"/>
      <c r="J207" s="130">
        <f>IF($I207="","",IFERROR(INDEX(LIV_Titre,MATCH($I207,LIV_Code,0)),"⚠ Code inconnu"))</f>
        <v/>
      </c>
      <c r="K207" s="138">
        <f>IF($F207="","",$F207+P_Duree)</f>
        <v/>
      </c>
      <c r="L207" s="134" t="n"/>
      <c r="M207" s="130">
        <f>IF(OR($F207="",$I207=""),"",IF($L207&lt;&gt;"",IF($L207&gt;$K207,"Rendu en retard","Rendu"),IF(TODAY()&gt;$K207,"En retard","En cours")))</f>
        <v/>
      </c>
      <c r="N207" s="139">
        <f>IF(OR($F207="",$I207=""),"",MAX(0,IF($L207&lt;&gt;"",$L207,TODAY())-$K207))</f>
        <v/>
      </c>
      <c r="O207" s="135">
        <f>IF(OR($F207="",$I207=""),"",$N207*P_Amende)</f>
        <v/>
      </c>
      <c r="P207" s="133" t="n"/>
      <c r="R207">
        <f>IF($M207="En retard",$N207+ROW()/100000,"")</f>
        <v/>
      </c>
      <c r="S207">
        <f>IF(OR($F207="",$I207=""),"",$F207+ROW()/100000)</f>
        <v/>
      </c>
      <c r="T207">
        <f>IF($I207="","",IFERROR(INDEX(LIV_Cat,MATCH($I207,LIV_Code,0)),""))</f>
        <v/>
      </c>
    </row>
    <row r="208" ht="21" customHeight="1">
      <c r="A208" s="1" t="n"/>
      <c r="B208" s="1" t="n"/>
      <c r="C208" s="2" t="n"/>
      <c r="E208" s="130">
        <f>IF($F208="","","EMP-"&amp;TEXT(ROW()-6,"0000"))</f>
        <v/>
      </c>
      <c r="F208" s="134" t="n"/>
      <c r="G208" s="127" t="n"/>
      <c r="H208" s="130">
        <f>IF($G208="","",IFERROR(INDEX(MEM_Nom,MATCH($G208,MEM_ID,0)),"⚠ ID inconnu"))</f>
        <v/>
      </c>
      <c r="I208" s="127" t="n"/>
      <c r="J208" s="130">
        <f>IF($I208="","",IFERROR(INDEX(LIV_Titre,MATCH($I208,LIV_Code,0)),"⚠ Code inconnu"))</f>
        <v/>
      </c>
      <c r="K208" s="138">
        <f>IF($F208="","",$F208+P_Duree)</f>
        <v/>
      </c>
      <c r="L208" s="134" t="n"/>
      <c r="M208" s="130">
        <f>IF(OR($F208="",$I208=""),"",IF($L208&lt;&gt;"",IF($L208&gt;$K208,"Rendu en retard","Rendu"),IF(TODAY()&gt;$K208,"En retard","En cours")))</f>
        <v/>
      </c>
      <c r="N208" s="139">
        <f>IF(OR($F208="",$I208=""),"",MAX(0,IF($L208&lt;&gt;"",$L208,TODAY())-$K208))</f>
        <v/>
      </c>
      <c r="O208" s="135">
        <f>IF(OR($F208="",$I208=""),"",$N208*P_Amende)</f>
        <v/>
      </c>
      <c r="P208" s="133" t="n"/>
      <c r="R208">
        <f>IF($M208="En retard",$N208+ROW()/100000,"")</f>
        <v/>
      </c>
      <c r="S208">
        <f>IF(OR($F208="",$I208=""),"",$F208+ROW()/100000)</f>
        <v/>
      </c>
      <c r="T208">
        <f>IF($I208="","",IFERROR(INDEX(LIV_Cat,MATCH($I208,LIV_Code,0)),""))</f>
        <v/>
      </c>
    </row>
    <row r="209" ht="21" customHeight="1">
      <c r="A209" s="1" t="n"/>
      <c r="B209" s="1" t="n"/>
      <c r="C209" s="2" t="n"/>
      <c r="E209" s="130">
        <f>IF($F209="","","EMP-"&amp;TEXT(ROW()-6,"0000"))</f>
        <v/>
      </c>
      <c r="F209" s="134" t="n"/>
      <c r="G209" s="127" t="n"/>
      <c r="H209" s="130">
        <f>IF($G209="","",IFERROR(INDEX(MEM_Nom,MATCH($G209,MEM_ID,0)),"⚠ ID inconnu"))</f>
        <v/>
      </c>
      <c r="I209" s="127" t="n"/>
      <c r="J209" s="130">
        <f>IF($I209="","",IFERROR(INDEX(LIV_Titre,MATCH($I209,LIV_Code,0)),"⚠ Code inconnu"))</f>
        <v/>
      </c>
      <c r="K209" s="138">
        <f>IF($F209="","",$F209+P_Duree)</f>
        <v/>
      </c>
      <c r="L209" s="134" t="n"/>
      <c r="M209" s="130">
        <f>IF(OR($F209="",$I209=""),"",IF($L209&lt;&gt;"",IF($L209&gt;$K209,"Rendu en retard","Rendu"),IF(TODAY()&gt;$K209,"En retard","En cours")))</f>
        <v/>
      </c>
      <c r="N209" s="139">
        <f>IF(OR($F209="",$I209=""),"",MAX(0,IF($L209&lt;&gt;"",$L209,TODAY())-$K209))</f>
        <v/>
      </c>
      <c r="O209" s="135">
        <f>IF(OR($F209="",$I209=""),"",$N209*P_Amende)</f>
        <v/>
      </c>
      <c r="P209" s="133" t="n"/>
      <c r="R209">
        <f>IF($M209="En retard",$N209+ROW()/100000,"")</f>
        <v/>
      </c>
      <c r="S209">
        <f>IF(OR($F209="",$I209=""),"",$F209+ROW()/100000)</f>
        <v/>
      </c>
      <c r="T209">
        <f>IF($I209="","",IFERROR(INDEX(LIV_Cat,MATCH($I209,LIV_Code,0)),""))</f>
        <v/>
      </c>
    </row>
    <row r="210" ht="21" customHeight="1">
      <c r="A210" s="1" t="n"/>
      <c r="B210" s="1" t="n"/>
      <c r="C210" s="2" t="n"/>
      <c r="E210" s="130">
        <f>IF($F210="","","EMP-"&amp;TEXT(ROW()-6,"0000"))</f>
        <v/>
      </c>
      <c r="F210" s="134" t="n"/>
      <c r="G210" s="127" t="n"/>
      <c r="H210" s="130">
        <f>IF($G210="","",IFERROR(INDEX(MEM_Nom,MATCH($G210,MEM_ID,0)),"⚠ ID inconnu"))</f>
        <v/>
      </c>
      <c r="I210" s="127" t="n"/>
      <c r="J210" s="130">
        <f>IF($I210="","",IFERROR(INDEX(LIV_Titre,MATCH($I210,LIV_Code,0)),"⚠ Code inconnu"))</f>
        <v/>
      </c>
      <c r="K210" s="138">
        <f>IF($F210="","",$F210+P_Duree)</f>
        <v/>
      </c>
      <c r="L210" s="134" t="n"/>
      <c r="M210" s="130">
        <f>IF(OR($F210="",$I210=""),"",IF($L210&lt;&gt;"",IF($L210&gt;$K210,"Rendu en retard","Rendu"),IF(TODAY()&gt;$K210,"En retard","En cours")))</f>
        <v/>
      </c>
      <c r="N210" s="139">
        <f>IF(OR($F210="",$I210=""),"",MAX(0,IF($L210&lt;&gt;"",$L210,TODAY())-$K210))</f>
        <v/>
      </c>
      <c r="O210" s="135">
        <f>IF(OR($F210="",$I210=""),"",$N210*P_Amende)</f>
        <v/>
      </c>
      <c r="P210" s="133" t="n"/>
      <c r="R210">
        <f>IF($M210="En retard",$N210+ROW()/100000,"")</f>
        <v/>
      </c>
      <c r="S210">
        <f>IF(OR($F210="",$I210=""),"",$F210+ROW()/100000)</f>
        <v/>
      </c>
      <c r="T210">
        <f>IF($I210="","",IFERROR(INDEX(LIV_Cat,MATCH($I210,LIV_Code,0)),""))</f>
        <v/>
      </c>
    </row>
    <row r="211" ht="21" customHeight="1">
      <c r="A211" s="1" t="n"/>
      <c r="B211" s="1" t="n"/>
      <c r="C211" s="2" t="n"/>
      <c r="E211" s="130">
        <f>IF($F211="","","EMP-"&amp;TEXT(ROW()-6,"0000"))</f>
        <v/>
      </c>
      <c r="F211" s="134" t="n"/>
      <c r="G211" s="127" t="n"/>
      <c r="H211" s="130">
        <f>IF($G211="","",IFERROR(INDEX(MEM_Nom,MATCH($G211,MEM_ID,0)),"⚠ ID inconnu"))</f>
        <v/>
      </c>
      <c r="I211" s="127" t="n"/>
      <c r="J211" s="130">
        <f>IF($I211="","",IFERROR(INDEX(LIV_Titre,MATCH($I211,LIV_Code,0)),"⚠ Code inconnu"))</f>
        <v/>
      </c>
      <c r="K211" s="138">
        <f>IF($F211="","",$F211+P_Duree)</f>
        <v/>
      </c>
      <c r="L211" s="134" t="n"/>
      <c r="M211" s="130">
        <f>IF(OR($F211="",$I211=""),"",IF($L211&lt;&gt;"",IF($L211&gt;$K211,"Rendu en retard","Rendu"),IF(TODAY()&gt;$K211,"En retard","En cours")))</f>
        <v/>
      </c>
      <c r="N211" s="139">
        <f>IF(OR($F211="",$I211=""),"",MAX(0,IF($L211&lt;&gt;"",$L211,TODAY())-$K211))</f>
        <v/>
      </c>
      <c r="O211" s="135">
        <f>IF(OR($F211="",$I211=""),"",$N211*P_Amende)</f>
        <v/>
      </c>
      <c r="P211" s="133" t="n"/>
      <c r="R211">
        <f>IF($M211="En retard",$N211+ROW()/100000,"")</f>
        <v/>
      </c>
      <c r="S211">
        <f>IF(OR($F211="",$I211=""),"",$F211+ROW()/100000)</f>
        <v/>
      </c>
      <c r="T211">
        <f>IF($I211="","",IFERROR(INDEX(LIV_Cat,MATCH($I211,LIV_Code,0)),""))</f>
        <v/>
      </c>
    </row>
    <row r="212" ht="21" customHeight="1">
      <c r="A212" s="1" t="n"/>
      <c r="B212" s="1" t="n"/>
      <c r="C212" s="2" t="n"/>
      <c r="E212" s="130">
        <f>IF($F212="","","EMP-"&amp;TEXT(ROW()-6,"0000"))</f>
        <v/>
      </c>
      <c r="F212" s="134" t="n"/>
      <c r="G212" s="127" t="n"/>
      <c r="H212" s="130">
        <f>IF($G212="","",IFERROR(INDEX(MEM_Nom,MATCH($G212,MEM_ID,0)),"⚠ ID inconnu"))</f>
        <v/>
      </c>
      <c r="I212" s="127" t="n"/>
      <c r="J212" s="130">
        <f>IF($I212="","",IFERROR(INDEX(LIV_Titre,MATCH($I212,LIV_Code,0)),"⚠ Code inconnu"))</f>
        <v/>
      </c>
      <c r="K212" s="138">
        <f>IF($F212="","",$F212+P_Duree)</f>
        <v/>
      </c>
      <c r="L212" s="134" t="n"/>
      <c r="M212" s="130">
        <f>IF(OR($F212="",$I212=""),"",IF($L212&lt;&gt;"",IF($L212&gt;$K212,"Rendu en retard","Rendu"),IF(TODAY()&gt;$K212,"En retard","En cours")))</f>
        <v/>
      </c>
      <c r="N212" s="139">
        <f>IF(OR($F212="",$I212=""),"",MAX(0,IF($L212&lt;&gt;"",$L212,TODAY())-$K212))</f>
        <v/>
      </c>
      <c r="O212" s="135">
        <f>IF(OR($F212="",$I212=""),"",$N212*P_Amende)</f>
        <v/>
      </c>
      <c r="P212" s="133" t="n"/>
      <c r="R212">
        <f>IF($M212="En retard",$N212+ROW()/100000,"")</f>
        <v/>
      </c>
      <c r="S212">
        <f>IF(OR($F212="",$I212=""),"",$F212+ROW()/100000)</f>
        <v/>
      </c>
      <c r="T212">
        <f>IF($I212="","",IFERROR(INDEX(LIV_Cat,MATCH($I212,LIV_Code,0)),""))</f>
        <v/>
      </c>
    </row>
    <row r="213" ht="21" customHeight="1">
      <c r="A213" s="1" t="n"/>
      <c r="B213" s="1" t="n"/>
      <c r="C213" s="2" t="n"/>
      <c r="E213" s="130">
        <f>IF($F213="","","EMP-"&amp;TEXT(ROW()-6,"0000"))</f>
        <v/>
      </c>
      <c r="F213" s="134" t="n"/>
      <c r="G213" s="127" t="n"/>
      <c r="H213" s="130">
        <f>IF($G213="","",IFERROR(INDEX(MEM_Nom,MATCH($G213,MEM_ID,0)),"⚠ ID inconnu"))</f>
        <v/>
      </c>
      <c r="I213" s="127" t="n"/>
      <c r="J213" s="130">
        <f>IF($I213="","",IFERROR(INDEX(LIV_Titre,MATCH($I213,LIV_Code,0)),"⚠ Code inconnu"))</f>
        <v/>
      </c>
      <c r="K213" s="138">
        <f>IF($F213="","",$F213+P_Duree)</f>
        <v/>
      </c>
      <c r="L213" s="134" t="n"/>
      <c r="M213" s="130">
        <f>IF(OR($F213="",$I213=""),"",IF($L213&lt;&gt;"",IF($L213&gt;$K213,"Rendu en retard","Rendu"),IF(TODAY()&gt;$K213,"En retard","En cours")))</f>
        <v/>
      </c>
      <c r="N213" s="139">
        <f>IF(OR($F213="",$I213=""),"",MAX(0,IF($L213&lt;&gt;"",$L213,TODAY())-$K213))</f>
        <v/>
      </c>
      <c r="O213" s="135">
        <f>IF(OR($F213="",$I213=""),"",$N213*P_Amende)</f>
        <v/>
      </c>
      <c r="P213" s="133" t="n"/>
      <c r="R213">
        <f>IF($M213="En retard",$N213+ROW()/100000,"")</f>
        <v/>
      </c>
      <c r="S213">
        <f>IF(OR($F213="",$I213=""),"",$F213+ROW()/100000)</f>
        <v/>
      </c>
      <c r="T213">
        <f>IF($I213="","",IFERROR(INDEX(LIV_Cat,MATCH($I213,LIV_Code,0)),""))</f>
        <v/>
      </c>
    </row>
    <row r="214" ht="21" customHeight="1">
      <c r="A214" s="1" t="n"/>
      <c r="B214" s="1" t="n"/>
      <c r="C214" s="2" t="n"/>
      <c r="E214" s="130">
        <f>IF($F214="","","EMP-"&amp;TEXT(ROW()-6,"0000"))</f>
        <v/>
      </c>
      <c r="F214" s="134" t="n"/>
      <c r="G214" s="127" t="n"/>
      <c r="H214" s="130">
        <f>IF($G214="","",IFERROR(INDEX(MEM_Nom,MATCH($G214,MEM_ID,0)),"⚠ ID inconnu"))</f>
        <v/>
      </c>
      <c r="I214" s="127" t="n"/>
      <c r="J214" s="130">
        <f>IF($I214="","",IFERROR(INDEX(LIV_Titre,MATCH($I214,LIV_Code,0)),"⚠ Code inconnu"))</f>
        <v/>
      </c>
      <c r="K214" s="138">
        <f>IF($F214="","",$F214+P_Duree)</f>
        <v/>
      </c>
      <c r="L214" s="134" t="n"/>
      <c r="M214" s="130">
        <f>IF(OR($F214="",$I214=""),"",IF($L214&lt;&gt;"",IF($L214&gt;$K214,"Rendu en retard","Rendu"),IF(TODAY()&gt;$K214,"En retard","En cours")))</f>
        <v/>
      </c>
      <c r="N214" s="139">
        <f>IF(OR($F214="",$I214=""),"",MAX(0,IF($L214&lt;&gt;"",$L214,TODAY())-$K214))</f>
        <v/>
      </c>
      <c r="O214" s="135">
        <f>IF(OR($F214="",$I214=""),"",$N214*P_Amende)</f>
        <v/>
      </c>
      <c r="P214" s="133" t="n"/>
      <c r="R214">
        <f>IF($M214="En retard",$N214+ROW()/100000,"")</f>
        <v/>
      </c>
      <c r="S214">
        <f>IF(OR($F214="",$I214=""),"",$F214+ROW()/100000)</f>
        <v/>
      </c>
      <c r="T214">
        <f>IF($I214="","",IFERROR(INDEX(LIV_Cat,MATCH($I214,LIV_Code,0)),""))</f>
        <v/>
      </c>
    </row>
    <row r="215" ht="21" customHeight="1">
      <c r="A215" s="1" t="n"/>
      <c r="B215" s="1" t="n"/>
      <c r="C215" s="2" t="n"/>
      <c r="E215" s="130">
        <f>IF($F215="","","EMP-"&amp;TEXT(ROW()-6,"0000"))</f>
        <v/>
      </c>
      <c r="F215" s="134" t="n"/>
      <c r="G215" s="127" t="n"/>
      <c r="H215" s="130">
        <f>IF($G215="","",IFERROR(INDEX(MEM_Nom,MATCH($G215,MEM_ID,0)),"⚠ ID inconnu"))</f>
        <v/>
      </c>
      <c r="I215" s="127" t="n"/>
      <c r="J215" s="130">
        <f>IF($I215="","",IFERROR(INDEX(LIV_Titre,MATCH($I215,LIV_Code,0)),"⚠ Code inconnu"))</f>
        <v/>
      </c>
      <c r="K215" s="138">
        <f>IF($F215="","",$F215+P_Duree)</f>
        <v/>
      </c>
      <c r="L215" s="134" t="n"/>
      <c r="M215" s="130">
        <f>IF(OR($F215="",$I215=""),"",IF($L215&lt;&gt;"",IF($L215&gt;$K215,"Rendu en retard","Rendu"),IF(TODAY()&gt;$K215,"En retard","En cours")))</f>
        <v/>
      </c>
      <c r="N215" s="139">
        <f>IF(OR($F215="",$I215=""),"",MAX(0,IF($L215&lt;&gt;"",$L215,TODAY())-$K215))</f>
        <v/>
      </c>
      <c r="O215" s="135">
        <f>IF(OR($F215="",$I215=""),"",$N215*P_Amende)</f>
        <v/>
      </c>
      <c r="P215" s="133" t="n"/>
      <c r="R215">
        <f>IF($M215="En retard",$N215+ROW()/100000,"")</f>
        <v/>
      </c>
      <c r="S215">
        <f>IF(OR($F215="",$I215=""),"",$F215+ROW()/100000)</f>
        <v/>
      </c>
      <c r="T215">
        <f>IF($I215="","",IFERROR(INDEX(LIV_Cat,MATCH($I215,LIV_Code,0)),""))</f>
        <v/>
      </c>
    </row>
    <row r="216" ht="21" customHeight="1">
      <c r="A216" s="1" t="n"/>
      <c r="B216" s="1" t="n"/>
      <c r="C216" s="2" t="n"/>
      <c r="E216" s="130">
        <f>IF($F216="","","EMP-"&amp;TEXT(ROW()-6,"0000"))</f>
        <v/>
      </c>
      <c r="F216" s="134" t="n"/>
      <c r="G216" s="127" t="n"/>
      <c r="H216" s="130">
        <f>IF($G216="","",IFERROR(INDEX(MEM_Nom,MATCH($G216,MEM_ID,0)),"⚠ ID inconnu"))</f>
        <v/>
      </c>
      <c r="I216" s="127" t="n"/>
      <c r="J216" s="130">
        <f>IF($I216="","",IFERROR(INDEX(LIV_Titre,MATCH($I216,LIV_Code,0)),"⚠ Code inconnu"))</f>
        <v/>
      </c>
      <c r="K216" s="138">
        <f>IF($F216="","",$F216+P_Duree)</f>
        <v/>
      </c>
      <c r="L216" s="134" t="n"/>
      <c r="M216" s="130">
        <f>IF(OR($F216="",$I216=""),"",IF($L216&lt;&gt;"",IF($L216&gt;$K216,"Rendu en retard","Rendu"),IF(TODAY()&gt;$K216,"En retard","En cours")))</f>
        <v/>
      </c>
      <c r="N216" s="139">
        <f>IF(OR($F216="",$I216=""),"",MAX(0,IF($L216&lt;&gt;"",$L216,TODAY())-$K216))</f>
        <v/>
      </c>
      <c r="O216" s="135">
        <f>IF(OR($F216="",$I216=""),"",$N216*P_Amende)</f>
        <v/>
      </c>
      <c r="P216" s="133" t="n"/>
      <c r="R216">
        <f>IF($M216="En retard",$N216+ROW()/100000,"")</f>
        <v/>
      </c>
      <c r="S216">
        <f>IF(OR($F216="",$I216=""),"",$F216+ROW()/100000)</f>
        <v/>
      </c>
      <c r="T216">
        <f>IF($I216="","",IFERROR(INDEX(LIV_Cat,MATCH($I216,LIV_Code,0)),""))</f>
        <v/>
      </c>
    </row>
    <row r="217" ht="21" customHeight="1">
      <c r="A217" s="1" t="n"/>
      <c r="B217" s="1" t="n"/>
      <c r="C217" s="2" t="n"/>
      <c r="E217" s="130">
        <f>IF($F217="","","EMP-"&amp;TEXT(ROW()-6,"0000"))</f>
        <v/>
      </c>
      <c r="F217" s="134" t="n"/>
      <c r="G217" s="127" t="n"/>
      <c r="H217" s="130">
        <f>IF($G217="","",IFERROR(INDEX(MEM_Nom,MATCH($G217,MEM_ID,0)),"⚠ ID inconnu"))</f>
        <v/>
      </c>
      <c r="I217" s="127" t="n"/>
      <c r="J217" s="130">
        <f>IF($I217="","",IFERROR(INDEX(LIV_Titre,MATCH($I217,LIV_Code,0)),"⚠ Code inconnu"))</f>
        <v/>
      </c>
      <c r="K217" s="138">
        <f>IF($F217="","",$F217+P_Duree)</f>
        <v/>
      </c>
      <c r="L217" s="134" t="n"/>
      <c r="M217" s="130">
        <f>IF(OR($F217="",$I217=""),"",IF($L217&lt;&gt;"",IF($L217&gt;$K217,"Rendu en retard","Rendu"),IF(TODAY()&gt;$K217,"En retard","En cours")))</f>
        <v/>
      </c>
      <c r="N217" s="139">
        <f>IF(OR($F217="",$I217=""),"",MAX(0,IF($L217&lt;&gt;"",$L217,TODAY())-$K217))</f>
        <v/>
      </c>
      <c r="O217" s="135">
        <f>IF(OR($F217="",$I217=""),"",$N217*P_Amende)</f>
        <v/>
      </c>
      <c r="P217" s="133" t="n"/>
      <c r="R217">
        <f>IF($M217="En retard",$N217+ROW()/100000,"")</f>
        <v/>
      </c>
      <c r="S217">
        <f>IF(OR($F217="",$I217=""),"",$F217+ROW()/100000)</f>
        <v/>
      </c>
      <c r="T217">
        <f>IF($I217="","",IFERROR(INDEX(LIV_Cat,MATCH($I217,LIV_Code,0)),""))</f>
        <v/>
      </c>
    </row>
    <row r="218" ht="21" customHeight="1">
      <c r="A218" s="1" t="n"/>
      <c r="B218" s="1" t="n"/>
      <c r="C218" s="2" t="n"/>
      <c r="E218" s="130">
        <f>IF($F218="","","EMP-"&amp;TEXT(ROW()-6,"0000"))</f>
        <v/>
      </c>
      <c r="F218" s="134" t="n"/>
      <c r="G218" s="127" t="n"/>
      <c r="H218" s="130">
        <f>IF($G218="","",IFERROR(INDEX(MEM_Nom,MATCH($G218,MEM_ID,0)),"⚠ ID inconnu"))</f>
        <v/>
      </c>
      <c r="I218" s="127" t="n"/>
      <c r="J218" s="130">
        <f>IF($I218="","",IFERROR(INDEX(LIV_Titre,MATCH($I218,LIV_Code,0)),"⚠ Code inconnu"))</f>
        <v/>
      </c>
      <c r="K218" s="138">
        <f>IF($F218="","",$F218+P_Duree)</f>
        <v/>
      </c>
      <c r="L218" s="134" t="n"/>
      <c r="M218" s="130">
        <f>IF(OR($F218="",$I218=""),"",IF($L218&lt;&gt;"",IF($L218&gt;$K218,"Rendu en retard","Rendu"),IF(TODAY()&gt;$K218,"En retard","En cours")))</f>
        <v/>
      </c>
      <c r="N218" s="139">
        <f>IF(OR($F218="",$I218=""),"",MAX(0,IF($L218&lt;&gt;"",$L218,TODAY())-$K218))</f>
        <v/>
      </c>
      <c r="O218" s="135">
        <f>IF(OR($F218="",$I218=""),"",$N218*P_Amende)</f>
        <v/>
      </c>
      <c r="P218" s="133" t="n"/>
      <c r="R218">
        <f>IF($M218="En retard",$N218+ROW()/100000,"")</f>
        <v/>
      </c>
      <c r="S218">
        <f>IF(OR($F218="",$I218=""),"",$F218+ROW()/100000)</f>
        <v/>
      </c>
      <c r="T218">
        <f>IF($I218="","",IFERROR(INDEX(LIV_Cat,MATCH($I218,LIV_Code,0)),""))</f>
        <v/>
      </c>
    </row>
    <row r="219" ht="21" customHeight="1">
      <c r="A219" s="1" t="n"/>
      <c r="B219" s="1" t="n"/>
      <c r="C219" s="2" t="n"/>
      <c r="E219" s="130">
        <f>IF($F219="","","EMP-"&amp;TEXT(ROW()-6,"0000"))</f>
        <v/>
      </c>
      <c r="F219" s="134" t="n"/>
      <c r="G219" s="127" t="n"/>
      <c r="H219" s="130">
        <f>IF($G219="","",IFERROR(INDEX(MEM_Nom,MATCH($G219,MEM_ID,0)),"⚠ ID inconnu"))</f>
        <v/>
      </c>
      <c r="I219" s="127" t="n"/>
      <c r="J219" s="130">
        <f>IF($I219="","",IFERROR(INDEX(LIV_Titre,MATCH($I219,LIV_Code,0)),"⚠ Code inconnu"))</f>
        <v/>
      </c>
      <c r="K219" s="138">
        <f>IF($F219="","",$F219+P_Duree)</f>
        <v/>
      </c>
      <c r="L219" s="134" t="n"/>
      <c r="M219" s="130">
        <f>IF(OR($F219="",$I219=""),"",IF($L219&lt;&gt;"",IF($L219&gt;$K219,"Rendu en retard","Rendu"),IF(TODAY()&gt;$K219,"En retard","En cours")))</f>
        <v/>
      </c>
      <c r="N219" s="139">
        <f>IF(OR($F219="",$I219=""),"",MAX(0,IF($L219&lt;&gt;"",$L219,TODAY())-$K219))</f>
        <v/>
      </c>
      <c r="O219" s="135">
        <f>IF(OR($F219="",$I219=""),"",$N219*P_Amende)</f>
        <v/>
      </c>
      <c r="P219" s="133" t="n"/>
      <c r="R219">
        <f>IF($M219="En retard",$N219+ROW()/100000,"")</f>
        <v/>
      </c>
      <c r="S219">
        <f>IF(OR($F219="",$I219=""),"",$F219+ROW()/100000)</f>
        <v/>
      </c>
      <c r="T219">
        <f>IF($I219="","",IFERROR(INDEX(LIV_Cat,MATCH($I219,LIV_Code,0)),""))</f>
        <v/>
      </c>
    </row>
    <row r="220" ht="21" customHeight="1">
      <c r="A220" s="1" t="n"/>
      <c r="B220" s="1" t="n"/>
      <c r="C220" s="2" t="n"/>
      <c r="E220" s="130">
        <f>IF($F220="","","EMP-"&amp;TEXT(ROW()-6,"0000"))</f>
        <v/>
      </c>
      <c r="F220" s="134" t="n"/>
      <c r="G220" s="127" t="n"/>
      <c r="H220" s="130">
        <f>IF($G220="","",IFERROR(INDEX(MEM_Nom,MATCH($G220,MEM_ID,0)),"⚠ ID inconnu"))</f>
        <v/>
      </c>
      <c r="I220" s="127" t="n"/>
      <c r="J220" s="130">
        <f>IF($I220="","",IFERROR(INDEX(LIV_Titre,MATCH($I220,LIV_Code,0)),"⚠ Code inconnu"))</f>
        <v/>
      </c>
      <c r="K220" s="138">
        <f>IF($F220="","",$F220+P_Duree)</f>
        <v/>
      </c>
      <c r="L220" s="134" t="n"/>
      <c r="M220" s="130">
        <f>IF(OR($F220="",$I220=""),"",IF($L220&lt;&gt;"",IF($L220&gt;$K220,"Rendu en retard","Rendu"),IF(TODAY()&gt;$K220,"En retard","En cours")))</f>
        <v/>
      </c>
      <c r="N220" s="139">
        <f>IF(OR($F220="",$I220=""),"",MAX(0,IF($L220&lt;&gt;"",$L220,TODAY())-$K220))</f>
        <v/>
      </c>
      <c r="O220" s="135">
        <f>IF(OR($F220="",$I220=""),"",$N220*P_Amende)</f>
        <v/>
      </c>
      <c r="P220" s="133" t="n"/>
      <c r="R220">
        <f>IF($M220="En retard",$N220+ROW()/100000,"")</f>
        <v/>
      </c>
      <c r="S220">
        <f>IF(OR($F220="",$I220=""),"",$F220+ROW()/100000)</f>
        <v/>
      </c>
      <c r="T220">
        <f>IF($I220="","",IFERROR(INDEX(LIV_Cat,MATCH($I220,LIV_Code,0)),""))</f>
        <v/>
      </c>
    </row>
    <row r="221" ht="21" customHeight="1">
      <c r="A221" s="1" t="n"/>
      <c r="B221" s="1" t="n"/>
      <c r="C221" s="2" t="n"/>
      <c r="E221" s="130">
        <f>IF($F221="","","EMP-"&amp;TEXT(ROW()-6,"0000"))</f>
        <v/>
      </c>
      <c r="F221" s="134" t="n"/>
      <c r="G221" s="127" t="n"/>
      <c r="H221" s="130">
        <f>IF($G221="","",IFERROR(INDEX(MEM_Nom,MATCH($G221,MEM_ID,0)),"⚠ ID inconnu"))</f>
        <v/>
      </c>
      <c r="I221" s="127" t="n"/>
      <c r="J221" s="130">
        <f>IF($I221="","",IFERROR(INDEX(LIV_Titre,MATCH($I221,LIV_Code,0)),"⚠ Code inconnu"))</f>
        <v/>
      </c>
      <c r="K221" s="138">
        <f>IF($F221="","",$F221+P_Duree)</f>
        <v/>
      </c>
      <c r="L221" s="134" t="n"/>
      <c r="M221" s="130">
        <f>IF(OR($F221="",$I221=""),"",IF($L221&lt;&gt;"",IF($L221&gt;$K221,"Rendu en retard","Rendu"),IF(TODAY()&gt;$K221,"En retard","En cours")))</f>
        <v/>
      </c>
      <c r="N221" s="139">
        <f>IF(OR($F221="",$I221=""),"",MAX(0,IF($L221&lt;&gt;"",$L221,TODAY())-$K221))</f>
        <v/>
      </c>
      <c r="O221" s="135">
        <f>IF(OR($F221="",$I221=""),"",$N221*P_Amende)</f>
        <v/>
      </c>
      <c r="P221" s="133" t="n"/>
      <c r="R221">
        <f>IF($M221="En retard",$N221+ROW()/100000,"")</f>
        <v/>
      </c>
      <c r="S221">
        <f>IF(OR($F221="",$I221=""),"",$F221+ROW()/100000)</f>
        <v/>
      </c>
      <c r="T221">
        <f>IF($I221="","",IFERROR(INDEX(LIV_Cat,MATCH($I221,LIV_Code,0)),""))</f>
        <v/>
      </c>
    </row>
    <row r="222" ht="21" customHeight="1">
      <c r="A222" s="1" t="n"/>
      <c r="B222" s="1" t="n"/>
      <c r="C222" s="2" t="n"/>
      <c r="E222" s="130">
        <f>IF($F222="","","EMP-"&amp;TEXT(ROW()-6,"0000"))</f>
        <v/>
      </c>
      <c r="F222" s="134" t="n"/>
      <c r="G222" s="127" t="n"/>
      <c r="H222" s="130">
        <f>IF($G222="","",IFERROR(INDEX(MEM_Nom,MATCH($G222,MEM_ID,0)),"⚠ ID inconnu"))</f>
        <v/>
      </c>
      <c r="I222" s="127" t="n"/>
      <c r="J222" s="130">
        <f>IF($I222="","",IFERROR(INDEX(LIV_Titre,MATCH($I222,LIV_Code,0)),"⚠ Code inconnu"))</f>
        <v/>
      </c>
      <c r="K222" s="138">
        <f>IF($F222="","",$F222+P_Duree)</f>
        <v/>
      </c>
      <c r="L222" s="134" t="n"/>
      <c r="M222" s="130">
        <f>IF(OR($F222="",$I222=""),"",IF($L222&lt;&gt;"",IF($L222&gt;$K222,"Rendu en retard","Rendu"),IF(TODAY()&gt;$K222,"En retard","En cours")))</f>
        <v/>
      </c>
      <c r="N222" s="139">
        <f>IF(OR($F222="",$I222=""),"",MAX(0,IF($L222&lt;&gt;"",$L222,TODAY())-$K222))</f>
        <v/>
      </c>
      <c r="O222" s="135">
        <f>IF(OR($F222="",$I222=""),"",$N222*P_Amende)</f>
        <v/>
      </c>
      <c r="P222" s="133" t="n"/>
      <c r="R222">
        <f>IF($M222="En retard",$N222+ROW()/100000,"")</f>
        <v/>
      </c>
      <c r="S222">
        <f>IF(OR($F222="",$I222=""),"",$F222+ROW()/100000)</f>
        <v/>
      </c>
      <c r="T222">
        <f>IF($I222="","",IFERROR(INDEX(LIV_Cat,MATCH($I222,LIV_Code,0)),""))</f>
        <v/>
      </c>
    </row>
    <row r="223" ht="21" customHeight="1">
      <c r="A223" s="1" t="n"/>
      <c r="B223" s="1" t="n"/>
      <c r="C223" s="2" t="n"/>
      <c r="E223" s="130">
        <f>IF($F223="","","EMP-"&amp;TEXT(ROW()-6,"0000"))</f>
        <v/>
      </c>
      <c r="F223" s="134" t="n"/>
      <c r="G223" s="127" t="n"/>
      <c r="H223" s="130">
        <f>IF($G223="","",IFERROR(INDEX(MEM_Nom,MATCH($G223,MEM_ID,0)),"⚠ ID inconnu"))</f>
        <v/>
      </c>
      <c r="I223" s="127" t="n"/>
      <c r="J223" s="130">
        <f>IF($I223="","",IFERROR(INDEX(LIV_Titre,MATCH($I223,LIV_Code,0)),"⚠ Code inconnu"))</f>
        <v/>
      </c>
      <c r="K223" s="138">
        <f>IF($F223="","",$F223+P_Duree)</f>
        <v/>
      </c>
      <c r="L223" s="134" t="n"/>
      <c r="M223" s="130">
        <f>IF(OR($F223="",$I223=""),"",IF($L223&lt;&gt;"",IF($L223&gt;$K223,"Rendu en retard","Rendu"),IF(TODAY()&gt;$K223,"En retard","En cours")))</f>
        <v/>
      </c>
      <c r="N223" s="139">
        <f>IF(OR($F223="",$I223=""),"",MAX(0,IF($L223&lt;&gt;"",$L223,TODAY())-$K223))</f>
        <v/>
      </c>
      <c r="O223" s="135">
        <f>IF(OR($F223="",$I223=""),"",$N223*P_Amende)</f>
        <v/>
      </c>
      <c r="P223" s="133" t="n"/>
      <c r="R223">
        <f>IF($M223="En retard",$N223+ROW()/100000,"")</f>
        <v/>
      </c>
      <c r="S223">
        <f>IF(OR($F223="",$I223=""),"",$F223+ROW()/100000)</f>
        <v/>
      </c>
      <c r="T223">
        <f>IF($I223="","",IFERROR(INDEX(LIV_Cat,MATCH($I223,LIV_Code,0)),""))</f>
        <v/>
      </c>
    </row>
    <row r="224" ht="21" customHeight="1">
      <c r="A224" s="1" t="n"/>
      <c r="B224" s="1" t="n"/>
      <c r="C224" s="2" t="n"/>
      <c r="E224" s="130">
        <f>IF($F224="","","EMP-"&amp;TEXT(ROW()-6,"0000"))</f>
        <v/>
      </c>
      <c r="F224" s="134" t="n"/>
      <c r="G224" s="127" t="n"/>
      <c r="H224" s="130">
        <f>IF($G224="","",IFERROR(INDEX(MEM_Nom,MATCH($G224,MEM_ID,0)),"⚠ ID inconnu"))</f>
        <v/>
      </c>
      <c r="I224" s="127" t="n"/>
      <c r="J224" s="130">
        <f>IF($I224="","",IFERROR(INDEX(LIV_Titre,MATCH($I224,LIV_Code,0)),"⚠ Code inconnu"))</f>
        <v/>
      </c>
      <c r="K224" s="138">
        <f>IF($F224="","",$F224+P_Duree)</f>
        <v/>
      </c>
      <c r="L224" s="134" t="n"/>
      <c r="M224" s="130">
        <f>IF(OR($F224="",$I224=""),"",IF($L224&lt;&gt;"",IF($L224&gt;$K224,"Rendu en retard","Rendu"),IF(TODAY()&gt;$K224,"En retard","En cours")))</f>
        <v/>
      </c>
      <c r="N224" s="139">
        <f>IF(OR($F224="",$I224=""),"",MAX(0,IF($L224&lt;&gt;"",$L224,TODAY())-$K224))</f>
        <v/>
      </c>
      <c r="O224" s="135">
        <f>IF(OR($F224="",$I224=""),"",$N224*P_Amende)</f>
        <v/>
      </c>
      <c r="P224" s="133" t="n"/>
      <c r="R224">
        <f>IF($M224="En retard",$N224+ROW()/100000,"")</f>
        <v/>
      </c>
      <c r="S224">
        <f>IF(OR($F224="",$I224=""),"",$F224+ROW()/100000)</f>
        <v/>
      </c>
      <c r="T224">
        <f>IF($I224="","",IFERROR(INDEX(LIV_Cat,MATCH($I224,LIV_Code,0)),""))</f>
        <v/>
      </c>
    </row>
    <row r="225" ht="21" customHeight="1">
      <c r="A225" s="1" t="n"/>
      <c r="B225" s="1" t="n"/>
      <c r="C225" s="2" t="n"/>
      <c r="E225" s="130">
        <f>IF($F225="","","EMP-"&amp;TEXT(ROW()-6,"0000"))</f>
        <v/>
      </c>
      <c r="F225" s="134" t="n"/>
      <c r="G225" s="127" t="n"/>
      <c r="H225" s="130">
        <f>IF($G225="","",IFERROR(INDEX(MEM_Nom,MATCH($G225,MEM_ID,0)),"⚠ ID inconnu"))</f>
        <v/>
      </c>
      <c r="I225" s="127" t="n"/>
      <c r="J225" s="130">
        <f>IF($I225="","",IFERROR(INDEX(LIV_Titre,MATCH($I225,LIV_Code,0)),"⚠ Code inconnu"))</f>
        <v/>
      </c>
      <c r="K225" s="138">
        <f>IF($F225="","",$F225+P_Duree)</f>
        <v/>
      </c>
      <c r="L225" s="134" t="n"/>
      <c r="M225" s="130">
        <f>IF(OR($F225="",$I225=""),"",IF($L225&lt;&gt;"",IF($L225&gt;$K225,"Rendu en retard","Rendu"),IF(TODAY()&gt;$K225,"En retard","En cours")))</f>
        <v/>
      </c>
      <c r="N225" s="139">
        <f>IF(OR($F225="",$I225=""),"",MAX(0,IF($L225&lt;&gt;"",$L225,TODAY())-$K225))</f>
        <v/>
      </c>
      <c r="O225" s="135">
        <f>IF(OR($F225="",$I225=""),"",$N225*P_Amende)</f>
        <v/>
      </c>
      <c r="P225" s="133" t="n"/>
      <c r="R225">
        <f>IF($M225="En retard",$N225+ROW()/100000,"")</f>
        <v/>
      </c>
      <c r="S225">
        <f>IF(OR($F225="",$I225=""),"",$F225+ROW()/100000)</f>
        <v/>
      </c>
      <c r="T225">
        <f>IF($I225="","",IFERROR(INDEX(LIV_Cat,MATCH($I225,LIV_Code,0)),""))</f>
        <v/>
      </c>
    </row>
    <row r="226" ht="21" customHeight="1">
      <c r="A226" s="1" t="n"/>
      <c r="B226" s="1" t="n"/>
      <c r="C226" s="2" t="n"/>
      <c r="E226" s="130">
        <f>IF($F226="","","EMP-"&amp;TEXT(ROW()-6,"0000"))</f>
        <v/>
      </c>
      <c r="F226" s="134" t="n"/>
      <c r="G226" s="127" t="n"/>
      <c r="H226" s="130">
        <f>IF($G226="","",IFERROR(INDEX(MEM_Nom,MATCH($G226,MEM_ID,0)),"⚠ ID inconnu"))</f>
        <v/>
      </c>
      <c r="I226" s="127" t="n"/>
      <c r="J226" s="130">
        <f>IF($I226="","",IFERROR(INDEX(LIV_Titre,MATCH($I226,LIV_Code,0)),"⚠ Code inconnu"))</f>
        <v/>
      </c>
      <c r="K226" s="138">
        <f>IF($F226="","",$F226+P_Duree)</f>
        <v/>
      </c>
      <c r="L226" s="134" t="n"/>
      <c r="M226" s="130">
        <f>IF(OR($F226="",$I226=""),"",IF($L226&lt;&gt;"",IF($L226&gt;$K226,"Rendu en retard","Rendu"),IF(TODAY()&gt;$K226,"En retard","En cours")))</f>
        <v/>
      </c>
      <c r="N226" s="139">
        <f>IF(OR($F226="",$I226=""),"",MAX(0,IF($L226&lt;&gt;"",$L226,TODAY())-$K226))</f>
        <v/>
      </c>
      <c r="O226" s="135">
        <f>IF(OR($F226="",$I226=""),"",$N226*P_Amende)</f>
        <v/>
      </c>
      <c r="P226" s="133" t="n"/>
      <c r="R226">
        <f>IF($M226="En retard",$N226+ROW()/100000,"")</f>
        <v/>
      </c>
      <c r="S226">
        <f>IF(OR($F226="",$I226=""),"",$F226+ROW()/100000)</f>
        <v/>
      </c>
      <c r="T226">
        <f>IF($I226="","",IFERROR(INDEX(LIV_Cat,MATCH($I226,LIV_Code,0)),""))</f>
        <v/>
      </c>
    </row>
    <row r="227" ht="21" customHeight="1">
      <c r="A227" s="1" t="n"/>
      <c r="B227" s="1" t="n"/>
      <c r="C227" s="2" t="n"/>
      <c r="E227" s="130">
        <f>IF($F227="","","EMP-"&amp;TEXT(ROW()-6,"0000"))</f>
        <v/>
      </c>
      <c r="F227" s="134" t="n"/>
      <c r="G227" s="127" t="n"/>
      <c r="H227" s="130">
        <f>IF($G227="","",IFERROR(INDEX(MEM_Nom,MATCH($G227,MEM_ID,0)),"⚠ ID inconnu"))</f>
        <v/>
      </c>
      <c r="I227" s="127" t="n"/>
      <c r="J227" s="130">
        <f>IF($I227="","",IFERROR(INDEX(LIV_Titre,MATCH($I227,LIV_Code,0)),"⚠ Code inconnu"))</f>
        <v/>
      </c>
      <c r="K227" s="138">
        <f>IF($F227="","",$F227+P_Duree)</f>
        <v/>
      </c>
      <c r="L227" s="134" t="n"/>
      <c r="M227" s="130">
        <f>IF(OR($F227="",$I227=""),"",IF($L227&lt;&gt;"",IF($L227&gt;$K227,"Rendu en retard","Rendu"),IF(TODAY()&gt;$K227,"En retard","En cours")))</f>
        <v/>
      </c>
      <c r="N227" s="139">
        <f>IF(OR($F227="",$I227=""),"",MAX(0,IF($L227&lt;&gt;"",$L227,TODAY())-$K227))</f>
        <v/>
      </c>
      <c r="O227" s="135">
        <f>IF(OR($F227="",$I227=""),"",$N227*P_Amende)</f>
        <v/>
      </c>
      <c r="P227" s="133" t="n"/>
      <c r="R227">
        <f>IF($M227="En retard",$N227+ROW()/100000,"")</f>
        <v/>
      </c>
      <c r="S227">
        <f>IF(OR($F227="",$I227=""),"",$F227+ROW()/100000)</f>
        <v/>
      </c>
      <c r="T227">
        <f>IF($I227="","",IFERROR(INDEX(LIV_Cat,MATCH($I227,LIV_Code,0)),""))</f>
        <v/>
      </c>
    </row>
    <row r="228" ht="21" customHeight="1">
      <c r="A228" s="1" t="n"/>
      <c r="B228" s="1" t="n"/>
      <c r="C228" s="2" t="n"/>
      <c r="E228" s="130">
        <f>IF($F228="","","EMP-"&amp;TEXT(ROW()-6,"0000"))</f>
        <v/>
      </c>
      <c r="F228" s="134" t="n"/>
      <c r="G228" s="127" t="n"/>
      <c r="H228" s="130">
        <f>IF($G228="","",IFERROR(INDEX(MEM_Nom,MATCH($G228,MEM_ID,0)),"⚠ ID inconnu"))</f>
        <v/>
      </c>
      <c r="I228" s="127" t="n"/>
      <c r="J228" s="130">
        <f>IF($I228="","",IFERROR(INDEX(LIV_Titre,MATCH($I228,LIV_Code,0)),"⚠ Code inconnu"))</f>
        <v/>
      </c>
      <c r="K228" s="138">
        <f>IF($F228="","",$F228+P_Duree)</f>
        <v/>
      </c>
      <c r="L228" s="134" t="n"/>
      <c r="M228" s="130">
        <f>IF(OR($F228="",$I228=""),"",IF($L228&lt;&gt;"",IF($L228&gt;$K228,"Rendu en retard","Rendu"),IF(TODAY()&gt;$K228,"En retard","En cours")))</f>
        <v/>
      </c>
      <c r="N228" s="139">
        <f>IF(OR($F228="",$I228=""),"",MAX(0,IF($L228&lt;&gt;"",$L228,TODAY())-$K228))</f>
        <v/>
      </c>
      <c r="O228" s="135">
        <f>IF(OR($F228="",$I228=""),"",$N228*P_Amende)</f>
        <v/>
      </c>
      <c r="P228" s="133" t="n"/>
      <c r="R228">
        <f>IF($M228="En retard",$N228+ROW()/100000,"")</f>
        <v/>
      </c>
      <c r="S228">
        <f>IF(OR($F228="",$I228=""),"",$F228+ROW()/100000)</f>
        <v/>
      </c>
      <c r="T228">
        <f>IF($I228="","",IFERROR(INDEX(LIV_Cat,MATCH($I228,LIV_Code,0)),""))</f>
        <v/>
      </c>
    </row>
    <row r="229" ht="21" customHeight="1">
      <c r="A229" s="1" t="n"/>
      <c r="B229" s="1" t="n"/>
      <c r="C229" s="2" t="n"/>
      <c r="E229" s="130">
        <f>IF($F229="","","EMP-"&amp;TEXT(ROW()-6,"0000"))</f>
        <v/>
      </c>
      <c r="F229" s="134" t="n"/>
      <c r="G229" s="127" t="n"/>
      <c r="H229" s="130">
        <f>IF($G229="","",IFERROR(INDEX(MEM_Nom,MATCH($G229,MEM_ID,0)),"⚠ ID inconnu"))</f>
        <v/>
      </c>
      <c r="I229" s="127" t="n"/>
      <c r="J229" s="130">
        <f>IF($I229="","",IFERROR(INDEX(LIV_Titre,MATCH($I229,LIV_Code,0)),"⚠ Code inconnu"))</f>
        <v/>
      </c>
      <c r="K229" s="138">
        <f>IF($F229="","",$F229+P_Duree)</f>
        <v/>
      </c>
      <c r="L229" s="134" t="n"/>
      <c r="M229" s="130">
        <f>IF(OR($F229="",$I229=""),"",IF($L229&lt;&gt;"",IF($L229&gt;$K229,"Rendu en retard","Rendu"),IF(TODAY()&gt;$K229,"En retard","En cours")))</f>
        <v/>
      </c>
      <c r="N229" s="139">
        <f>IF(OR($F229="",$I229=""),"",MAX(0,IF($L229&lt;&gt;"",$L229,TODAY())-$K229))</f>
        <v/>
      </c>
      <c r="O229" s="135">
        <f>IF(OR($F229="",$I229=""),"",$N229*P_Amende)</f>
        <v/>
      </c>
      <c r="P229" s="133" t="n"/>
      <c r="R229">
        <f>IF($M229="En retard",$N229+ROW()/100000,"")</f>
        <v/>
      </c>
      <c r="S229">
        <f>IF(OR($F229="",$I229=""),"",$F229+ROW()/100000)</f>
        <v/>
      </c>
      <c r="T229">
        <f>IF($I229="","",IFERROR(INDEX(LIV_Cat,MATCH($I229,LIV_Code,0)),""))</f>
        <v/>
      </c>
    </row>
    <row r="230" ht="21" customHeight="1">
      <c r="A230" s="1" t="n"/>
      <c r="B230" s="1" t="n"/>
      <c r="C230" s="2" t="n"/>
      <c r="E230" s="130">
        <f>IF($F230="","","EMP-"&amp;TEXT(ROW()-6,"0000"))</f>
        <v/>
      </c>
      <c r="F230" s="134" t="n"/>
      <c r="G230" s="127" t="n"/>
      <c r="H230" s="130">
        <f>IF($G230="","",IFERROR(INDEX(MEM_Nom,MATCH($G230,MEM_ID,0)),"⚠ ID inconnu"))</f>
        <v/>
      </c>
      <c r="I230" s="127" t="n"/>
      <c r="J230" s="130">
        <f>IF($I230="","",IFERROR(INDEX(LIV_Titre,MATCH($I230,LIV_Code,0)),"⚠ Code inconnu"))</f>
        <v/>
      </c>
      <c r="K230" s="138">
        <f>IF($F230="","",$F230+P_Duree)</f>
        <v/>
      </c>
      <c r="L230" s="134" t="n"/>
      <c r="M230" s="130">
        <f>IF(OR($F230="",$I230=""),"",IF($L230&lt;&gt;"",IF($L230&gt;$K230,"Rendu en retard","Rendu"),IF(TODAY()&gt;$K230,"En retard","En cours")))</f>
        <v/>
      </c>
      <c r="N230" s="139">
        <f>IF(OR($F230="",$I230=""),"",MAX(0,IF($L230&lt;&gt;"",$L230,TODAY())-$K230))</f>
        <v/>
      </c>
      <c r="O230" s="135">
        <f>IF(OR($F230="",$I230=""),"",$N230*P_Amende)</f>
        <v/>
      </c>
      <c r="P230" s="133" t="n"/>
      <c r="R230">
        <f>IF($M230="En retard",$N230+ROW()/100000,"")</f>
        <v/>
      </c>
      <c r="S230">
        <f>IF(OR($F230="",$I230=""),"",$F230+ROW()/100000)</f>
        <v/>
      </c>
      <c r="T230">
        <f>IF($I230="","",IFERROR(INDEX(LIV_Cat,MATCH($I230,LIV_Code,0)),""))</f>
        <v/>
      </c>
    </row>
    <row r="231" ht="21" customHeight="1">
      <c r="A231" s="1" t="n"/>
      <c r="B231" s="1" t="n"/>
      <c r="C231" s="2" t="n"/>
      <c r="E231" s="130">
        <f>IF($F231="","","EMP-"&amp;TEXT(ROW()-6,"0000"))</f>
        <v/>
      </c>
      <c r="F231" s="134" t="n"/>
      <c r="G231" s="127" t="n"/>
      <c r="H231" s="130">
        <f>IF($G231="","",IFERROR(INDEX(MEM_Nom,MATCH($G231,MEM_ID,0)),"⚠ ID inconnu"))</f>
        <v/>
      </c>
      <c r="I231" s="127" t="n"/>
      <c r="J231" s="130">
        <f>IF($I231="","",IFERROR(INDEX(LIV_Titre,MATCH($I231,LIV_Code,0)),"⚠ Code inconnu"))</f>
        <v/>
      </c>
      <c r="K231" s="138">
        <f>IF($F231="","",$F231+P_Duree)</f>
        <v/>
      </c>
      <c r="L231" s="134" t="n"/>
      <c r="M231" s="130">
        <f>IF(OR($F231="",$I231=""),"",IF($L231&lt;&gt;"",IF($L231&gt;$K231,"Rendu en retard","Rendu"),IF(TODAY()&gt;$K231,"En retard","En cours")))</f>
        <v/>
      </c>
      <c r="N231" s="139">
        <f>IF(OR($F231="",$I231=""),"",MAX(0,IF($L231&lt;&gt;"",$L231,TODAY())-$K231))</f>
        <v/>
      </c>
      <c r="O231" s="135">
        <f>IF(OR($F231="",$I231=""),"",$N231*P_Amende)</f>
        <v/>
      </c>
      <c r="P231" s="133" t="n"/>
      <c r="R231">
        <f>IF($M231="En retard",$N231+ROW()/100000,"")</f>
        <v/>
      </c>
      <c r="S231">
        <f>IF(OR($F231="",$I231=""),"",$F231+ROW()/100000)</f>
        <v/>
      </c>
      <c r="T231">
        <f>IF($I231="","",IFERROR(INDEX(LIV_Cat,MATCH($I231,LIV_Code,0)),""))</f>
        <v/>
      </c>
    </row>
    <row r="232" ht="21" customHeight="1">
      <c r="A232" s="1" t="n"/>
      <c r="B232" s="1" t="n"/>
      <c r="C232" s="2" t="n"/>
      <c r="E232" s="130">
        <f>IF($F232="","","EMP-"&amp;TEXT(ROW()-6,"0000"))</f>
        <v/>
      </c>
      <c r="F232" s="134" t="n"/>
      <c r="G232" s="127" t="n"/>
      <c r="H232" s="130">
        <f>IF($G232="","",IFERROR(INDEX(MEM_Nom,MATCH($G232,MEM_ID,0)),"⚠ ID inconnu"))</f>
        <v/>
      </c>
      <c r="I232" s="127" t="n"/>
      <c r="J232" s="130">
        <f>IF($I232="","",IFERROR(INDEX(LIV_Titre,MATCH($I232,LIV_Code,0)),"⚠ Code inconnu"))</f>
        <v/>
      </c>
      <c r="K232" s="138">
        <f>IF($F232="","",$F232+P_Duree)</f>
        <v/>
      </c>
      <c r="L232" s="134" t="n"/>
      <c r="M232" s="130">
        <f>IF(OR($F232="",$I232=""),"",IF($L232&lt;&gt;"",IF($L232&gt;$K232,"Rendu en retard","Rendu"),IF(TODAY()&gt;$K232,"En retard","En cours")))</f>
        <v/>
      </c>
      <c r="N232" s="139">
        <f>IF(OR($F232="",$I232=""),"",MAX(0,IF($L232&lt;&gt;"",$L232,TODAY())-$K232))</f>
        <v/>
      </c>
      <c r="O232" s="135">
        <f>IF(OR($F232="",$I232=""),"",$N232*P_Amende)</f>
        <v/>
      </c>
      <c r="P232" s="133" t="n"/>
      <c r="R232">
        <f>IF($M232="En retard",$N232+ROW()/100000,"")</f>
        <v/>
      </c>
      <c r="S232">
        <f>IF(OR($F232="",$I232=""),"",$F232+ROW()/100000)</f>
        <v/>
      </c>
      <c r="T232">
        <f>IF($I232="","",IFERROR(INDEX(LIV_Cat,MATCH($I232,LIV_Code,0)),""))</f>
        <v/>
      </c>
    </row>
    <row r="233" ht="21" customHeight="1">
      <c r="A233" s="1" t="n"/>
      <c r="B233" s="1" t="n"/>
      <c r="C233" s="2" t="n"/>
      <c r="E233" s="130">
        <f>IF($F233="","","EMP-"&amp;TEXT(ROW()-6,"0000"))</f>
        <v/>
      </c>
      <c r="F233" s="134" t="n"/>
      <c r="G233" s="127" t="n"/>
      <c r="H233" s="130">
        <f>IF($G233="","",IFERROR(INDEX(MEM_Nom,MATCH($G233,MEM_ID,0)),"⚠ ID inconnu"))</f>
        <v/>
      </c>
      <c r="I233" s="127" t="n"/>
      <c r="J233" s="130">
        <f>IF($I233="","",IFERROR(INDEX(LIV_Titre,MATCH($I233,LIV_Code,0)),"⚠ Code inconnu"))</f>
        <v/>
      </c>
      <c r="K233" s="138">
        <f>IF($F233="","",$F233+P_Duree)</f>
        <v/>
      </c>
      <c r="L233" s="134" t="n"/>
      <c r="M233" s="130">
        <f>IF(OR($F233="",$I233=""),"",IF($L233&lt;&gt;"",IF($L233&gt;$K233,"Rendu en retard","Rendu"),IF(TODAY()&gt;$K233,"En retard","En cours")))</f>
        <v/>
      </c>
      <c r="N233" s="139">
        <f>IF(OR($F233="",$I233=""),"",MAX(0,IF($L233&lt;&gt;"",$L233,TODAY())-$K233))</f>
        <v/>
      </c>
      <c r="O233" s="135">
        <f>IF(OR($F233="",$I233=""),"",$N233*P_Amende)</f>
        <v/>
      </c>
      <c r="P233" s="133" t="n"/>
      <c r="R233">
        <f>IF($M233="En retard",$N233+ROW()/100000,"")</f>
        <v/>
      </c>
      <c r="S233">
        <f>IF(OR($F233="",$I233=""),"",$F233+ROW()/100000)</f>
        <v/>
      </c>
      <c r="T233">
        <f>IF($I233="","",IFERROR(INDEX(LIV_Cat,MATCH($I233,LIV_Code,0)),""))</f>
        <v/>
      </c>
    </row>
    <row r="234" ht="21" customHeight="1">
      <c r="A234" s="1" t="n"/>
      <c r="B234" s="1" t="n"/>
      <c r="C234" s="2" t="n"/>
      <c r="E234" s="130">
        <f>IF($F234="","","EMP-"&amp;TEXT(ROW()-6,"0000"))</f>
        <v/>
      </c>
      <c r="F234" s="134" t="n"/>
      <c r="G234" s="127" t="n"/>
      <c r="H234" s="130">
        <f>IF($G234="","",IFERROR(INDEX(MEM_Nom,MATCH($G234,MEM_ID,0)),"⚠ ID inconnu"))</f>
        <v/>
      </c>
      <c r="I234" s="127" t="n"/>
      <c r="J234" s="130">
        <f>IF($I234="","",IFERROR(INDEX(LIV_Titre,MATCH($I234,LIV_Code,0)),"⚠ Code inconnu"))</f>
        <v/>
      </c>
      <c r="K234" s="138">
        <f>IF($F234="","",$F234+P_Duree)</f>
        <v/>
      </c>
      <c r="L234" s="134" t="n"/>
      <c r="M234" s="130">
        <f>IF(OR($F234="",$I234=""),"",IF($L234&lt;&gt;"",IF($L234&gt;$K234,"Rendu en retard","Rendu"),IF(TODAY()&gt;$K234,"En retard","En cours")))</f>
        <v/>
      </c>
      <c r="N234" s="139">
        <f>IF(OR($F234="",$I234=""),"",MAX(0,IF($L234&lt;&gt;"",$L234,TODAY())-$K234))</f>
        <v/>
      </c>
      <c r="O234" s="135">
        <f>IF(OR($F234="",$I234=""),"",$N234*P_Amende)</f>
        <v/>
      </c>
      <c r="P234" s="133" t="n"/>
      <c r="R234">
        <f>IF($M234="En retard",$N234+ROW()/100000,"")</f>
        <v/>
      </c>
      <c r="S234">
        <f>IF(OR($F234="",$I234=""),"",$F234+ROW()/100000)</f>
        <v/>
      </c>
      <c r="T234">
        <f>IF($I234="","",IFERROR(INDEX(LIV_Cat,MATCH($I234,LIV_Code,0)),""))</f>
        <v/>
      </c>
    </row>
    <row r="235" ht="21" customHeight="1">
      <c r="A235" s="1" t="n"/>
      <c r="B235" s="1" t="n"/>
      <c r="C235" s="2" t="n"/>
      <c r="E235" s="130">
        <f>IF($F235="","","EMP-"&amp;TEXT(ROW()-6,"0000"))</f>
        <v/>
      </c>
      <c r="F235" s="134" t="n"/>
      <c r="G235" s="127" t="n"/>
      <c r="H235" s="130">
        <f>IF($G235="","",IFERROR(INDEX(MEM_Nom,MATCH($G235,MEM_ID,0)),"⚠ ID inconnu"))</f>
        <v/>
      </c>
      <c r="I235" s="127" t="n"/>
      <c r="J235" s="130">
        <f>IF($I235="","",IFERROR(INDEX(LIV_Titre,MATCH($I235,LIV_Code,0)),"⚠ Code inconnu"))</f>
        <v/>
      </c>
      <c r="K235" s="138">
        <f>IF($F235="","",$F235+P_Duree)</f>
        <v/>
      </c>
      <c r="L235" s="134" t="n"/>
      <c r="M235" s="130">
        <f>IF(OR($F235="",$I235=""),"",IF($L235&lt;&gt;"",IF($L235&gt;$K235,"Rendu en retard","Rendu"),IF(TODAY()&gt;$K235,"En retard","En cours")))</f>
        <v/>
      </c>
      <c r="N235" s="139">
        <f>IF(OR($F235="",$I235=""),"",MAX(0,IF($L235&lt;&gt;"",$L235,TODAY())-$K235))</f>
        <v/>
      </c>
      <c r="O235" s="135">
        <f>IF(OR($F235="",$I235=""),"",$N235*P_Amende)</f>
        <v/>
      </c>
      <c r="P235" s="133" t="n"/>
      <c r="R235">
        <f>IF($M235="En retard",$N235+ROW()/100000,"")</f>
        <v/>
      </c>
      <c r="S235">
        <f>IF(OR($F235="",$I235=""),"",$F235+ROW()/100000)</f>
        <v/>
      </c>
      <c r="T235">
        <f>IF($I235="","",IFERROR(INDEX(LIV_Cat,MATCH($I235,LIV_Code,0)),""))</f>
        <v/>
      </c>
    </row>
    <row r="236" ht="21" customHeight="1">
      <c r="A236" s="1" t="n"/>
      <c r="B236" s="1" t="n"/>
      <c r="C236" s="2" t="n"/>
      <c r="E236" s="130">
        <f>IF($F236="","","EMP-"&amp;TEXT(ROW()-6,"0000"))</f>
        <v/>
      </c>
      <c r="F236" s="134" t="n"/>
      <c r="G236" s="127" t="n"/>
      <c r="H236" s="130">
        <f>IF($G236="","",IFERROR(INDEX(MEM_Nom,MATCH($G236,MEM_ID,0)),"⚠ ID inconnu"))</f>
        <v/>
      </c>
      <c r="I236" s="127" t="n"/>
      <c r="J236" s="130">
        <f>IF($I236="","",IFERROR(INDEX(LIV_Titre,MATCH($I236,LIV_Code,0)),"⚠ Code inconnu"))</f>
        <v/>
      </c>
      <c r="K236" s="138">
        <f>IF($F236="","",$F236+P_Duree)</f>
        <v/>
      </c>
      <c r="L236" s="134" t="n"/>
      <c r="M236" s="130">
        <f>IF(OR($F236="",$I236=""),"",IF($L236&lt;&gt;"",IF($L236&gt;$K236,"Rendu en retard","Rendu"),IF(TODAY()&gt;$K236,"En retard","En cours")))</f>
        <v/>
      </c>
      <c r="N236" s="139">
        <f>IF(OR($F236="",$I236=""),"",MAX(0,IF($L236&lt;&gt;"",$L236,TODAY())-$K236))</f>
        <v/>
      </c>
      <c r="O236" s="135">
        <f>IF(OR($F236="",$I236=""),"",$N236*P_Amende)</f>
        <v/>
      </c>
      <c r="P236" s="133" t="n"/>
      <c r="R236">
        <f>IF($M236="En retard",$N236+ROW()/100000,"")</f>
        <v/>
      </c>
      <c r="S236">
        <f>IF(OR($F236="",$I236=""),"",$F236+ROW()/100000)</f>
        <v/>
      </c>
      <c r="T236">
        <f>IF($I236="","",IFERROR(INDEX(LIV_Cat,MATCH($I236,LIV_Code,0)),""))</f>
        <v/>
      </c>
    </row>
    <row r="237" ht="21" customHeight="1">
      <c r="A237" s="1" t="n"/>
      <c r="B237" s="1" t="n"/>
      <c r="C237" s="2" t="n"/>
      <c r="E237" s="130">
        <f>IF($F237="","","EMP-"&amp;TEXT(ROW()-6,"0000"))</f>
        <v/>
      </c>
      <c r="F237" s="134" t="n"/>
      <c r="G237" s="127" t="n"/>
      <c r="H237" s="130">
        <f>IF($G237="","",IFERROR(INDEX(MEM_Nom,MATCH($G237,MEM_ID,0)),"⚠ ID inconnu"))</f>
        <v/>
      </c>
      <c r="I237" s="127" t="n"/>
      <c r="J237" s="130">
        <f>IF($I237="","",IFERROR(INDEX(LIV_Titre,MATCH($I237,LIV_Code,0)),"⚠ Code inconnu"))</f>
        <v/>
      </c>
      <c r="K237" s="138">
        <f>IF($F237="","",$F237+P_Duree)</f>
        <v/>
      </c>
      <c r="L237" s="134" t="n"/>
      <c r="M237" s="130">
        <f>IF(OR($F237="",$I237=""),"",IF($L237&lt;&gt;"",IF($L237&gt;$K237,"Rendu en retard","Rendu"),IF(TODAY()&gt;$K237,"En retard","En cours")))</f>
        <v/>
      </c>
      <c r="N237" s="139">
        <f>IF(OR($F237="",$I237=""),"",MAX(0,IF($L237&lt;&gt;"",$L237,TODAY())-$K237))</f>
        <v/>
      </c>
      <c r="O237" s="135">
        <f>IF(OR($F237="",$I237=""),"",$N237*P_Amende)</f>
        <v/>
      </c>
      <c r="P237" s="133" t="n"/>
      <c r="R237">
        <f>IF($M237="En retard",$N237+ROW()/100000,"")</f>
        <v/>
      </c>
      <c r="S237">
        <f>IF(OR($F237="",$I237=""),"",$F237+ROW()/100000)</f>
        <v/>
      </c>
      <c r="T237">
        <f>IF($I237="","",IFERROR(INDEX(LIV_Cat,MATCH($I237,LIV_Code,0)),""))</f>
        <v/>
      </c>
    </row>
    <row r="238" ht="21" customHeight="1">
      <c r="A238" s="1" t="n"/>
      <c r="B238" s="1" t="n"/>
      <c r="C238" s="2" t="n"/>
      <c r="E238" s="130">
        <f>IF($F238="","","EMP-"&amp;TEXT(ROW()-6,"0000"))</f>
        <v/>
      </c>
      <c r="F238" s="134" t="n"/>
      <c r="G238" s="127" t="n"/>
      <c r="H238" s="130">
        <f>IF($G238="","",IFERROR(INDEX(MEM_Nom,MATCH($G238,MEM_ID,0)),"⚠ ID inconnu"))</f>
        <v/>
      </c>
      <c r="I238" s="127" t="n"/>
      <c r="J238" s="130">
        <f>IF($I238="","",IFERROR(INDEX(LIV_Titre,MATCH($I238,LIV_Code,0)),"⚠ Code inconnu"))</f>
        <v/>
      </c>
      <c r="K238" s="138">
        <f>IF($F238="","",$F238+P_Duree)</f>
        <v/>
      </c>
      <c r="L238" s="134" t="n"/>
      <c r="M238" s="130">
        <f>IF(OR($F238="",$I238=""),"",IF($L238&lt;&gt;"",IF($L238&gt;$K238,"Rendu en retard","Rendu"),IF(TODAY()&gt;$K238,"En retard","En cours")))</f>
        <v/>
      </c>
      <c r="N238" s="139">
        <f>IF(OR($F238="",$I238=""),"",MAX(0,IF($L238&lt;&gt;"",$L238,TODAY())-$K238))</f>
        <v/>
      </c>
      <c r="O238" s="135">
        <f>IF(OR($F238="",$I238=""),"",$N238*P_Amende)</f>
        <v/>
      </c>
      <c r="P238" s="133" t="n"/>
      <c r="R238">
        <f>IF($M238="En retard",$N238+ROW()/100000,"")</f>
        <v/>
      </c>
      <c r="S238">
        <f>IF(OR($F238="",$I238=""),"",$F238+ROW()/100000)</f>
        <v/>
      </c>
      <c r="T238">
        <f>IF($I238="","",IFERROR(INDEX(LIV_Cat,MATCH($I238,LIV_Code,0)),""))</f>
        <v/>
      </c>
    </row>
    <row r="239" ht="21" customHeight="1">
      <c r="A239" s="1" t="n"/>
      <c r="B239" s="1" t="n"/>
      <c r="C239" s="2" t="n"/>
      <c r="E239" s="130">
        <f>IF($F239="","","EMP-"&amp;TEXT(ROW()-6,"0000"))</f>
        <v/>
      </c>
      <c r="F239" s="134" t="n"/>
      <c r="G239" s="127" t="n"/>
      <c r="H239" s="130">
        <f>IF($G239="","",IFERROR(INDEX(MEM_Nom,MATCH($G239,MEM_ID,0)),"⚠ ID inconnu"))</f>
        <v/>
      </c>
      <c r="I239" s="127" t="n"/>
      <c r="J239" s="130">
        <f>IF($I239="","",IFERROR(INDEX(LIV_Titre,MATCH($I239,LIV_Code,0)),"⚠ Code inconnu"))</f>
        <v/>
      </c>
      <c r="K239" s="138">
        <f>IF($F239="","",$F239+P_Duree)</f>
        <v/>
      </c>
      <c r="L239" s="134" t="n"/>
      <c r="M239" s="130">
        <f>IF(OR($F239="",$I239=""),"",IF($L239&lt;&gt;"",IF($L239&gt;$K239,"Rendu en retard","Rendu"),IF(TODAY()&gt;$K239,"En retard","En cours")))</f>
        <v/>
      </c>
      <c r="N239" s="139">
        <f>IF(OR($F239="",$I239=""),"",MAX(0,IF($L239&lt;&gt;"",$L239,TODAY())-$K239))</f>
        <v/>
      </c>
      <c r="O239" s="135">
        <f>IF(OR($F239="",$I239=""),"",$N239*P_Amende)</f>
        <v/>
      </c>
      <c r="P239" s="133" t="n"/>
      <c r="R239">
        <f>IF($M239="En retard",$N239+ROW()/100000,"")</f>
        <v/>
      </c>
      <c r="S239">
        <f>IF(OR($F239="",$I239=""),"",$F239+ROW()/100000)</f>
        <v/>
      </c>
      <c r="T239">
        <f>IF($I239="","",IFERROR(INDEX(LIV_Cat,MATCH($I239,LIV_Code,0)),""))</f>
        <v/>
      </c>
    </row>
    <row r="240" ht="21" customHeight="1">
      <c r="A240" s="1" t="n"/>
      <c r="B240" s="1" t="n"/>
      <c r="C240" s="2" t="n"/>
      <c r="E240" s="130">
        <f>IF($F240="","","EMP-"&amp;TEXT(ROW()-6,"0000"))</f>
        <v/>
      </c>
      <c r="F240" s="134" t="n"/>
      <c r="G240" s="127" t="n"/>
      <c r="H240" s="130">
        <f>IF($G240="","",IFERROR(INDEX(MEM_Nom,MATCH($G240,MEM_ID,0)),"⚠ ID inconnu"))</f>
        <v/>
      </c>
      <c r="I240" s="127" t="n"/>
      <c r="J240" s="130">
        <f>IF($I240="","",IFERROR(INDEX(LIV_Titre,MATCH($I240,LIV_Code,0)),"⚠ Code inconnu"))</f>
        <v/>
      </c>
      <c r="K240" s="138">
        <f>IF($F240="","",$F240+P_Duree)</f>
        <v/>
      </c>
      <c r="L240" s="134" t="n"/>
      <c r="M240" s="130">
        <f>IF(OR($F240="",$I240=""),"",IF($L240&lt;&gt;"",IF($L240&gt;$K240,"Rendu en retard","Rendu"),IF(TODAY()&gt;$K240,"En retard","En cours")))</f>
        <v/>
      </c>
      <c r="N240" s="139">
        <f>IF(OR($F240="",$I240=""),"",MAX(0,IF($L240&lt;&gt;"",$L240,TODAY())-$K240))</f>
        <v/>
      </c>
      <c r="O240" s="135">
        <f>IF(OR($F240="",$I240=""),"",$N240*P_Amende)</f>
        <v/>
      </c>
      <c r="P240" s="133" t="n"/>
      <c r="R240">
        <f>IF($M240="En retard",$N240+ROW()/100000,"")</f>
        <v/>
      </c>
      <c r="S240">
        <f>IF(OR($F240="",$I240=""),"",$F240+ROW()/100000)</f>
        <v/>
      </c>
      <c r="T240">
        <f>IF($I240="","",IFERROR(INDEX(LIV_Cat,MATCH($I240,LIV_Code,0)),""))</f>
        <v/>
      </c>
    </row>
    <row r="241" ht="21" customHeight="1">
      <c r="A241" s="1" t="n"/>
      <c r="B241" s="1" t="n"/>
      <c r="C241" s="2" t="n"/>
      <c r="E241" s="130">
        <f>IF($F241="","","EMP-"&amp;TEXT(ROW()-6,"0000"))</f>
        <v/>
      </c>
      <c r="F241" s="134" t="n"/>
      <c r="G241" s="127" t="n"/>
      <c r="H241" s="130">
        <f>IF($G241="","",IFERROR(INDEX(MEM_Nom,MATCH($G241,MEM_ID,0)),"⚠ ID inconnu"))</f>
        <v/>
      </c>
      <c r="I241" s="127" t="n"/>
      <c r="J241" s="130">
        <f>IF($I241="","",IFERROR(INDEX(LIV_Titre,MATCH($I241,LIV_Code,0)),"⚠ Code inconnu"))</f>
        <v/>
      </c>
      <c r="K241" s="138">
        <f>IF($F241="","",$F241+P_Duree)</f>
        <v/>
      </c>
      <c r="L241" s="134" t="n"/>
      <c r="M241" s="130">
        <f>IF(OR($F241="",$I241=""),"",IF($L241&lt;&gt;"",IF($L241&gt;$K241,"Rendu en retard","Rendu"),IF(TODAY()&gt;$K241,"En retard","En cours")))</f>
        <v/>
      </c>
      <c r="N241" s="139">
        <f>IF(OR($F241="",$I241=""),"",MAX(0,IF($L241&lt;&gt;"",$L241,TODAY())-$K241))</f>
        <v/>
      </c>
      <c r="O241" s="135">
        <f>IF(OR($F241="",$I241=""),"",$N241*P_Amende)</f>
        <v/>
      </c>
      <c r="P241" s="133" t="n"/>
      <c r="R241">
        <f>IF($M241="En retard",$N241+ROW()/100000,"")</f>
        <v/>
      </c>
      <c r="S241">
        <f>IF(OR($F241="",$I241=""),"",$F241+ROW()/100000)</f>
        <v/>
      </c>
      <c r="T241">
        <f>IF($I241="","",IFERROR(INDEX(LIV_Cat,MATCH($I241,LIV_Code,0)),""))</f>
        <v/>
      </c>
    </row>
    <row r="242" ht="21" customHeight="1">
      <c r="A242" s="1" t="n"/>
      <c r="B242" s="1" t="n"/>
      <c r="C242" s="2" t="n"/>
      <c r="E242" s="130">
        <f>IF($F242="","","EMP-"&amp;TEXT(ROW()-6,"0000"))</f>
        <v/>
      </c>
      <c r="F242" s="134" t="n"/>
      <c r="G242" s="127" t="n"/>
      <c r="H242" s="130">
        <f>IF($G242="","",IFERROR(INDEX(MEM_Nom,MATCH($G242,MEM_ID,0)),"⚠ ID inconnu"))</f>
        <v/>
      </c>
      <c r="I242" s="127" t="n"/>
      <c r="J242" s="130">
        <f>IF($I242="","",IFERROR(INDEX(LIV_Titre,MATCH($I242,LIV_Code,0)),"⚠ Code inconnu"))</f>
        <v/>
      </c>
      <c r="K242" s="138">
        <f>IF($F242="","",$F242+P_Duree)</f>
        <v/>
      </c>
      <c r="L242" s="134" t="n"/>
      <c r="M242" s="130">
        <f>IF(OR($F242="",$I242=""),"",IF($L242&lt;&gt;"",IF($L242&gt;$K242,"Rendu en retard","Rendu"),IF(TODAY()&gt;$K242,"En retard","En cours")))</f>
        <v/>
      </c>
      <c r="N242" s="139">
        <f>IF(OR($F242="",$I242=""),"",MAX(0,IF($L242&lt;&gt;"",$L242,TODAY())-$K242))</f>
        <v/>
      </c>
      <c r="O242" s="135">
        <f>IF(OR($F242="",$I242=""),"",$N242*P_Amende)</f>
        <v/>
      </c>
      <c r="P242" s="133" t="n"/>
      <c r="R242">
        <f>IF($M242="En retard",$N242+ROW()/100000,"")</f>
        <v/>
      </c>
      <c r="S242">
        <f>IF(OR($F242="",$I242=""),"",$F242+ROW()/100000)</f>
        <v/>
      </c>
      <c r="T242">
        <f>IF($I242="","",IFERROR(INDEX(LIV_Cat,MATCH($I242,LIV_Code,0)),""))</f>
        <v/>
      </c>
    </row>
    <row r="243" ht="21" customHeight="1">
      <c r="A243" s="1" t="n"/>
      <c r="B243" s="1" t="n"/>
      <c r="C243" s="2" t="n"/>
      <c r="E243" s="130">
        <f>IF($F243="","","EMP-"&amp;TEXT(ROW()-6,"0000"))</f>
        <v/>
      </c>
      <c r="F243" s="134" t="n"/>
      <c r="G243" s="127" t="n"/>
      <c r="H243" s="130">
        <f>IF($G243="","",IFERROR(INDEX(MEM_Nom,MATCH($G243,MEM_ID,0)),"⚠ ID inconnu"))</f>
        <v/>
      </c>
      <c r="I243" s="127" t="n"/>
      <c r="J243" s="130">
        <f>IF($I243="","",IFERROR(INDEX(LIV_Titre,MATCH($I243,LIV_Code,0)),"⚠ Code inconnu"))</f>
        <v/>
      </c>
      <c r="K243" s="138">
        <f>IF($F243="","",$F243+P_Duree)</f>
        <v/>
      </c>
      <c r="L243" s="134" t="n"/>
      <c r="M243" s="130">
        <f>IF(OR($F243="",$I243=""),"",IF($L243&lt;&gt;"",IF($L243&gt;$K243,"Rendu en retard","Rendu"),IF(TODAY()&gt;$K243,"En retard","En cours")))</f>
        <v/>
      </c>
      <c r="N243" s="139">
        <f>IF(OR($F243="",$I243=""),"",MAX(0,IF($L243&lt;&gt;"",$L243,TODAY())-$K243))</f>
        <v/>
      </c>
      <c r="O243" s="135">
        <f>IF(OR($F243="",$I243=""),"",$N243*P_Amende)</f>
        <v/>
      </c>
      <c r="P243" s="133" t="n"/>
      <c r="R243">
        <f>IF($M243="En retard",$N243+ROW()/100000,"")</f>
        <v/>
      </c>
      <c r="S243">
        <f>IF(OR($F243="",$I243=""),"",$F243+ROW()/100000)</f>
        <v/>
      </c>
      <c r="T243">
        <f>IF($I243="","",IFERROR(INDEX(LIV_Cat,MATCH($I243,LIV_Code,0)),""))</f>
        <v/>
      </c>
    </row>
    <row r="244" ht="21" customHeight="1">
      <c r="A244" s="1" t="n"/>
      <c r="B244" s="1" t="n"/>
      <c r="C244" s="2" t="n"/>
      <c r="E244" s="130">
        <f>IF($F244="","","EMP-"&amp;TEXT(ROW()-6,"0000"))</f>
        <v/>
      </c>
      <c r="F244" s="134" t="n"/>
      <c r="G244" s="127" t="n"/>
      <c r="H244" s="130">
        <f>IF($G244="","",IFERROR(INDEX(MEM_Nom,MATCH($G244,MEM_ID,0)),"⚠ ID inconnu"))</f>
        <v/>
      </c>
      <c r="I244" s="127" t="n"/>
      <c r="J244" s="130">
        <f>IF($I244="","",IFERROR(INDEX(LIV_Titre,MATCH($I244,LIV_Code,0)),"⚠ Code inconnu"))</f>
        <v/>
      </c>
      <c r="K244" s="138">
        <f>IF($F244="","",$F244+P_Duree)</f>
        <v/>
      </c>
      <c r="L244" s="134" t="n"/>
      <c r="M244" s="130">
        <f>IF(OR($F244="",$I244=""),"",IF($L244&lt;&gt;"",IF($L244&gt;$K244,"Rendu en retard","Rendu"),IF(TODAY()&gt;$K244,"En retard","En cours")))</f>
        <v/>
      </c>
      <c r="N244" s="139">
        <f>IF(OR($F244="",$I244=""),"",MAX(0,IF($L244&lt;&gt;"",$L244,TODAY())-$K244))</f>
        <v/>
      </c>
      <c r="O244" s="135">
        <f>IF(OR($F244="",$I244=""),"",$N244*P_Amende)</f>
        <v/>
      </c>
      <c r="P244" s="133" t="n"/>
      <c r="R244">
        <f>IF($M244="En retard",$N244+ROW()/100000,"")</f>
        <v/>
      </c>
      <c r="S244">
        <f>IF(OR($F244="",$I244=""),"",$F244+ROW()/100000)</f>
        <v/>
      </c>
      <c r="T244">
        <f>IF($I244="","",IFERROR(INDEX(LIV_Cat,MATCH($I244,LIV_Code,0)),""))</f>
        <v/>
      </c>
    </row>
    <row r="245" ht="21" customHeight="1">
      <c r="A245" s="1" t="n"/>
      <c r="B245" s="1" t="n"/>
      <c r="C245" s="2" t="n"/>
      <c r="E245" s="130">
        <f>IF($F245="","","EMP-"&amp;TEXT(ROW()-6,"0000"))</f>
        <v/>
      </c>
      <c r="F245" s="134" t="n"/>
      <c r="G245" s="127" t="n"/>
      <c r="H245" s="130">
        <f>IF($G245="","",IFERROR(INDEX(MEM_Nom,MATCH($G245,MEM_ID,0)),"⚠ ID inconnu"))</f>
        <v/>
      </c>
      <c r="I245" s="127" t="n"/>
      <c r="J245" s="130">
        <f>IF($I245="","",IFERROR(INDEX(LIV_Titre,MATCH($I245,LIV_Code,0)),"⚠ Code inconnu"))</f>
        <v/>
      </c>
      <c r="K245" s="138">
        <f>IF($F245="","",$F245+P_Duree)</f>
        <v/>
      </c>
      <c r="L245" s="134" t="n"/>
      <c r="M245" s="130">
        <f>IF(OR($F245="",$I245=""),"",IF($L245&lt;&gt;"",IF($L245&gt;$K245,"Rendu en retard","Rendu"),IF(TODAY()&gt;$K245,"En retard","En cours")))</f>
        <v/>
      </c>
      <c r="N245" s="139">
        <f>IF(OR($F245="",$I245=""),"",MAX(0,IF($L245&lt;&gt;"",$L245,TODAY())-$K245))</f>
        <v/>
      </c>
      <c r="O245" s="135">
        <f>IF(OR($F245="",$I245=""),"",$N245*P_Amende)</f>
        <v/>
      </c>
      <c r="P245" s="133" t="n"/>
      <c r="R245">
        <f>IF($M245="En retard",$N245+ROW()/100000,"")</f>
        <v/>
      </c>
      <c r="S245">
        <f>IF(OR($F245="",$I245=""),"",$F245+ROW()/100000)</f>
        <v/>
      </c>
      <c r="T245">
        <f>IF($I245="","",IFERROR(INDEX(LIV_Cat,MATCH($I245,LIV_Code,0)),""))</f>
        <v/>
      </c>
    </row>
    <row r="246" ht="21" customHeight="1">
      <c r="A246" s="1" t="n"/>
      <c r="B246" s="1" t="n"/>
      <c r="C246" s="2" t="n"/>
      <c r="E246" s="130">
        <f>IF($F246="","","EMP-"&amp;TEXT(ROW()-6,"0000"))</f>
        <v/>
      </c>
      <c r="F246" s="134" t="n"/>
      <c r="G246" s="127" t="n"/>
      <c r="H246" s="130">
        <f>IF($G246="","",IFERROR(INDEX(MEM_Nom,MATCH($G246,MEM_ID,0)),"⚠ ID inconnu"))</f>
        <v/>
      </c>
      <c r="I246" s="127" t="n"/>
      <c r="J246" s="130">
        <f>IF($I246="","",IFERROR(INDEX(LIV_Titre,MATCH($I246,LIV_Code,0)),"⚠ Code inconnu"))</f>
        <v/>
      </c>
      <c r="K246" s="138">
        <f>IF($F246="","",$F246+P_Duree)</f>
        <v/>
      </c>
      <c r="L246" s="134" t="n"/>
      <c r="M246" s="130">
        <f>IF(OR($F246="",$I246=""),"",IF($L246&lt;&gt;"",IF($L246&gt;$K246,"Rendu en retard","Rendu"),IF(TODAY()&gt;$K246,"En retard","En cours")))</f>
        <v/>
      </c>
      <c r="N246" s="139">
        <f>IF(OR($F246="",$I246=""),"",MAX(0,IF($L246&lt;&gt;"",$L246,TODAY())-$K246))</f>
        <v/>
      </c>
      <c r="O246" s="135">
        <f>IF(OR($F246="",$I246=""),"",$N246*P_Amende)</f>
        <v/>
      </c>
      <c r="P246" s="133" t="n"/>
      <c r="R246">
        <f>IF($M246="En retard",$N246+ROW()/100000,"")</f>
        <v/>
      </c>
      <c r="S246">
        <f>IF(OR($F246="",$I246=""),"",$F246+ROW()/100000)</f>
        <v/>
      </c>
      <c r="T246">
        <f>IF($I246="","",IFERROR(INDEX(LIV_Cat,MATCH($I246,LIV_Code,0)),""))</f>
        <v/>
      </c>
    </row>
    <row r="247" ht="21" customHeight="1">
      <c r="A247" s="1" t="n"/>
      <c r="B247" s="1" t="n"/>
      <c r="C247" s="2" t="n"/>
      <c r="E247" s="130">
        <f>IF($F247="","","EMP-"&amp;TEXT(ROW()-6,"0000"))</f>
        <v/>
      </c>
      <c r="F247" s="134" t="n"/>
      <c r="G247" s="127" t="n"/>
      <c r="H247" s="130">
        <f>IF($G247="","",IFERROR(INDEX(MEM_Nom,MATCH($G247,MEM_ID,0)),"⚠ ID inconnu"))</f>
        <v/>
      </c>
      <c r="I247" s="127" t="n"/>
      <c r="J247" s="130">
        <f>IF($I247="","",IFERROR(INDEX(LIV_Titre,MATCH($I247,LIV_Code,0)),"⚠ Code inconnu"))</f>
        <v/>
      </c>
      <c r="K247" s="138">
        <f>IF($F247="","",$F247+P_Duree)</f>
        <v/>
      </c>
      <c r="L247" s="134" t="n"/>
      <c r="M247" s="130">
        <f>IF(OR($F247="",$I247=""),"",IF($L247&lt;&gt;"",IF($L247&gt;$K247,"Rendu en retard","Rendu"),IF(TODAY()&gt;$K247,"En retard","En cours")))</f>
        <v/>
      </c>
      <c r="N247" s="139">
        <f>IF(OR($F247="",$I247=""),"",MAX(0,IF($L247&lt;&gt;"",$L247,TODAY())-$K247))</f>
        <v/>
      </c>
      <c r="O247" s="135">
        <f>IF(OR($F247="",$I247=""),"",$N247*P_Amende)</f>
        <v/>
      </c>
      <c r="P247" s="133" t="n"/>
      <c r="R247">
        <f>IF($M247="En retard",$N247+ROW()/100000,"")</f>
        <v/>
      </c>
      <c r="S247">
        <f>IF(OR($F247="",$I247=""),"",$F247+ROW()/100000)</f>
        <v/>
      </c>
      <c r="T247">
        <f>IF($I247="","",IFERROR(INDEX(LIV_Cat,MATCH($I247,LIV_Code,0)),""))</f>
        <v/>
      </c>
    </row>
    <row r="248" ht="21" customHeight="1">
      <c r="A248" s="1" t="n"/>
      <c r="B248" s="1" t="n"/>
      <c r="C248" s="2" t="n"/>
      <c r="E248" s="130">
        <f>IF($F248="","","EMP-"&amp;TEXT(ROW()-6,"0000"))</f>
        <v/>
      </c>
      <c r="F248" s="134" t="n"/>
      <c r="G248" s="127" t="n"/>
      <c r="H248" s="130">
        <f>IF($G248="","",IFERROR(INDEX(MEM_Nom,MATCH($G248,MEM_ID,0)),"⚠ ID inconnu"))</f>
        <v/>
      </c>
      <c r="I248" s="127" t="n"/>
      <c r="J248" s="130">
        <f>IF($I248="","",IFERROR(INDEX(LIV_Titre,MATCH($I248,LIV_Code,0)),"⚠ Code inconnu"))</f>
        <v/>
      </c>
      <c r="K248" s="138">
        <f>IF($F248="","",$F248+P_Duree)</f>
        <v/>
      </c>
      <c r="L248" s="134" t="n"/>
      <c r="M248" s="130">
        <f>IF(OR($F248="",$I248=""),"",IF($L248&lt;&gt;"",IF($L248&gt;$K248,"Rendu en retard","Rendu"),IF(TODAY()&gt;$K248,"En retard","En cours")))</f>
        <v/>
      </c>
      <c r="N248" s="139">
        <f>IF(OR($F248="",$I248=""),"",MAX(0,IF($L248&lt;&gt;"",$L248,TODAY())-$K248))</f>
        <v/>
      </c>
      <c r="O248" s="135">
        <f>IF(OR($F248="",$I248=""),"",$N248*P_Amende)</f>
        <v/>
      </c>
      <c r="P248" s="133" t="n"/>
      <c r="R248">
        <f>IF($M248="En retard",$N248+ROW()/100000,"")</f>
        <v/>
      </c>
      <c r="S248">
        <f>IF(OR($F248="",$I248=""),"",$F248+ROW()/100000)</f>
        <v/>
      </c>
      <c r="T248">
        <f>IF($I248="","",IFERROR(INDEX(LIV_Cat,MATCH($I248,LIV_Code,0)),""))</f>
        <v/>
      </c>
    </row>
    <row r="249" ht="21" customHeight="1">
      <c r="A249" s="1" t="n"/>
      <c r="B249" s="1" t="n"/>
      <c r="C249" s="2" t="n"/>
      <c r="E249" s="130">
        <f>IF($F249="","","EMP-"&amp;TEXT(ROW()-6,"0000"))</f>
        <v/>
      </c>
      <c r="F249" s="134" t="n"/>
      <c r="G249" s="127" t="n"/>
      <c r="H249" s="130">
        <f>IF($G249="","",IFERROR(INDEX(MEM_Nom,MATCH($G249,MEM_ID,0)),"⚠ ID inconnu"))</f>
        <v/>
      </c>
      <c r="I249" s="127" t="n"/>
      <c r="J249" s="130">
        <f>IF($I249="","",IFERROR(INDEX(LIV_Titre,MATCH($I249,LIV_Code,0)),"⚠ Code inconnu"))</f>
        <v/>
      </c>
      <c r="K249" s="138">
        <f>IF($F249="","",$F249+P_Duree)</f>
        <v/>
      </c>
      <c r="L249" s="134" t="n"/>
      <c r="M249" s="130">
        <f>IF(OR($F249="",$I249=""),"",IF($L249&lt;&gt;"",IF($L249&gt;$K249,"Rendu en retard","Rendu"),IF(TODAY()&gt;$K249,"En retard","En cours")))</f>
        <v/>
      </c>
      <c r="N249" s="139">
        <f>IF(OR($F249="",$I249=""),"",MAX(0,IF($L249&lt;&gt;"",$L249,TODAY())-$K249))</f>
        <v/>
      </c>
      <c r="O249" s="135">
        <f>IF(OR($F249="",$I249=""),"",$N249*P_Amende)</f>
        <v/>
      </c>
      <c r="P249" s="133" t="n"/>
      <c r="R249">
        <f>IF($M249="En retard",$N249+ROW()/100000,"")</f>
        <v/>
      </c>
      <c r="S249">
        <f>IF(OR($F249="",$I249=""),"",$F249+ROW()/100000)</f>
        <v/>
      </c>
      <c r="T249">
        <f>IF($I249="","",IFERROR(INDEX(LIV_Cat,MATCH($I249,LIV_Code,0)),""))</f>
        <v/>
      </c>
    </row>
    <row r="250" ht="21" customHeight="1">
      <c r="A250" s="1" t="n"/>
      <c r="B250" s="1" t="n"/>
      <c r="C250" s="2" t="n"/>
      <c r="E250" s="130">
        <f>IF($F250="","","EMP-"&amp;TEXT(ROW()-6,"0000"))</f>
        <v/>
      </c>
      <c r="F250" s="134" t="n"/>
      <c r="G250" s="127" t="n"/>
      <c r="H250" s="130">
        <f>IF($G250="","",IFERROR(INDEX(MEM_Nom,MATCH($G250,MEM_ID,0)),"⚠ ID inconnu"))</f>
        <v/>
      </c>
      <c r="I250" s="127" t="n"/>
      <c r="J250" s="130">
        <f>IF($I250="","",IFERROR(INDEX(LIV_Titre,MATCH($I250,LIV_Code,0)),"⚠ Code inconnu"))</f>
        <v/>
      </c>
      <c r="K250" s="138">
        <f>IF($F250="","",$F250+P_Duree)</f>
        <v/>
      </c>
      <c r="L250" s="134" t="n"/>
      <c r="M250" s="130">
        <f>IF(OR($F250="",$I250=""),"",IF($L250&lt;&gt;"",IF($L250&gt;$K250,"Rendu en retard","Rendu"),IF(TODAY()&gt;$K250,"En retard","En cours")))</f>
        <v/>
      </c>
      <c r="N250" s="139">
        <f>IF(OR($F250="",$I250=""),"",MAX(0,IF($L250&lt;&gt;"",$L250,TODAY())-$K250))</f>
        <v/>
      </c>
      <c r="O250" s="135">
        <f>IF(OR($F250="",$I250=""),"",$N250*P_Amende)</f>
        <v/>
      </c>
      <c r="P250" s="133" t="n"/>
      <c r="R250">
        <f>IF($M250="En retard",$N250+ROW()/100000,"")</f>
        <v/>
      </c>
      <c r="S250">
        <f>IF(OR($F250="",$I250=""),"",$F250+ROW()/100000)</f>
        <v/>
      </c>
      <c r="T250">
        <f>IF($I250="","",IFERROR(INDEX(LIV_Cat,MATCH($I250,LIV_Code,0)),""))</f>
        <v/>
      </c>
    </row>
    <row r="251" ht="21" customHeight="1">
      <c r="A251" s="1" t="n"/>
      <c r="B251" s="1" t="n"/>
      <c r="C251" s="2" t="n"/>
      <c r="E251" s="130">
        <f>IF($F251="","","EMP-"&amp;TEXT(ROW()-6,"0000"))</f>
        <v/>
      </c>
      <c r="F251" s="134" t="n"/>
      <c r="G251" s="127" t="n"/>
      <c r="H251" s="130">
        <f>IF($G251="","",IFERROR(INDEX(MEM_Nom,MATCH($G251,MEM_ID,0)),"⚠ ID inconnu"))</f>
        <v/>
      </c>
      <c r="I251" s="127" t="n"/>
      <c r="J251" s="130">
        <f>IF($I251="","",IFERROR(INDEX(LIV_Titre,MATCH($I251,LIV_Code,0)),"⚠ Code inconnu"))</f>
        <v/>
      </c>
      <c r="K251" s="138">
        <f>IF($F251="","",$F251+P_Duree)</f>
        <v/>
      </c>
      <c r="L251" s="134" t="n"/>
      <c r="M251" s="130">
        <f>IF(OR($F251="",$I251=""),"",IF($L251&lt;&gt;"",IF($L251&gt;$K251,"Rendu en retard","Rendu"),IF(TODAY()&gt;$K251,"En retard","En cours")))</f>
        <v/>
      </c>
      <c r="N251" s="139">
        <f>IF(OR($F251="",$I251=""),"",MAX(0,IF($L251&lt;&gt;"",$L251,TODAY())-$K251))</f>
        <v/>
      </c>
      <c r="O251" s="135">
        <f>IF(OR($F251="",$I251=""),"",$N251*P_Amende)</f>
        <v/>
      </c>
      <c r="P251" s="133" t="n"/>
      <c r="R251">
        <f>IF($M251="En retard",$N251+ROW()/100000,"")</f>
        <v/>
      </c>
      <c r="S251">
        <f>IF(OR($F251="",$I251=""),"",$F251+ROW()/100000)</f>
        <v/>
      </c>
      <c r="T251">
        <f>IF($I251="","",IFERROR(INDEX(LIV_Cat,MATCH($I251,LIV_Code,0)),""))</f>
        <v/>
      </c>
    </row>
    <row r="252" ht="21" customHeight="1">
      <c r="A252" s="1" t="n"/>
      <c r="B252" s="1" t="n"/>
      <c r="C252" s="2" t="n"/>
      <c r="E252" s="130">
        <f>IF($F252="","","EMP-"&amp;TEXT(ROW()-6,"0000"))</f>
        <v/>
      </c>
      <c r="F252" s="134" t="n"/>
      <c r="G252" s="127" t="n"/>
      <c r="H252" s="130">
        <f>IF($G252="","",IFERROR(INDEX(MEM_Nom,MATCH($G252,MEM_ID,0)),"⚠ ID inconnu"))</f>
        <v/>
      </c>
      <c r="I252" s="127" t="n"/>
      <c r="J252" s="130">
        <f>IF($I252="","",IFERROR(INDEX(LIV_Titre,MATCH($I252,LIV_Code,0)),"⚠ Code inconnu"))</f>
        <v/>
      </c>
      <c r="K252" s="138">
        <f>IF($F252="","",$F252+P_Duree)</f>
        <v/>
      </c>
      <c r="L252" s="134" t="n"/>
      <c r="M252" s="130">
        <f>IF(OR($F252="",$I252=""),"",IF($L252&lt;&gt;"",IF($L252&gt;$K252,"Rendu en retard","Rendu"),IF(TODAY()&gt;$K252,"En retard","En cours")))</f>
        <v/>
      </c>
      <c r="N252" s="139">
        <f>IF(OR($F252="",$I252=""),"",MAX(0,IF($L252&lt;&gt;"",$L252,TODAY())-$K252))</f>
        <v/>
      </c>
      <c r="O252" s="135">
        <f>IF(OR($F252="",$I252=""),"",$N252*P_Amende)</f>
        <v/>
      </c>
      <c r="P252" s="133" t="n"/>
      <c r="R252">
        <f>IF($M252="En retard",$N252+ROW()/100000,"")</f>
        <v/>
      </c>
      <c r="S252">
        <f>IF(OR($F252="",$I252=""),"",$F252+ROW()/100000)</f>
        <v/>
      </c>
      <c r="T252">
        <f>IF($I252="","",IFERROR(INDEX(LIV_Cat,MATCH($I252,LIV_Code,0)),""))</f>
        <v/>
      </c>
    </row>
    <row r="253" ht="21" customHeight="1">
      <c r="A253" s="1" t="n"/>
      <c r="B253" s="1" t="n"/>
      <c r="C253" s="2" t="n"/>
      <c r="E253" s="130">
        <f>IF($F253="","","EMP-"&amp;TEXT(ROW()-6,"0000"))</f>
        <v/>
      </c>
      <c r="F253" s="134" t="n"/>
      <c r="G253" s="127" t="n"/>
      <c r="H253" s="130">
        <f>IF($G253="","",IFERROR(INDEX(MEM_Nom,MATCH($G253,MEM_ID,0)),"⚠ ID inconnu"))</f>
        <v/>
      </c>
      <c r="I253" s="127" t="n"/>
      <c r="J253" s="130">
        <f>IF($I253="","",IFERROR(INDEX(LIV_Titre,MATCH($I253,LIV_Code,0)),"⚠ Code inconnu"))</f>
        <v/>
      </c>
      <c r="K253" s="138">
        <f>IF($F253="","",$F253+P_Duree)</f>
        <v/>
      </c>
      <c r="L253" s="134" t="n"/>
      <c r="M253" s="130">
        <f>IF(OR($F253="",$I253=""),"",IF($L253&lt;&gt;"",IF($L253&gt;$K253,"Rendu en retard","Rendu"),IF(TODAY()&gt;$K253,"En retard","En cours")))</f>
        <v/>
      </c>
      <c r="N253" s="139">
        <f>IF(OR($F253="",$I253=""),"",MAX(0,IF($L253&lt;&gt;"",$L253,TODAY())-$K253))</f>
        <v/>
      </c>
      <c r="O253" s="135">
        <f>IF(OR($F253="",$I253=""),"",$N253*P_Amende)</f>
        <v/>
      </c>
      <c r="P253" s="133" t="n"/>
      <c r="R253">
        <f>IF($M253="En retard",$N253+ROW()/100000,"")</f>
        <v/>
      </c>
      <c r="S253">
        <f>IF(OR($F253="",$I253=""),"",$F253+ROW()/100000)</f>
        <v/>
      </c>
      <c r="T253">
        <f>IF($I253="","",IFERROR(INDEX(LIV_Cat,MATCH($I253,LIV_Code,0)),""))</f>
        <v/>
      </c>
    </row>
    <row r="254" ht="21" customHeight="1">
      <c r="A254" s="1" t="n"/>
      <c r="B254" s="1" t="n"/>
      <c r="C254" s="2" t="n"/>
      <c r="E254" s="130">
        <f>IF($F254="","","EMP-"&amp;TEXT(ROW()-6,"0000"))</f>
        <v/>
      </c>
      <c r="F254" s="134" t="n"/>
      <c r="G254" s="127" t="n"/>
      <c r="H254" s="130">
        <f>IF($G254="","",IFERROR(INDEX(MEM_Nom,MATCH($G254,MEM_ID,0)),"⚠ ID inconnu"))</f>
        <v/>
      </c>
      <c r="I254" s="127" t="n"/>
      <c r="J254" s="130">
        <f>IF($I254="","",IFERROR(INDEX(LIV_Titre,MATCH($I254,LIV_Code,0)),"⚠ Code inconnu"))</f>
        <v/>
      </c>
      <c r="K254" s="138">
        <f>IF($F254="","",$F254+P_Duree)</f>
        <v/>
      </c>
      <c r="L254" s="134" t="n"/>
      <c r="M254" s="130">
        <f>IF(OR($F254="",$I254=""),"",IF($L254&lt;&gt;"",IF($L254&gt;$K254,"Rendu en retard","Rendu"),IF(TODAY()&gt;$K254,"En retard","En cours")))</f>
        <v/>
      </c>
      <c r="N254" s="139">
        <f>IF(OR($F254="",$I254=""),"",MAX(0,IF($L254&lt;&gt;"",$L254,TODAY())-$K254))</f>
        <v/>
      </c>
      <c r="O254" s="135">
        <f>IF(OR($F254="",$I254=""),"",$N254*P_Amende)</f>
        <v/>
      </c>
      <c r="P254" s="133" t="n"/>
      <c r="R254">
        <f>IF($M254="En retard",$N254+ROW()/100000,"")</f>
        <v/>
      </c>
      <c r="S254">
        <f>IF(OR($F254="",$I254=""),"",$F254+ROW()/100000)</f>
        <v/>
      </c>
      <c r="T254">
        <f>IF($I254="","",IFERROR(INDEX(LIV_Cat,MATCH($I254,LIV_Code,0)),""))</f>
        <v/>
      </c>
    </row>
    <row r="255" ht="21" customHeight="1">
      <c r="A255" s="1" t="n"/>
      <c r="B255" s="1" t="n"/>
      <c r="C255" s="2" t="n"/>
      <c r="E255" s="130">
        <f>IF($F255="","","EMP-"&amp;TEXT(ROW()-6,"0000"))</f>
        <v/>
      </c>
      <c r="F255" s="134" t="n"/>
      <c r="G255" s="127" t="n"/>
      <c r="H255" s="130">
        <f>IF($G255="","",IFERROR(INDEX(MEM_Nom,MATCH($G255,MEM_ID,0)),"⚠ ID inconnu"))</f>
        <v/>
      </c>
      <c r="I255" s="127" t="n"/>
      <c r="J255" s="130">
        <f>IF($I255="","",IFERROR(INDEX(LIV_Titre,MATCH($I255,LIV_Code,0)),"⚠ Code inconnu"))</f>
        <v/>
      </c>
      <c r="K255" s="138">
        <f>IF($F255="","",$F255+P_Duree)</f>
        <v/>
      </c>
      <c r="L255" s="134" t="n"/>
      <c r="M255" s="130">
        <f>IF(OR($F255="",$I255=""),"",IF($L255&lt;&gt;"",IF($L255&gt;$K255,"Rendu en retard","Rendu"),IF(TODAY()&gt;$K255,"En retard","En cours")))</f>
        <v/>
      </c>
      <c r="N255" s="139">
        <f>IF(OR($F255="",$I255=""),"",MAX(0,IF($L255&lt;&gt;"",$L255,TODAY())-$K255))</f>
        <v/>
      </c>
      <c r="O255" s="135">
        <f>IF(OR($F255="",$I255=""),"",$N255*P_Amende)</f>
        <v/>
      </c>
      <c r="P255" s="133" t="n"/>
      <c r="R255">
        <f>IF($M255="En retard",$N255+ROW()/100000,"")</f>
        <v/>
      </c>
      <c r="S255">
        <f>IF(OR($F255="",$I255=""),"",$F255+ROW()/100000)</f>
        <v/>
      </c>
      <c r="T255">
        <f>IF($I255="","",IFERROR(INDEX(LIV_Cat,MATCH($I255,LIV_Code,0)),""))</f>
        <v/>
      </c>
    </row>
    <row r="256" ht="21" customHeight="1">
      <c r="A256" s="1" t="n"/>
      <c r="B256" s="1" t="n"/>
      <c r="C256" s="2" t="n"/>
      <c r="E256" s="130">
        <f>IF($F256="","","EMP-"&amp;TEXT(ROW()-6,"0000"))</f>
        <v/>
      </c>
      <c r="F256" s="134" t="n"/>
      <c r="G256" s="127" t="n"/>
      <c r="H256" s="130">
        <f>IF($G256="","",IFERROR(INDEX(MEM_Nom,MATCH($G256,MEM_ID,0)),"⚠ ID inconnu"))</f>
        <v/>
      </c>
      <c r="I256" s="127" t="n"/>
      <c r="J256" s="130">
        <f>IF($I256="","",IFERROR(INDEX(LIV_Titre,MATCH($I256,LIV_Code,0)),"⚠ Code inconnu"))</f>
        <v/>
      </c>
      <c r="K256" s="138">
        <f>IF($F256="","",$F256+P_Duree)</f>
        <v/>
      </c>
      <c r="L256" s="134" t="n"/>
      <c r="M256" s="130">
        <f>IF(OR($F256="",$I256=""),"",IF($L256&lt;&gt;"",IF($L256&gt;$K256,"Rendu en retard","Rendu"),IF(TODAY()&gt;$K256,"En retard","En cours")))</f>
        <v/>
      </c>
      <c r="N256" s="139">
        <f>IF(OR($F256="",$I256=""),"",MAX(0,IF($L256&lt;&gt;"",$L256,TODAY())-$K256))</f>
        <v/>
      </c>
      <c r="O256" s="135">
        <f>IF(OR($F256="",$I256=""),"",$N256*P_Amende)</f>
        <v/>
      </c>
      <c r="P256" s="133" t="n"/>
      <c r="R256">
        <f>IF($M256="En retard",$N256+ROW()/100000,"")</f>
        <v/>
      </c>
      <c r="S256">
        <f>IF(OR($F256="",$I256=""),"",$F256+ROW()/100000)</f>
        <v/>
      </c>
      <c r="T256">
        <f>IF($I256="","",IFERROR(INDEX(LIV_Cat,MATCH($I256,LIV_Code,0)),""))</f>
        <v/>
      </c>
    </row>
    <row r="257" ht="21" customHeight="1">
      <c r="A257" s="1" t="n"/>
      <c r="B257" s="1" t="n"/>
      <c r="C257" s="2" t="n"/>
      <c r="E257" s="130">
        <f>IF($F257="","","EMP-"&amp;TEXT(ROW()-6,"0000"))</f>
        <v/>
      </c>
      <c r="F257" s="134" t="n"/>
      <c r="G257" s="127" t="n"/>
      <c r="H257" s="130">
        <f>IF($G257="","",IFERROR(INDEX(MEM_Nom,MATCH($G257,MEM_ID,0)),"⚠ ID inconnu"))</f>
        <v/>
      </c>
      <c r="I257" s="127" t="n"/>
      <c r="J257" s="130">
        <f>IF($I257="","",IFERROR(INDEX(LIV_Titre,MATCH($I257,LIV_Code,0)),"⚠ Code inconnu"))</f>
        <v/>
      </c>
      <c r="K257" s="138">
        <f>IF($F257="","",$F257+P_Duree)</f>
        <v/>
      </c>
      <c r="L257" s="134" t="n"/>
      <c r="M257" s="130">
        <f>IF(OR($F257="",$I257=""),"",IF($L257&lt;&gt;"",IF($L257&gt;$K257,"Rendu en retard","Rendu"),IF(TODAY()&gt;$K257,"En retard","En cours")))</f>
        <v/>
      </c>
      <c r="N257" s="139">
        <f>IF(OR($F257="",$I257=""),"",MAX(0,IF($L257&lt;&gt;"",$L257,TODAY())-$K257))</f>
        <v/>
      </c>
      <c r="O257" s="135">
        <f>IF(OR($F257="",$I257=""),"",$N257*P_Amende)</f>
        <v/>
      </c>
      <c r="P257" s="133" t="n"/>
      <c r="R257">
        <f>IF($M257="En retard",$N257+ROW()/100000,"")</f>
        <v/>
      </c>
      <c r="S257">
        <f>IF(OR($F257="",$I257=""),"",$F257+ROW()/100000)</f>
        <v/>
      </c>
      <c r="T257">
        <f>IF($I257="","",IFERROR(INDEX(LIV_Cat,MATCH($I257,LIV_Code,0)),""))</f>
        <v/>
      </c>
    </row>
    <row r="258" ht="21" customHeight="1">
      <c r="A258" s="1" t="n"/>
      <c r="B258" s="1" t="n"/>
      <c r="C258" s="2" t="n"/>
      <c r="E258" s="130">
        <f>IF($F258="","","EMP-"&amp;TEXT(ROW()-6,"0000"))</f>
        <v/>
      </c>
      <c r="F258" s="134" t="n"/>
      <c r="G258" s="127" t="n"/>
      <c r="H258" s="130">
        <f>IF($G258="","",IFERROR(INDEX(MEM_Nom,MATCH($G258,MEM_ID,0)),"⚠ ID inconnu"))</f>
        <v/>
      </c>
      <c r="I258" s="127" t="n"/>
      <c r="J258" s="130">
        <f>IF($I258="","",IFERROR(INDEX(LIV_Titre,MATCH($I258,LIV_Code,0)),"⚠ Code inconnu"))</f>
        <v/>
      </c>
      <c r="K258" s="138">
        <f>IF($F258="","",$F258+P_Duree)</f>
        <v/>
      </c>
      <c r="L258" s="134" t="n"/>
      <c r="M258" s="130">
        <f>IF(OR($F258="",$I258=""),"",IF($L258&lt;&gt;"",IF($L258&gt;$K258,"Rendu en retard","Rendu"),IF(TODAY()&gt;$K258,"En retard","En cours")))</f>
        <v/>
      </c>
      <c r="N258" s="139">
        <f>IF(OR($F258="",$I258=""),"",MAX(0,IF($L258&lt;&gt;"",$L258,TODAY())-$K258))</f>
        <v/>
      </c>
      <c r="O258" s="135">
        <f>IF(OR($F258="",$I258=""),"",$N258*P_Amende)</f>
        <v/>
      </c>
      <c r="P258" s="133" t="n"/>
      <c r="R258">
        <f>IF($M258="En retard",$N258+ROW()/100000,"")</f>
        <v/>
      </c>
      <c r="S258">
        <f>IF(OR($F258="",$I258=""),"",$F258+ROW()/100000)</f>
        <v/>
      </c>
      <c r="T258">
        <f>IF($I258="","",IFERROR(INDEX(LIV_Cat,MATCH($I258,LIV_Code,0)),""))</f>
        <v/>
      </c>
    </row>
    <row r="259" ht="21" customHeight="1">
      <c r="A259" s="1" t="n"/>
      <c r="B259" s="1" t="n"/>
      <c r="C259" s="2" t="n"/>
      <c r="E259" s="130">
        <f>IF($F259="","","EMP-"&amp;TEXT(ROW()-6,"0000"))</f>
        <v/>
      </c>
      <c r="F259" s="134" t="n"/>
      <c r="G259" s="127" t="n"/>
      <c r="H259" s="130">
        <f>IF($G259="","",IFERROR(INDEX(MEM_Nom,MATCH($G259,MEM_ID,0)),"⚠ ID inconnu"))</f>
        <v/>
      </c>
      <c r="I259" s="127" t="n"/>
      <c r="J259" s="130">
        <f>IF($I259="","",IFERROR(INDEX(LIV_Titre,MATCH($I259,LIV_Code,0)),"⚠ Code inconnu"))</f>
        <v/>
      </c>
      <c r="K259" s="138">
        <f>IF($F259="","",$F259+P_Duree)</f>
        <v/>
      </c>
      <c r="L259" s="134" t="n"/>
      <c r="M259" s="130">
        <f>IF(OR($F259="",$I259=""),"",IF($L259&lt;&gt;"",IF($L259&gt;$K259,"Rendu en retard","Rendu"),IF(TODAY()&gt;$K259,"En retard","En cours")))</f>
        <v/>
      </c>
      <c r="N259" s="139">
        <f>IF(OR($F259="",$I259=""),"",MAX(0,IF($L259&lt;&gt;"",$L259,TODAY())-$K259))</f>
        <v/>
      </c>
      <c r="O259" s="135">
        <f>IF(OR($F259="",$I259=""),"",$N259*P_Amende)</f>
        <v/>
      </c>
      <c r="P259" s="133" t="n"/>
      <c r="R259">
        <f>IF($M259="En retard",$N259+ROW()/100000,"")</f>
        <v/>
      </c>
      <c r="S259">
        <f>IF(OR($F259="",$I259=""),"",$F259+ROW()/100000)</f>
        <v/>
      </c>
      <c r="T259">
        <f>IF($I259="","",IFERROR(INDEX(LIV_Cat,MATCH($I259,LIV_Code,0)),""))</f>
        <v/>
      </c>
    </row>
    <row r="260" ht="21" customHeight="1">
      <c r="A260" s="1" t="n"/>
      <c r="B260" s="1" t="n"/>
      <c r="C260" s="2" t="n"/>
      <c r="E260" s="130">
        <f>IF($F260="","","EMP-"&amp;TEXT(ROW()-6,"0000"))</f>
        <v/>
      </c>
      <c r="F260" s="134" t="n"/>
      <c r="G260" s="127" t="n"/>
      <c r="H260" s="130">
        <f>IF($G260="","",IFERROR(INDEX(MEM_Nom,MATCH($G260,MEM_ID,0)),"⚠ ID inconnu"))</f>
        <v/>
      </c>
      <c r="I260" s="127" t="n"/>
      <c r="J260" s="130">
        <f>IF($I260="","",IFERROR(INDEX(LIV_Titre,MATCH($I260,LIV_Code,0)),"⚠ Code inconnu"))</f>
        <v/>
      </c>
      <c r="K260" s="138">
        <f>IF($F260="","",$F260+P_Duree)</f>
        <v/>
      </c>
      <c r="L260" s="134" t="n"/>
      <c r="M260" s="130">
        <f>IF(OR($F260="",$I260=""),"",IF($L260&lt;&gt;"",IF($L260&gt;$K260,"Rendu en retard","Rendu"),IF(TODAY()&gt;$K260,"En retard","En cours")))</f>
        <v/>
      </c>
      <c r="N260" s="139">
        <f>IF(OR($F260="",$I260=""),"",MAX(0,IF($L260&lt;&gt;"",$L260,TODAY())-$K260))</f>
        <v/>
      </c>
      <c r="O260" s="135">
        <f>IF(OR($F260="",$I260=""),"",$N260*P_Amende)</f>
        <v/>
      </c>
      <c r="P260" s="133" t="n"/>
      <c r="R260">
        <f>IF($M260="En retard",$N260+ROW()/100000,"")</f>
        <v/>
      </c>
      <c r="S260">
        <f>IF(OR($F260="",$I260=""),"",$F260+ROW()/100000)</f>
        <v/>
      </c>
      <c r="T260">
        <f>IF($I260="","",IFERROR(INDEX(LIV_Cat,MATCH($I260,LIV_Code,0)),""))</f>
        <v/>
      </c>
    </row>
    <row r="261" ht="21" customHeight="1">
      <c r="A261" s="1" t="n"/>
      <c r="B261" s="1" t="n"/>
      <c r="C261" s="2" t="n"/>
      <c r="E261" s="130">
        <f>IF($F261="","","EMP-"&amp;TEXT(ROW()-6,"0000"))</f>
        <v/>
      </c>
      <c r="F261" s="134" t="n"/>
      <c r="G261" s="127" t="n"/>
      <c r="H261" s="130">
        <f>IF($G261="","",IFERROR(INDEX(MEM_Nom,MATCH($G261,MEM_ID,0)),"⚠ ID inconnu"))</f>
        <v/>
      </c>
      <c r="I261" s="127" t="n"/>
      <c r="J261" s="130">
        <f>IF($I261="","",IFERROR(INDEX(LIV_Titre,MATCH($I261,LIV_Code,0)),"⚠ Code inconnu"))</f>
        <v/>
      </c>
      <c r="K261" s="138">
        <f>IF($F261="","",$F261+P_Duree)</f>
        <v/>
      </c>
      <c r="L261" s="134" t="n"/>
      <c r="M261" s="130">
        <f>IF(OR($F261="",$I261=""),"",IF($L261&lt;&gt;"",IF($L261&gt;$K261,"Rendu en retard","Rendu"),IF(TODAY()&gt;$K261,"En retard","En cours")))</f>
        <v/>
      </c>
      <c r="N261" s="139">
        <f>IF(OR($F261="",$I261=""),"",MAX(0,IF($L261&lt;&gt;"",$L261,TODAY())-$K261))</f>
        <v/>
      </c>
      <c r="O261" s="135">
        <f>IF(OR($F261="",$I261=""),"",$N261*P_Amende)</f>
        <v/>
      </c>
      <c r="P261" s="133" t="n"/>
      <c r="R261">
        <f>IF($M261="En retard",$N261+ROW()/100000,"")</f>
        <v/>
      </c>
      <c r="S261">
        <f>IF(OR($F261="",$I261=""),"",$F261+ROW()/100000)</f>
        <v/>
      </c>
      <c r="T261">
        <f>IF($I261="","",IFERROR(INDEX(LIV_Cat,MATCH($I261,LIV_Code,0)),""))</f>
        <v/>
      </c>
    </row>
    <row r="262" ht="21" customHeight="1">
      <c r="A262" s="1" t="n"/>
      <c r="B262" s="1" t="n"/>
      <c r="C262" s="2" t="n"/>
      <c r="E262" s="130">
        <f>IF($F262="","","EMP-"&amp;TEXT(ROW()-6,"0000"))</f>
        <v/>
      </c>
      <c r="F262" s="134" t="n"/>
      <c r="G262" s="127" t="n"/>
      <c r="H262" s="130">
        <f>IF($G262="","",IFERROR(INDEX(MEM_Nom,MATCH($G262,MEM_ID,0)),"⚠ ID inconnu"))</f>
        <v/>
      </c>
      <c r="I262" s="127" t="n"/>
      <c r="J262" s="130">
        <f>IF($I262="","",IFERROR(INDEX(LIV_Titre,MATCH($I262,LIV_Code,0)),"⚠ Code inconnu"))</f>
        <v/>
      </c>
      <c r="K262" s="138">
        <f>IF($F262="","",$F262+P_Duree)</f>
        <v/>
      </c>
      <c r="L262" s="134" t="n"/>
      <c r="M262" s="130">
        <f>IF(OR($F262="",$I262=""),"",IF($L262&lt;&gt;"",IF($L262&gt;$K262,"Rendu en retard","Rendu"),IF(TODAY()&gt;$K262,"En retard","En cours")))</f>
        <v/>
      </c>
      <c r="N262" s="139">
        <f>IF(OR($F262="",$I262=""),"",MAX(0,IF($L262&lt;&gt;"",$L262,TODAY())-$K262))</f>
        <v/>
      </c>
      <c r="O262" s="135">
        <f>IF(OR($F262="",$I262=""),"",$N262*P_Amende)</f>
        <v/>
      </c>
      <c r="P262" s="133" t="n"/>
      <c r="R262">
        <f>IF($M262="En retard",$N262+ROW()/100000,"")</f>
        <v/>
      </c>
      <c r="S262">
        <f>IF(OR($F262="",$I262=""),"",$F262+ROW()/100000)</f>
        <v/>
      </c>
      <c r="T262">
        <f>IF($I262="","",IFERROR(INDEX(LIV_Cat,MATCH($I262,LIV_Code,0)),""))</f>
        <v/>
      </c>
    </row>
    <row r="263" ht="21" customHeight="1">
      <c r="A263" s="1" t="n"/>
      <c r="B263" s="1" t="n"/>
      <c r="C263" s="2" t="n"/>
      <c r="E263" s="130">
        <f>IF($F263="","","EMP-"&amp;TEXT(ROW()-6,"0000"))</f>
        <v/>
      </c>
      <c r="F263" s="134" t="n"/>
      <c r="G263" s="127" t="n"/>
      <c r="H263" s="130">
        <f>IF($G263="","",IFERROR(INDEX(MEM_Nom,MATCH($G263,MEM_ID,0)),"⚠ ID inconnu"))</f>
        <v/>
      </c>
      <c r="I263" s="127" t="n"/>
      <c r="J263" s="130">
        <f>IF($I263="","",IFERROR(INDEX(LIV_Titre,MATCH($I263,LIV_Code,0)),"⚠ Code inconnu"))</f>
        <v/>
      </c>
      <c r="K263" s="138">
        <f>IF($F263="","",$F263+P_Duree)</f>
        <v/>
      </c>
      <c r="L263" s="134" t="n"/>
      <c r="M263" s="130">
        <f>IF(OR($F263="",$I263=""),"",IF($L263&lt;&gt;"",IF($L263&gt;$K263,"Rendu en retard","Rendu"),IF(TODAY()&gt;$K263,"En retard","En cours")))</f>
        <v/>
      </c>
      <c r="N263" s="139">
        <f>IF(OR($F263="",$I263=""),"",MAX(0,IF($L263&lt;&gt;"",$L263,TODAY())-$K263))</f>
        <v/>
      </c>
      <c r="O263" s="135">
        <f>IF(OR($F263="",$I263=""),"",$N263*P_Amende)</f>
        <v/>
      </c>
      <c r="P263" s="133" t="n"/>
      <c r="R263">
        <f>IF($M263="En retard",$N263+ROW()/100000,"")</f>
        <v/>
      </c>
      <c r="S263">
        <f>IF(OR($F263="",$I263=""),"",$F263+ROW()/100000)</f>
        <v/>
      </c>
      <c r="T263">
        <f>IF($I263="","",IFERROR(INDEX(LIV_Cat,MATCH($I263,LIV_Code,0)),""))</f>
        <v/>
      </c>
    </row>
    <row r="264" ht="21" customHeight="1">
      <c r="A264" s="1" t="n"/>
      <c r="B264" s="1" t="n"/>
      <c r="C264" s="2" t="n"/>
      <c r="E264" s="130">
        <f>IF($F264="","","EMP-"&amp;TEXT(ROW()-6,"0000"))</f>
        <v/>
      </c>
      <c r="F264" s="134" t="n"/>
      <c r="G264" s="127" t="n"/>
      <c r="H264" s="130">
        <f>IF($G264="","",IFERROR(INDEX(MEM_Nom,MATCH($G264,MEM_ID,0)),"⚠ ID inconnu"))</f>
        <v/>
      </c>
      <c r="I264" s="127" t="n"/>
      <c r="J264" s="130">
        <f>IF($I264="","",IFERROR(INDEX(LIV_Titre,MATCH($I264,LIV_Code,0)),"⚠ Code inconnu"))</f>
        <v/>
      </c>
      <c r="K264" s="138">
        <f>IF($F264="","",$F264+P_Duree)</f>
        <v/>
      </c>
      <c r="L264" s="134" t="n"/>
      <c r="M264" s="130">
        <f>IF(OR($F264="",$I264=""),"",IF($L264&lt;&gt;"",IF($L264&gt;$K264,"Rendu en retard","Rendu"),IF(TODAY()&gt;$K264,"En retard","En cours")))</f>
        <v/>
      </c>
      <c r="N264" s="139">
        <f>IF(OR($F264="",$I264=""),"",MAX(0,IF($L264&lt;&gt;"",$L264,TODAY())-$K264))</f>
        <v/>
      </c>
      <c r="O264" s="135">
        <f>IF(OR($F264="",$I264=""),"",$N264*P_Amende)</f>
        <v/>
      </c>
      <c r="P264" s="133" t="n"/>
      <c r="R264">
        <f>IF($M264="En retard",$N264+ROW()/100000,"")</f>
        <v/>
      </c>
      <c r="S264">
        <f>IF(OR($F264="",$I264=""),"",$F264+ROW()/100000)</f>
        <v/>
      </c>
      <c r="T264">
        <f>IF($I264="","",IFERROR(INDEX(LIV_Cat,MATCH($I264,LIV_Code,0)),""))</f>
        <v/>
      </c>
    </row>
    <row r="265" ht="21" customHeight="1">
      <c r="A265" s="1" t="n"/>
      <c r="B265" s="1" t="n"/>
      <c r="C265" s="2" t="n"/>
      <c r="E265" s="130">
        <f>IF($F265="","","EMP-"&amp;TEXT(ROW()-6,"0000"))</f>
        <v/>
      </c>
      <c r="F265" s="134" t="n"/>
      <c r="G265" s="127" t="n"/>
      <c r="H265" s="130">
        <f>IF($G265="","",IFERROR(INDEX(MEM_Nom,MATCH($G265,MEM_ID,0)),"⚠ ID inconnu"))</f>
        <v/>
      </c>
      <c r="I265" s="127" t="n"/>
      <c r="J265" s="130">
        <f>IF($I265="","",IFERROR(INDEX(LIV_Titre,MATCH($I265,LIV_Code,0)),"⚠ Code inconnu"))</f>
        <v/>
      </c>
      <c r="K265" s="138">
        <f>IF($F265="","",$F265+P_Duree)</f>
        <v/>
      </c>
      <c r="L265" s="134" t="n"/>
      <c r="M265" s="130">
        <f>IF(OR($F265="",$I265=""),"",IF($L265&lt;&gt;"",IF($L265&gt;$K265,"Rendu en retard","Rendu"),IF(TODAY()&gt;$K265,"En retard","En cours")))</f>
        <v/>
      </c>
      <c r="N265" s="139">
        <f>IF(OR($F265="",$I265=""),"",MAX(0,IF($L265&lt;&gt;"",$L265,TODAY())-$K265))</f>
        <v/>
      </c>
      <c r="O265" s="135">
        <f>IF(OR($F265="",$I265=""),"",$N265*P_Amende)</f>
        <v/>
      </c>
      <c r="P265" s="133" t="n"/>
      <c r="R265">
        <f>IF($M265="En retard",$N265+ROW()/100000,"")</f>
        <v/>
      </c>
      <c r="S265">
        <f>IF(OR($F265="",$I265=""),"",$F265+ROW()/100000)</f>
        <v/>
      </c>
      <c r="T265">
        <f>IF($I265="","",IFERROR(INDEX(LIV_Cat,MATCH($I265,LIV_Code,0)),""))</f>
        <v/>
      </c>
    </row>
    <row r="266" ht="21" customHeight="1">
      <c r="A266" s="1" t="n"/>
      <c r="B266" s="1" t="n"/>
      <c r="C266" s="2" t="n"/>
      <c r="E266" s="130">
        <f>IF($F266="","","EMP-"&amp;TEXT(ROW()-6,"0000"))</f>
        <v/>
      </c>
      <c r="F266" s="134" t="n"/>
      <c r="G266" s="127" t="n"/>
      <c r="H266" s="130">
        <f>IF($G266="","",IFERROR(INDEX(MEM_Nom,MATCH($G266,MEM_ID,0)),"⚠ ID inconnu"))</f>
        <v/>
      </c>
      <c r="I266" s="127" t="n"/>
      <c r="J266" s="130">
        <f>IF($I266="","",IFERROR(INDEX(LIV_Titre,MATCH($I266,LIV_Code,0)),"⚠ Code inconnu"))</f>
        <v/>
      </c>
      <c r="K266" s="138">
        <f>IF($F266="","",$F266+P_Duree)</f>
        <v/>
      </c>
      <c r="L266" s="134" t="n"/>
      <c r="M266" s="130">
        <f>IF(OR($F266="",$I266=""),"",IF($L266&lt;&gt;"",IF($L266&gt;$K266,"Rendu en retard","Rendu"),IF(TODAY()&gt;$K266,"En retard","En cours")))</f>
        <v/>
      </c>
      <c r="N266" s="139">
        <f>IF(OR($F266="",$I266=""),"",MAX(0,IF($L266&lt;&gt;"",$L266,TODAY())-$K266))</f>
        <v/>
      </c>
      <c r="O266" s="135">
        <f>IF(OR($F266="",$I266=""),"",$N266*P_Amende)</f>
        <v/>
      </c>
      <c r="P266" s="133" t="n"/>
      <c r="R266">
        <f>IF($M266="En retard",$N266+ROW()/100000,"")</f>
        <v/>
      </c>
      <c r="S266">
        <f>IF(OR($F266="",$I266=""),"",$F266+ROW()/100000)</f>
        <v/>
      </c>
      <c r="T266">
        <f>IF($I266="","",IFERROR(INDEX(LIV_Cat,MATCH($I266,LIV_Code,0)),""))</f>
        <v/>
      </c>
    </row>
    <row r="267" ht="21" customHeight="1">
      <c r="A267" s="1" t="n"/>
      <c r="B267" s="1" t="n"/>
      <c r="C267" s="2" t="n"/>
      <c r="E267" s="130">
        <f>IF($F267="","","EMP-"&amp;TEXT(ROW()-6,"0000"))</f>
        <v/>
      </c>
      <c r="F267" s="134" t="n"/>
      <c r="G267" s="127" t="n"/>
      <c r="H267" s="130">
        <f>IF($G267="","",IFERROR(INDEX(MEM_Nom,MATCH($G267,MEM_ID,0)),"⚠ ID inconnu"))</f>
        <v/>
      </c>
      <c r="I267" s="127" t="n"/>
      <c r="J267" s="130">
        <f>IF($I267="","",IFERROR(INDEX(LIV_Titre,MATCH($I267,LIV_Code,0)),"⚠ Code inconnu"))</f>
        <v/>
      </c>
      <c r="K267" s="138">
        <f>IF($F267="","",$F267+P_Duree)</f>
        <v/>
      </c>
      <c r="L267" s="134" t="n"/>
      <c r="M267" s="130">
        <f>IF(OR($F267="",$I267=""),"",IF($L267&lt;&gt;"",IF($L267&gt;$K267,"Rendu en retard","Rendu"),IF(TODAY()&gt;$K267,"En retard","En cours")))</f>
        <v/>
      </c>
      <c r="N267" s="139">
        <f>IF(OR($F267="",$I267=""),"",MAX(0,IF($L267&lt;&gt;"",$L267,TODAY())-$K267))</f>
        <v/>
      </c>
      <c r="O267" s="135">
        <f>IF(OR($F267="",$I267=""),"",$N267*P_Amende)</f>
        <v/>
      </c>
      <c r="P267" s="133" t="n"/>
      <c r="R267">
        <f>IF($M267="En retard",$N267+ROW()/100000,"")</f>
        <v/>
      </c>
      <c r="S267">
        <f>IF(OR($F267="",$I267=""),"",$F267+ROW()/100000)</f>
        <v/>
      </c>
      <c r="T267">
        <f>IF($I267="","",IFERROR(INDEX(LIV_Cat,MATCH($I267,LIV_Code,0)),""))</f>
        <v/>
      </c>
    </row>
    <row r="268" ht="21" customHeight="1">
      <c r="A268" s="1" t="n"/>
      <c r="B268" s="1" t="n"/>
      <c r="C268" s="2" t="n"/>
      <c r="E268" s="130">
        <f>IF($F268="","","EMP-"&amp;TEXT(ROW()-6,"0000"))</f>
        <v/>
      </c>
      <c r="F268" s="134" t="n"/>
      <c r="G268" s="127" t="n"/>
      <c r="H268" s="130">
        <f>IF($G268="","",IFERROR(INDEX(MEM_Nom,MATCH($G268,MEM_ID,0)),"⚠ ID inconnu"))</f>
        <v/>
      </c>
      <c r="I268" s="127" t="n"/>
      <c r="J268" s="130">
        <f>IF($I268="","",IFERROR(INDEX(LIV_Titre,MATCH($I268,LIV_Code,0)),"⚠ Code inconnu"))</f>
        <v/>
      </c>
      <c r="K268" s="138">
        <f>IF($F268="","",$F268+P_Duree)</f>
        <v/>
      </c>
      <c r="L268" s="134" t="n"/>
      <c r="M268" s="130">
        <f>IF(OR($F268="",$I268=""),"",IF($L268&lt;&gt;"",IF($L268&gt;$K268,"Rendu en retard","Rendu"),IF(TODAY()&gt;$K268,"En retard","En cours")))</f>
        <v/>
      </c>
      <c r="N268" s="139">
        <f>IF(OR($F268="",$I268=""),"",MAX(0,IF($L268&lt;&gt;"",$L268,TODAY())-$K268))</f>
        <v/>
      </c>
      <c r="O268" s="135">
        <f>IF(OR($F268="",$I268=""),"",$N268*P_Amende)</f>
        <v/>
      </c>
      <c r="P268" s="133" t="n"/>
      <c r="R268">
        <f>IF($M268="En retard",$N268+ROW()/100000,"")</f>
        <v/>
      </c>
      <c r="S268">
        <f>IF(OR($F268="",$I268=""),"",$F268+ROW()/100000)</f>
        <v/>
      </c>
      <c r="T268">
        <f>IF($I268="","",IFERROR(INDEX(LIV_Cat,MATCH($I268,LIV_Code,0)),""))</f>
        <v/>
      </c>
    </row>
    <row r="269" ht="21" customHeight="1">
      <c r="A269" s="1" t="n"/>
      <c r="B269" s="1" t="n"/>
      <c r="C269" s="2" t="n"/>
      <c r="E269" s="130">
        <f>IF($F269="","","EMP-"&amp;TEXT(ROW()-6,"0000"))</f>
        <v/>
      </c>
      <c r="F269" s="134" t="n"/>
      <c r="G269" s="127" t="n"/>
      <c r="H269" s="130">
        <f>IF($G269="","",IFERROR(INDEX(MEM_Nom,MATCH($G269,MEM_ID,0)),"⚠ ID inconnu"))</f>
        <v/>
      </c>
      <c r="I269" s="127" t="n"/>
      <c r="J269" s="130">
        <f>IF($I269="","",IFERROR(INDEX(LIV_Titre,MATCH($I269,LIV_Code,0)),"⚠ Code inconnu"))</f>
        <v/>
      </c>
      <c r="K269" s="138">
        <f>IF($F269="","",$F269+P_Duree)</f>
        <v/>
      </c>
      <c r="L269" s="134" t="n"/>
      <c r="M269" s="130">
        <f>IF(OR($F269="",$I269=""),"",IF($L269&lt;&gt;"",IF($L269&gt;$K269,"Rendu en retard","Rendu"),IF(TODAY()&gt;$K269,"En retard","En cours")))</f>
        <v/>
      </c>
      <c r="N269" s="139">
        <f>IF(OR($F269="",$I269=""),"",MAX(0,IF($L269&lt;&gt;"",$L269,TODAY())-$K269))</f>
        <v/>
      </c>
      <c r="O269" s="135">
        <f>IF(OR($F269="",$I269=""),"",$N269*P_Amende)</f>
        <v/>
      </c>
      <c r="P269" s="133" t="n"/>
      <c r="R269">
        <f>IF($M269="En retard",$N269+ROW()/100000,"")</f>
        <v/>
      </c>
      <c r="S269">
        <f>IF(OR($F269="",$I269=""),"",$F269+ROW()/100000)</f>
        <v/>
      </c>
      <c r="T269">
        <f>IF($I269="","",IFERROR(INDEX(LIV_Cat,MATCH($I269,LIV_Code,0)),""))</f>
        <v/>
      </c>
    </row>
    <row r="270" ht="21" customHeight="1">
      <c r="A270" s="1" t="n"/>
      <c r="B270" s="1" t="n"/>
      <c r="C270" s="2" t="n"/>
      <c r="E270" s="130">
        <f>IF($F270="","","EMP-"&amp;TEXT(ROW()-6,"0000"))</f>
        <v/>
      </c>
      <c r="F270" s="134" t="n"/>
      <c r="G270" s="127" t="n"/>
      <c r="H270" s="130">
        <f>IF($G270="","",IFERROR(INDEX(MEM_Nom,MATCH($G270,MEM_ID,0)),"⚠ ID inconnu"))</f>
        <v/>
      </c>
      <c r="I270" s="127" t="n"/>
      <c r="J270" s="130">
        <f>IF($I270="","",IFERROR(INDEX(LIV_Titre,MATCH($I270,LIV_Code,0)),"⚠ Code inconnu"))</f>
        <v/>
      </c>
      <c r="K270" s="138">
        <f>IF($F270="","",$F270+P_Duree)</f>
        <v/>
      </c>
      <c r="L270" s="134" t="n"/>
      <c r="M270" s="130">
        <f>IF(OR($F270="",$I270=""),"",IF($L270&lt;&gt;"",IF($L270&gt;$K270,"Rendu en retard","Rendu"),IF(TODAY()&gt;$K270,"En retard","En cours")))</f>
        <v/>
      </c>
      <c r="N270" s="139">
        <f>IF(OR($F270="",$I270=""),"",MAX(0,IF($L270&lt;&gt;"",$L270,TODAY())-$K270))</f>
        <v/>
      </c>
      <c r="O270" s="135">
        <f>IF(OR($F270="",$I270=""),"",$N270*P_Amende)</f>
        <v/>
      </c>
      <c r="P270" s="133" t="n"/>
      <c r="R270">
        <f>IF($M270="En retard",$N270+ROW()/100000,"")</f>
        <v/>
      </c>
      <c r="S270">
        <f>IF(OR($F270="",$I270=""),"",$F270+ROW()/100000)</f>
        <v/>
      </c>
      <c r="T270">
        <f>IF($I270="","",IFERROR(INDEX(LIV_Cat,MATCH($I270,LIV_Code,0)),""))</f>
        <v/>
      </c>
    </row>
    <row r="271" ht="21" customHeight="1">
      <c r="A271" s="1" t="n"/>
      <c r="B271" s="1" t="n"/>
      <c r="C271" s="2" t="n"/>
      <c r="E271" s="130">
        <f>IF($F271="","","EMP-"&amp;TEXT(ROW()-6,"0000"))</f>
        <v/>
      </c>
      <c r="F271" s="134" t="n"/>
      <c r="G271" s="127" t="n"/>
      <c r="H271" s="130">
        <f>IF($G271="","",IFERROR(INDEX(MEM_Nom,MATCH($G271,MEM_ID,0)),"⚠ ID inconnu"))</f>
        <v/>
      </c>
      <c r="I271" s="127" t="n"/>
      <c r="J271" s="130">
        <f>IF($I271="","",IFERROR(INDEX(LIV_Titre,MATCH($I271,LIV_Code,0)),"⚠ Code inconnu"))</f>
        <v/>
      </c>
      <c r="K271" s="138">
        <f>IF($F271="","",$F271+P_Duree)</f>
        <v/>
      </c>
      <c r="L271" s="134" t="n"/>
      <c r="M271" s="130">
        <f>IF(OR($F271="",$I271=""),"",IF($L271&lt;&gt;"",IF($L271&gt;$K271,"Rendu en retard","Rendu"),IF(TODAY()&gt;$K271,"En retard","En cours")))</f>
        <v/>
      </c>
      <c r="N271" s="139">
        <f>IF(OR($F271="",$I271=""),"",MAX(0,IF($L271&lt;&gt;"",$L271,TODAY())-$K271))</f>
        <v/>
      </c>
      <c r="O271" s="135">
        <f>IF(OR($F271="",$I271=""),"",$N271*P_Amende)</f>
        <v/>
      </c>
      <c r="P271" s="133" t="n"/>
      <c r="R271">
        <f>IF($M271="En retard",$N271+ROW()/100000,"")</f>
        <v/>
      </c>
      <c r="S271">
        <f>IF(OR($F271="",$I271=""),"",$F271+ROW()/100000)</f>
        <v/>
      </c>
      <c r="T271">
        <f>IF($I271="","",IFERROR(INDEX(LIV_Cat,MATCH($I271,LIV_Code,0)),""))</f>
        <v/>
      </c>
    </row>
    <row r="272" ht="21" customHeight="1">
      <c r="A272" s="1" t="n"/>
      <c r="B272" s="1" t="n"/>
      <c r="C272" s="2" t="n"/>
      <c r="E272" s="130">
        <f>IF($F272="","","EMP-"&amp;TEXT(ROW()-6,"0000"))</f>
        <v/>
      </c>
      <c r="F272" s="134" t="n"/>
      <c r="G272" s="127" t="n"/>
      <c r="H272" s="130">
        <f>IF($G272="","",IFERROR(INDEX(MEM_Nom,MATCH($G272,MEM_ID,0)),"⚠ ID inconnu"))</f>
        <v/>
      </c>
      <c r="I272" s="127" t="n"/>
      <c r="J272" s="130">
        <f>IF($I272="","",IFERROR(INDEX(LIV_Titre,MATCH($I272,LIV_Code,0)),"⚠ Code inconnu"))</f>
        <v/>
      </c>
      <c r="K272" s="138">
        <f>IF($F272="","",$F272+P_Duree)</f>
        <v/>
      </c>
      <c r="L272" s="134" t="n"/>
      <c r="M272" s="130">
        <f>IF(OR($F272="",$I272=""),"",IF($L272&lt;&gt;"",IF($L272&gt;$K272,"Rendu en retard","Rendu"),IF(TODAY()&gt;$K272,"En retard","En cours")))</f>
        <v/>
      </c>
      <c r="N272" s="139">
        <f>IF(OR($F272="",$I272=""),"",MAX(0,IF($L272&lt;&gt;"",$L272,TODAY())-$K272))</f>
        <v/>
      </c>
      <c r="O272" s="135">
        <f>IF(OR($F272="",$I272=""),"",$N272*P_Amende)</f>
        <v/>
      </c>
      <c r="P272" s="133" t="n"/>
      <c r="R272">
        <f>IF($M272="En retard",$N272+ROW()/100000,"")</f>
        <v/>
      </c>
      <c r="S272">
        <f>IF(OR($F272="",$I272=""),"",$F272+ROW()/100000)</f>
        <v/>
      </c>
      <c r="T272">
        <f>IF($I272="","",IFERROR(INDEX(LIV_Cat,MATCH($I272,LIV_Code,0)),""))</f>
        <v/>
      </c>
    </row>
    <row r="273" ht="21" customHeight="1">
      <c r="A273" s="1" t="n"/>
      <c r="B273" s="1" t="n"/>
      <c r="C273" s="2" t="n"/>
      <c r="E273" s="130">
        <f>IF($F273="","","EMP-"&amp;TEXT(ROW()-6,"0000"))</f>
        <v/>
      </c>
      <c r="F273" s="134" t="n"/>
      <c r="G273" s="127" t="n"/>
      <c r="H273" s="130">
        <f>IF($G273="","",IFERROR(INDEX(MEM_Nom,MATCH($G273,MEM_ID,0)),"⚠ ID inconnu"))</f>
        <v/>
      </c>
      <c r="I273" s="127" t="n"/>
      <c r="J273" s="130">
        <f>IF($I273="","",IFERROR(INDEX(LIV_Titre,MATCH($I273,LIV_Code,0)),"⚠ Code inconnu"))</f>
        <v/>
      </c>
      <c r="K273" s="138">
        <f>IF($F273="","",$F273+P_Duree)</f>
        <v/>
      </c>
      <c r="L273" s="134" t="n"/>
      <c r="M273" s="130">
        <f>IF(OR($F273="",$I273=""),"",IF($L273&lt;&gt;"",IF($L273&gt;$K273,"Rendu en retard","Rendu"),IF(TODAY()&gt;$K273,"En retard","En cours")))</f>
        <v/>
      </c>
      <c r="N273" s="139">
        <f>IF(OR($F273="",$I273=""),"",MAX(0,IF($L273&lt;&gt;"",$L273,TODAY())-$K273))</f>
        <v/>
      </c>
      <c r="O273" s="135">
        <f>IF(OR($F273="",$I273=""),"",$N273*P_Amende)</f>
        <v/>
      </c>
      <c r="P273" s="133" t="n"/>
      <c r="R273">
        <f>IF($M273="En retard",$N273+ROW()/100000,"")</f>
        <v/>
      </c>
      <c r="S273">
        <f>IF(OR($F273="",$I273=""),"",$F273+ROW()/100000)</f>
        <v/>
      </c>
      <c r="T273">
        <f>IF($I273="","",IFERROR(INDEX(LIV_Cat,MATCH($I273,LIV_Code,0)),""))</f>
        <v/>
      </c>
    </row>
    <row r="274" ht="21" customHeight="1">
      <c r="A274" s="1" t="n"/>
      <c r="B274" s="1" t="n"/>
      <c r="C274" s="2" t="n"/>
      <c r="E274" s="130">
        <f>IF($F274="","","EMP-"&amp;TEXT(ROW()-6,"0000"))</f>
        <v/>
      </c>
      <c r="F274" s="134" t="n"/>
      <c r="G274" s="127" t="n"/>
      <c r="H274" s="130">
        <f>IF($G274="","",IFERROR(INDEX(MEM_Nom,MATCH($G274,MEM_ID,0)),"⚠ ID inconnu"))</f>
        <v/>
      </c>
      <c r="I274" s="127" t="n"/>
      <c r="J274" s="130">
        <f>IF($I274="","",IFERROR(INDEX(LIV_Titre,MATCH($I274,LIV_Code,0)),"⚠ Code inconnu"))</f>
        <v/>
      </c>
      <c r="K274" s="138">
        <f>IF($F274="","",$F274+P_Duree)</f>
        <v/>
      </c>
      <c r="L274" s="134" t="n"/>
      <c r="M274" s="130">
        <f>IF(OR($F274="",$I274=""),"",IF($L274&lt;&gt;"",IF($L274&gt;$K274,"Rendu en retard","Rendu"),IF(TODAY()&gt;$K274,"En retard","En cours")))</f>
        <v/>
      </c>
      <c r="N274" s="139">
        <f>IF(OR($F274="",$I274=""),"",MAX(0,IF($L274&lt;&gt;"",$L274,TODAY())-$K274))</f>
        <v/>
      </c>
      <c r="O274" s="135">
        <f>IF(OR($F274="",$I274=""),"",$N274*P_Amende)</f>
        <v/>
      </c>
      <c r="P274" s="133" t="n"/>
      <c r="R274">
        <f>IF($M274="En retard",$N274+ROW()/100000,"")</f>
        <v/>
      </c>
      <c r="S274">
        <f>IF(OR($F274="",$I274=""),"",$F274+ROW()/100000)</f>
        <v/>
      </c>
      <c r="T274">
        <f>IF($I274="","",IFERROR(INDEX(LIV_Cat,MATCH($I274,LIV_Code,0)),""))</f>
        <v/>
      </c>
    </row>
    <row r="275" ht="21" customHeight="1">
      <c r="A275" s="1" t="n"/>
      <c r="B275" s="1" t="n"/>
      <c r="C275" s="2" t="n"/>
      <c r="E275" s="130">
        <f>IF($F275="","","EMP-"&amp;TEXT(ROW()-6,"0000"))</f>
        <v/>
      </c>
      <c r="F275" s="134" t="n"/>
      <c r="G275" s="127" t="n"/>
      <c r="H275" s="130">
        <f>IF($G275="","",IFERROR(INDEX(MEM_Nom,MATCH($G275,MEM_ID,0)),"⚠ ID inconnu"))</f>
        <v/>
      </c>
      <c r="I275" s="127" t="n"/>
      <c r="J275" s="130">
        <f>IF($I275="","",IFERROR(INDEX(LIV_Titre,MATCH($I275,LIV_Code,0)),"⚠ Code inconnu"))</f>
        <v/>
      </c>
      <c r="K275" s="138">
        <f>IF($F275="","",$F275+P_Duree)</f>
        <v/>
      </c>
      <c r="L275" s="134" t="n"/>
      <c r="M275" s="130">
        <f>IF(OR($F275="",$I275=""),"",IF($L275&lt;&gt;"",IF($L275&gt;$K275,"Rendu en retard","Rendu"),IF(TODAY()&gt;$K275,"En retard","En cours")))</f>
        <v/>
      </c>
      <c r="N275" s="139">
        <f>IF(OR($F275="",$I275=""),"",MAX(0,IF($L275&lt;&gt;"",$L275,TODAY())-$K275))</f>
        <v/>
      </c>
      <c r="O275" s="135">
        <f>IF(OR($F275="",$I275=""),"",$N275*P_Amende)</f>
        <v/>
      </c>
      <c r="P275" s="133" t="n"/>
      <c r="R275">
        <f>IF($M275="En retard",$N275+ROW()/100000,"")</f>
        <v/>
      </c>
      <c r="S275">
        <f>IF(OR($F275="",$I275=""),"",$F275+ROW()/100000)</f>
        <v/>
      </c>
      <c r="T275">
        <f>IF($I275="","",IFERROR(INDEX(LIV_Cat,MATCH($I275,LIV_Code,0)),""))</f>
        <v/>
      </c>
    </row>
    <row r="276" ht="21" customHeight="1">
      <c r="A276" s="1" t="n"/>
      <c r="B276" s="1" t="n"/>
      <c r="C276" s="2" t="n"/>
      <c r="E276" s="130">
        <f>IF($F276="","","EMP-"&amp;TEXT(ROW()-6,"0000"))</f>
        <v/>
      </c>
      <c r="F276" s="134" t="n"/>
      <c r="G276" s="127" t="n"/>
      <c r="H276" s="130">
        <f>IF($G276="","",IFERROR(INDEX(MEM_Nom,MATCH($G276,MEM_ID,0)),"⚠ ID inconnu"))</f>
        <v/>
      </c>
      <c r="I276" s="127" t="n"/>
      <c r="J276" s="130">
        <f>IF($I276="","",IFERROR(INDEX(LIV_Titre,MATCH($I276,LIV_Code,0)),"⚠ Code inconnu"))</f>
        <v/>
      </c>
      <c r="K276" s="138">
        <f>IF($F276="","",$F276+P_Duree)</f>
        <v/>
      </c>
      <c r="L276" s="134" t="n"/>
      <c r="M276" s="130">
        <f>IF(OR($F276="",$I276=""),"",IF($L276&lt;&gt;"",IF($L276&gt;$K276,"Rendu en retard","Rendu"),IF(TODAY()&gt;$K276,"En retard","En cours")))</f>
        <v/>
      </c>
      <c r="N276" s="139">
        <f>IF(OR($F276="",$I276=""),"",MAX(0,IF($L276&lt;&gt;"",$L276,TODAY())-$K276))</f>
        <v/>
      </c>
      <c r="O276" s="135">
        <f>IF(OR($F276="",$I276=""),"",$N276*P_Amende)</f>
        <v/>
      </c>
      <c r="P276" s="133" t="n"/>
      <c r="R276">
        <f>IF($M276="En retard",$N276+ROW()/100000,"")</f>
        <v/>
      </c>
      <c r="S276">
        <f>IF(OR($F276="",$I276=""),"",$F276+ROW()/100000)</f>
        <v/>
      </c>
      <c r="T276">
        <f>IF($I276="","",IFERROR(INDEX(LIV_Cat,MATCH($I276,LIV_Code,0)),""))</f>
        <v/>
      </c>
    </row>
    <row r="277" ht="21" customHeight="1">
      <c r="A277" s="1" t="n"/>
      <c r="B277" s="1" t="n"/>
      <c r="C277" s="2" t="n"/>
      <c r="E277" s="130">
        <f>IF($F277="","","EMP-"&amp;TEXT(ROW()-6,"0000"))</f>
        <v/>
      </c>
      <c r="F277" s="134" t="n"/>
      <c r="G277" s="127" t="n"/>
      <c r="H277" s="130">
        <f>IF($G277="","",IFERROR(INDEX(MEM_Nom,MATCH($G277,MEM_ID,0)),"⚠ ID inconnu"))</f>
        <v/>
      </c>
      <c r="I277" s="127" t="n"/>
      <c r="J277" s="130">
        <f>IF($I277="","",IFERROR(INDEX(LIV_Titre,MATCH($I277,LIV_Code,0)),"⚠ Code inconnu"))</f>
        <v/>
      </c>
      <c r="K277" s="138">
        <f>IF($F277="","",$F277+P_Duree)</f>
        <v/>
      </c>
      <c r="L277" s="134" t="n"/>
      <c r="M277" s="130">
        <f>IF(OR($F277="",$I277=""),"",IF($L277&lt;&gt;"",IF($L277&gt;$K277,"Rendu en retard","Rendu"),IF(TODAY()&gt;$K277,"En retard","En cours")))</f>
        <v/>
      </c>
      <c r="N277" s="139">
        <f>IF(OR($F277="",$I277=""),"",MAX(0,IF($L277&lt;&gt;"",$L277,TODAY())-$K277))</f>
        <v/>
      </c>
      <c r="O277" s="135">
        <f>IF(OR($F277="",$I277=""),"",$N277*P_Amende)</f>
        <v/>
      </c>
      <c r="P277" s="133" t="n"/>
      <c r="R277">
        <f>IF($M277="En retard",$N277+ROW()/100000,"")</f>
        <v/>
      </c>
      <c r="S277">
        <f>IF(OR($F277="",$I277=""),"",$F277+ROW()/100000)</f>
        <v/>
      </c>
      <c r="T277">
        <f>IF($I277="","",IFERROR(INDEX(LIV_Cat,MATCH($I277,LIV_Code,0)),""))</f>
        <v/>
      </c>
    </row>
    <row r="278" ht="21" customHeight="1">
      <c r="A278" s="1" t="n"/>
      <c r="B278" s="1" t="n"/>
      <c r="C278" s="2" t="n"/>
      <c r="E278" s="130">
        <f>IF($F278="","","EMP-"&amp;TEXT(ROW()-6,"0000"))</f>
        <v/>
      </c>
      <c r="F278" s="134" t="n"/>
      <c r="G278" s="127" t="n"/>
      <c r="H278" s="130">
        <f>IF($G278="","",IFERROR(INDEX(MEM_Nom,MATCH($G278,MEM_ID,0)),"⚠ ID inconnu"))</f>
        <v/>
      </c>
      <c r="I278" s="127" t="n"/>
      <c r="J278" s="130">
        <f>IF($I278="","",IFERROR(INDEX(LIV_Titre,MATCH($I278,LIV_Code,0)),"⚠ Code inconnu"))</f>
        <v/>
      </c>
      <c r="K278" s="138">
        <f>IF($F278="","",$F278+P_Duree)</f>
        <v/>
      </c>
      <c r="L278" s="134" t="n"/>
      <c r="M278" s="130">
        <f>IF(OR($F278="",$I278=""),"",IF($L278&lt;&gt;"",IF($L278&gt;$K278,"Rendu en retard","Rendu"),IF(TODAY()&gt;$K278,"En retard","En cours")))</f>
        <v/>
      </c>
      <c r="N278" s="139">
        <f>IF(OR($F278="",$I278=""),"",MAX(0,IF($L278&lt;&gt;"",$L278,TODAY())-$K278))</f>
        <v/>
      </c>
      <c r="O278" s="135">
        <f>IF(OR($F278="",$I278=""),"",$N278*P_Amende)</f>
        <v/>
      </c>
      <c r="P278" s="133" t="n"/>
      <c r="R278">
        <f>IF($M278="En retard",$N278+ROW()/100000,"")</f>
        <v/>
      </c>
      <c r="S278">
        <f>IF(OR($F278="",$I278=""),"",$F278+ROW()/100000)</f>
        <v/>
      </c>
      <c r="T278">
        <f>IF($I278="","",IFERROR(INDEX(LIV_Cat,MATCH($I278,LIV_Code,0)),""))</f>
        <v/>
      </c>
    </row>
    <row r="279" ht="21" customHeight="1">
      <c r="A279" s="1" t="n"/>
      <c r="B279" s="1" t="n"/>
      <c r="C279" s="2" t="n"/>
      <c r="E279" s="130">
        <f>IF($F279="","","EMP-"&amp;TEXT(ROW()-6,"0000"))</f>
        <v/>
      </c>
      <c r="F279" s="134" t="n"/>
      <c r="G279" s="127" t="n"/>
      <c r="H279" s="130">
        <f>IF($G279="","",IFERROR(INDEX(MEM_Nom,MATCH($G279,MEM_ID,0)),"⚠ ID inconnu"))</f>
        <v/>
      </c>
      <c r="I279" s="127" t="n"/>
      <c r="J279" s="130">
        <f>IF($I279="","",IFERROR(INDEX(LIV_Titre,MATCH($I279,LIV_Code,0)),"⚠ Code inconnu"))</f>
        <v/>
      </c>
      <c r="K279" s="138">
        <f>IF($F279="","",$F279+P_Duree)</f>
        <v/>
      </c>
      <c r="L279" s="134" t="n"/>
      <c r="M279" s="130">
        <f>IF(OR($F279="",$I279=""),"",IF($L279&lt;&gt;"",IF($L279&gt;$K279,"Rendu en retard","Rendu"),IF(TODAY()&gt;$K279,"En retard","En cours")))</f>
        <v/>
      </c>
      <c r="N279" s="139">
        <f>IF(OR($F279="",$I279=""),"",MAX(0,IF($L279&lt;&gt;"",$L279,TODAY())-$K279))</f>
        <v/>
      </c>
      <c r="O279" s="135">
        <f>IF(OR($F279="",$I279=""),"",$N279*P_Amende)</f>
        <v/>
      </c>
      <c r="P279" s="133" t="n"/>
      <c r="R279">
        <f>IF($M279="En retard",$N279+ROW()/100000,"")</f>
        <v/>
      </c>
      <c r="S279">
        <f>IF(OR($F279="",$I279=""),"",$F279+ROW()/100000)</f>
        <v/>
      </c>
      <c r="T279">
        <f>IF($I279="","",IFERROR(INDEX(LIV_Cat,MATCH($I279,LIV_Code,0)),""))</f>
        <v/>
      </c>
    </row>
    <row r="280" ht="21" customHeight="1">
      <c r="A280" s="1" t="n"/>
      <c r="B280" s="1" t="n"/>
      <c r="C280" s="2" t="n"/>
      <c r="E280" s="130">
        <f>IF($F280="","","EMP-"&amp;TEXT(ROW()-6,"0000"))</f>
        <v/>
      </c>
      <c r="F280" s="134" t="n"/>
      <c r="G280" s="127" t="n"/>
      <c r="H280" s="130">
        <f>IF($G280="","",IFERROR(INDEX(MEM_Nom,MATCH($G280,MEM_ID,0)),"⚠ ID inconnu"))</f>
        <v/>
      </c>
      <c r="I280" s="127" t="n"/>
      <c r="J280" s="130">
        <f>IF($I280="","",IFERROR(INDEX(LIV_Titre,MATCH($I280,LIV_Code,0)),"⚠ Code inconnu"))</f>
        <v/>
      </c>
      <c r="K280" s="138">
        <f>IF($F280="","",$F280+P_Duree)</f>
        <v/>
      </c>
      <c r="L280" s="134" t="n"/>
      <c r="M280" s="130">
        <f>IF(OR($F280="",$I280=""),"",IF($L280&lt;&gt;"",IF($L280&gt;$K280,"Rendu en retard","Rendu"),IF(TODAY()&gt;$K280,"En retard","En cours")))</f>
        <v/>
      </c>
      <c r="N280" s="139">
        <f>IF(OR($F280="",$I280=""),"",MAX(0,IF($L280&lt;&gt;"",$L280,TODAY())-$K280))</f>
        <v/>
      </c>
      <c r="O280" s="135">
        <f>IF(OR($F280="",$I280=""),"",$N280*P_Amende)</f>
        <v/>
      </c>
      <c r="P280" s="133" t="n"/>
      <c r="R280">
        <f>IF($M280="En retard",$N280+ROW()/100000,"")</f>
        <v/>
      </c>
      <c r="S280">
        <f>IF(OR($F280="",$I280=""),"",$F280+ROW()/100000)</f>
        <v/>
      </c>
      <c r="T280">
        <f>IF($I280="","",IFERROR(INDEX(LIV_Cat,MATCH($I280,LIV_Code,0)),""))</f>
        <v/>
      </c>
    </row>
    <row r="281" ht="21" customHeight="1">
      <c r="A281" s="1" t="n"/>
      <c r="B281" s="1" t="n"/>
      <c r="C281" s="2" t="n"/>
      <c r="E281" s="130">
        <f>IF($F281="","","EMP-"&amp;TEXT(ROW()-6,"0000"))</f>
        <v/>
      </c>
      <c r="F281" s="134" t="n"/>
      <c r="G281" s="127" t="n"/>
      <c r="H281" s="130">
        <f>IF($G281="","",IFERROR(INDEX(MEM_Nom,MATCH($G281,MEM_ID,0)),"⚠ ID inconnu"))</f>
        <v/>
      </c>
      <c r="I281" s="127" t="n"/>
      <c r="J281" s="130">
        <f>IF($I281="","",IFERROR(INDEX(LIV_Titre,MATCH($I281,LIV_Code,0)),"⚠ Code inconnu"))</f>
        <v/>
      </c>
      <c r="K281" s="138">
        <f>IF($F281="","",$F281+P_Duree)</f>
        <v/>
      </c>
      <c r="L281" s="134" t="n"/>
      <c r="M281" s="130">
        <f>IF(OR($F281="",$I281=""),"",IF($L281&lt;&gt;"",IF($L281&gt;$K281,"Rendu en retard","Rendu"),IF(TODAY()&gt;$K281,"En retard","En cours")))</f>
        <v/>
      </c>
      <c r="N281" s="139">
        <f>IF(OR($F281="",$I281=""),"",MAX(0,IF($L281&lt;&gt;"",$L281,TODAY())-$K281))</f>
        <v/>
      </c>
      <c r="O281" s="135">
        <f>IF(OR($F281="",$I281=""),"",$N281*P_Amende)</f>
        <v/>
      </c>
      <c r="P281" s="133" t="n"/>
      <c r="R281">
        <f>IF($M281="En retard",$N281+ROW()/100000,"")</f>
        <v/>
      </c>
      <c r="S281">
        <f>IF(OR($F281="",$I281=""),"",$F281+ROW()/100000)</f>
        <v/>
      </c>
      <c r="T281">
        <f>IF($I281="","",IFERROR(INDEX(LIV_Cat,MATCH($I281,LIV_Code,0)),""))</f>
        <v/>
      </c>
    </row>
    <row r="282" ht="21" customHeight="1">
      <c r="A282" s="1" t="n"/>
      <c r="B282" s="1" t="n"/>
      <c r="C282" s="2" t="n"/>
      <c r="E282" s="130">
        <f>IF($F282="","","EMP-"&amp;TEXT(ROW()-6,"0000"))</f>
        <v/>
      </c>
      <c r="F282" s="134" t="n"/>
      <c r="G282" s="127" t="n"/>
      <c r="H282" s="130">
        <f>IF($G282="","",IFERROR(INDEX(MEM_Nom,MATCH($G282,MEM_ID,0)),"⚠ ID inconnu"))</f>
        <v/>
      </c>
      <c r="I282" s="127" t="n"/>
      <c r="J282" s="130">
        <f>IF($I282="","",IFERROR(INDEX(LIV_Titre,MATCH($I282,LIV_Code,0)),"⚠ Code inconnu"))</f>
        <v/>
      </c>
      <c r="K282" s="138">
        <f>IF($F282="","",$F282+P_Duree)</f>
        <v/>
      </c>
      <c r="L282" s="134" t="n"/>
      <c r="M282" s="130">
        <f>IF(OR($F282="",$I282=""),"",IF($L282&lt;&gt;"",IF($L282&gt;$K282,"Rendu en retard","Rendu"),IF(TODAY()&gt;$K282,"En retard","En cours")))</f>
        <v/>
      </c>
      <c r="N282" s="139">
        <f>IF(OR($F282="",$I282=""),"",MAX(0,IF($L282&lt;&gt;"",$L282,TODAY())-$K282))</f>
        <v/>
      </c>
      <c r="O282" s="135">
        <f>IF(OR($F282="",$I282=""),"",$N282*P_Amende)</f>
        <v/>
      </c>
      <c r="P282" s="133" t="n"/>
      <c r="R282">
        <f>IF($M282="En retard",$N282+ROW()/100000,"")</f>
        <v/>
      </c>
      <c r="S282">
        <f>IF(OR($F282="",$I282=""),"",$F282+ROW()/100000)</f>
        <v/>
      </c>
      <c r="T282">
        <f>IF($I282="","",IFERROR(INDEX(LIV_Cat,MATCH($I282,LIV_Code,0)),""))</f>
        <v/>
      </c>
    </row>
    <row r="283" ht="21" customHeight="1">
      <c r="A283" s="1" t="n"/>
      <c r="B283" s="1" t="n"/>
      <c r="C283" s="2" t="n"/>
      <c r="E283" s="130">
        <f>IF($F283="","","EMP-"&amp;TEXT(ROW()-6,"0000"))</f>
        <v/>
      </c>
      <c r="F283" s="134" t="n"/>
      <c r="G283" s="127" t="n"/>
      <c r="H283" s="130">
        <f>IF($G283="","",IFERROR(INDEX(MEM_Nom,MATCH($G283,MEM_ID,0)),"⚠ ID inconnu"))</f>
        <v/>
      </c>
      <c r="I283" s="127" t="n"/>
      <c r="J283" s="130">
        <f>IF($I283="","",IFERROR(INDEX(LIV_Titre,MATCH($I283,LIV_Code,0)),"⚠ Code inconnu"))</f>
        <v/>
      </c>
      <c r="K283" s="138">
        <f>IF($F283="","",$F283+P_Duree)</f>
        <v/>
      </c>
      <c r="L283" s="134" t="n"/>
      <c r="M283" s="130">
        <f>IF(OR($F283="",$I283=""),"",IF($L283&lt;&gt;"",IF($L283&gt;$K283,"Rendu en retard","Rendu"),IF(TODAY()&gt;$K283,"En retard","En cours")))</f>
        <v/>
      </c>
      <c r="N283" s="139">
        <f>IF(OR($F283="",$I283=""),"",MAX(0,IF($L283&lt;&gt;"",$L283,TODAY())-$K283))</f>
        <v/>
      </c>
      <c r="O283" s="135">
        <f>IF(OR($F283="",$I283=""),"",$N283*P_Amende)</f>
        <v/>
      </c>
      <c r="P283" s="133" t="n"/>
      <c r="R283">
        <f>IF($M283="En retard",$N283+ROW()/100000,"")</f>
        <v/>
      </c>
      <c r="S283">
        <f>IF(OR($F283="",$I283=""),"",$F283+ROW()/100000)</f>
        <v/>
      </c>
      <c r="T283">
        <f>IF($I283="","",IFERROR(INDEX(LIV_Cat,MATCH($I283,LIV_Code,0)),""))</f>
        <v/>
      </c>
    </row>
    <row r="284" ht="21" customHeight="1">
      <c r="A284" s="1" t="n"/>
      <c r="B284" s="1" t="n"/>
      <c r="C284" s="2" t="n"/>
      <c r="E284" s="130">
        <f>IF($F284="","","EMP-"&amp;TEXT(ROW()-6,"0000"))</f>
        <v/>
      </c>
      <c r="F284" s="134" t="n"/>
      <c r="G284" s="127" t="n"/>
      <c r="H284" s="130">
        <f>IF($G284="","",IFERROR(INDEX(MEM_Nom,MATCH($G284,MEM_ID,0)),"⚠ ID inconnu"))</f>
        <v/>
      </c>
      <c r="I284" s="127" t="n"/>
      <c r="J284" s="130">
        <f>IF($I284="","",IFERROR(INDEX(LIV_Titre,MATCH($I284,LIV_Code,0)),"⚠ Code inconnu"))</f>
        <v/>
      </c>
      <c r="K284" s="138">
        <f>IF($F284="","",$F284+P_Duree)</f>
        <v/>
      </c>
      <c r="L284" s="134" t="n"/>
      <c r="M284" s="130">
        <f>IF(OR($F284="",$I284=""),"",IF($L284&lt;&gt;"",IF($L284&gt;$K284,"Rendu en retard","Rendu"),IF(TODAY()&gt;$K284,"En retard","En cours")))</f>
        <v/>
      </c>
      <c r="N284" s="139">
        <f>IF(OR($F284="",$I284=""),"",MAX(0,IF($L284&lt;&gt;"",$L284,TODAY())-$K284))</f>
        <v/>
      </c>
      <c r="O284" s="135">
        <f>IF(OR($F284="",$I284=""),"",$N284*P_Amende)</f>
        <v/>
      </c>
      <c r="P284" s="133" t="n"/>
      <c r="R284">
        <f>IF($M284="En retard",$N284+ROW()/100000,"")</f>
        <v/>
      </c>
      <c r="S284">
        <f>IF(OR($F284="",$I284=""),"",$F284+ROW()/100000)</f>
        <v/>
      </c>
      <c r="T284">
        <f>IF($I284="","",IFERROR(INDEX(LIV_Cat,MATCH($I284,LIV_Code,0)),""))</f>
        <v/>
      </c>
    </row>
    <row r="285" ht="21" customHeight="1">
      <c r="A285" s="1" t="n"/>
      <c r="B285" s="1" t="n"/>
      <c r="C285" s="2" t="n"/>
      <c r="E285" s="130">
        <f>IF($F285="","","EMP-"&amp;TEXT(ROW()-6,"0000"))</f>
        <v/>
      </c>
      <c r="F285" s="134" t="n"/>
      <c r="G285" s="127" t="n"/>
      <c r="H285" s="130">
        <f>IF($G285="","",IFERROR(INDEX(MEM_Nom,MATCH($G285,MEM_ID,0)),"⚠ ID inconnu"))</f>
        <v/>
      </c>
      <c r="I285" s="127" t="n"/>
      <c r="J285" s="130">
        <f>IF($I285="","",IFERROR(INDEX(LIV_Titre,MATCH($I285,LIV_Code,0)),"⚠ Code inconnu"))</f>
        <v/>
      </c>
      <c r="K285" s="138">
        <f>IF($F285="","",$F285+P_Duree)</f>
        <v/>
      </c>
      <c r="L285" s="134" t="n"/>
      <c r="M285" s="130">
        <f>IF(OR($F285="",$I285=""),"",IF($L285&lt;&gt;"",IF($L285&gt;$K285,"Rendu en retard","Rendu"),IF(TODAY()&gt;$K285,"En retard","En cours")))</f>
        <v/>
      </c>
      <c r="N285" s="139">
        <f>IF(OR($F285="",$I285=""),"",MAX(0,IF($L285&lt;&gt;"",$L285,TODAY())-$K285))</f>
        <v/>
      </c>
      <c r="O285" s="135">
        <f>IF(OR($F285="",$I285=""),"",$N285*P_Amende)</f>
        <v/>
      </c>
      <c r="P285" s="133" t="n"/>
      <c r="R285">
        <f>IF($M285="En retard",$N285+ROW()/100000,"")</f>
        <v/>
      </c>
      <c r="S285">
        <f>IF(OR($F285="",$I285=""),"",$F285+ROW()/100000)</f>
        <v/>
      </c>
      <c r="T285">
        <f>IF($I285="","",IFERROR(INDEX(LIV_Cat,MATCH($I285,LIV_Code,0)),""))</f>
        <v/>
      </c>
    </row>
    <row r="286" ht="21" customHeight="1">
      <c r="A286" s="1" t="n"/>
      <c r="B286" s="1" t="n"/>
      <c r="C286" s="2" t="n"/>
      <c r="E286" s="130">
        <f>IF($F286="","","EMP-"&amp;TEXT(ROW()-6,"0000"))</f>
        <v/>
      </c>
      <c r="F286" s="134" t="n"/>
      <c r="G286" s="127" t="n"/>
      <c r="H286" s="130">
        <f>IF($G286="","",IFERROR(INDEX(MEM_Nom,MATCH($G286,MEM_ID,0)),"⚠ ID inconnu"))</f>
        <v/>
      </c>
      <c r="I286" s="127" t="n"/>
      <c r="J286" s="130">
        <f>IF($I286="","",IFERROR(INDEX(LIV_Titre,MATCH($I286,LIV_Code,0)),"⚠ Code inconnu"))</f>
        <v/>
      </c>
      <c r="K286" s="138">
        <f>IF($F286="","",$F286+P_Duree)</f>
        <v/>
      </c>
      <c r="L286" s="134" t="n"/>
      <c r="M286" s="130">
        <f>IF(OR($F286="",$I286=""),"",IF($L286&lt;&gt;"",IF($L286&gt;$K286,"Rendu en retard","Rendu"),IF(TODAY()&gt;$K286,"En retard","En cours")))</f>
        <v/>
      </c>
      <c r="N286" s="139">
        <f>IF(OR($F286="",$I286=""),"",MAX(0,IF($L286&lt;&gt;"",$L286,TODAY())-$K286))</f>
        <v/>
      </c>
      <c r="O286" s="135">
        <f>IF(OR($F286="",$I286=""),"",$N286*P_Amende)</f>
        <v/>
      </c>
      <c r="P286" s="133" t="n"/>
      <c r="R286">
        <f>IF($M286="En retard",$N286+ROW()/100000,"")</f>
        <v/>
      </c>
      <c r="S286">
        <f>IF(OR($F286="",$I286=""),"",$F286+ROW()/100000)</f>
        <v/>
      </c>
      <c r="T286">
        <f>IF($I286="","",IFERROR(INDEX(LIV_Cat,MATCH($I286,LIV_Code,0)),""))</f>
        <v/>
      </c>
    </row>
    <row r="287" ht="21" customHeight="1">
      <c r="A287" s="1" t="n"/>
      <c r="B287" s="1" t="n"/>
      <c r="C287" s="2" t="n"/>
      <c r="E287" s="130">
        <f>IF($F287="","","EMP-"&amp;TEXT(ROW()-6,"0000"))</f>
        <v/>
      </c>
      <c r="F287" s="134" t="n"/>
      <c r="G287" s="127" t="n"/>
      <c r="H287" s="130">
        <f>IF($G287="","",IFERROR(INDEX(MEM_Nom,MATCH($G287,MEM_ID,0)),"⚠ ID inconnu"))</f>
        <v/>
      </c>
      <c r="I287" s="127" t="n"/>
      <c r="J287" s="130">
        <f>IF($I287="","",IFERROR(INDEX(LIV_Titre,MATCH($I287,LIV_Code,0)),"⚠ Code inconnu"))</f>
        <v/>
      </c>
      <c r="K287" s="138">
        <f>IF($F287="","",$F287+P_Duree)</f>
        <v/>
      </c>
      <c r="L287" s="134" t="n"/>
      <c r="M287" s="130">
        <f>IF(OR($F287="",$I287=""),"",IF($L287&lt;&gt;"",IF($L287&gt;$K287,"Rendu en retard","Rendu"),IF(TODAY()&gt;$K287,"En retard","En cours")))</f>
        <v/>
      </c>
      <c r="N287" s="139">
        <f>IF(OR($F287="",$I287=""),"",MAX(0,IF($L287&lt;&gt;"",$L287,TODAY())-$K287))</f>
        <v/>
      </c>
      <c r="O287" s="135">
        <f>IF(OR($F287="",$I287=""),"",$N287*P_Amende)</f>
        <v/>
      </c>
      <c r="P287" s="133" t="n"/>
      <c r="R287">
        <f>IF($M287="En retard",$N287+ROW()/100000,"")</f>
        <v/>
      </c>
      <c r="S287">
        <f>IF(OR($F287="",$I287=""),"",$F287+ROW()/100000)</f>
        <v/>
      </c>
      <c r="T287">
        <f>IF($I287="","",IFERROR(INDEX(LIV_Cat,MATCH($I287,LIV_Code,0)),""))</f>
        <v/>
      </c>
    </row>
    <row r="288" ht="21" customHeight="1">
      <c r="A288" s="1" t="n"/>
      <c r="B288" s="1" t="n"/>
      <c r="C288" s="2" t="n"/>
      <c r="E288" s="130">
        <f>IF($F288="","","EMP-"&amp;TEXT(ROW()-6,"0000"))</f>
        <v/>
      </c>
      <c r="F288" s="134" t="n"/>
      <c r="G288" s="127" t="n"/>
      <c r="H288" s="130">
        <f>IF($G288="","",IFERROR(INDEX(MEM_Nom,MATCH($G288,MEM_ID,0)),"⚠ ID inconnu"))</f>
        <v/>
      </c>
      <c r="I288" s="127" t="n"/>
      <c r="J288" s="130">
        <f>IF($I288="","",IFERROR(INDEX(LIV_Titre,MATCH($I288,LIV_Code,0)),"⚠ Code inconnu"))</f>
        <v/>
      </c>
      <c r="K288" s="138">
        <f>IF($F288="","",$F288+P_Duree)</f>
        <v/>
      </c>
      <c r="L288" s="134" t="n"/>
      <c r="M288" s="130">
        <f>IF(OR($F288="",$I288=""),"",IF($L288&lt;&gt;"",IF($L288&gt;$K288,"Rendu en retard","Rendu"),IF(TODAY()&gt;$K288,"En retard","En cours")))</f>
        <v/>
      </c>
      <c r="N288" s="139">
        <f>IF(OR($F288="",$I288=""),"",MAX(0,IF($L288&lt;&gt;"",$L288,TODAY())-$K288))</f>
        <v/>
      </c>
      <c r="O288" s="135">
        <f>IF(OR($F288="",$I288=""),"",$N288*P_Amende)</f>
        <v/>
      </c>
      <c r="P288" s="133" t="n"/>
      <c r="R288">
        <f>IF($M288="En retard",$N288+ROW()/100000,"")</f>
        <v/>
      </c>
      <c r="S288">
        <f>IF(OR($F288="",$I288=""),"",$F288+ROW()/100000)</f>
        <v/>
      </c>
      <c r="T288">
        <f>IF($I288="","",IFERROR(INDEX(LIV_Cat,MATCH($I288,LIV_Code,0)),""))</f>
        <v/>
      </c>
    </row>
    <row r="289" ht="21" customHeight="1">
      <c r="A289" s="1" t="n"/>
      <c r="B289" s="1" t="n"/>
      <c r="C289" s="2" t="n"/>
      <c r="E289" s="130">
        <f>IF($F289="","","EMP-"&amp;TEXT(ROW()-6,"0000"))</f>
        <v/>
      </c>
      <c r="F289" s="134" t="n"/>
      <c r="G289" s="127" t="n"/>
      <c r="H289" s="130">
        <f>IF($G289="","",IFERROR(INDEX(MEM_Nom,MATCH($G289,MEM_ID,0)),"⚠ ID inconnu"))</f>
        <v/>
      </c>
      <c r="I289" s="127" t="n"/>
      <c r="J289" s="130">
        <f>IF($I289="","",IFERROR(INDEX(LIV_Titre,MATCH($I289,LIV_Code,0)),"⚠ Code inconnu"))</f>
        <v/>
      </c>
      <c r="K289" s="138">
        <f>IF($F289="","",$F289+P_Duree)</f>
        <v/>
      </c>
      <c r="L289" s="134" t="n"/>
      <c r="M289" s="130">
        <f>IF(OR($F289="",$I289=""),"",IF($L289&lt;&gt;"",IF($L289&gt;$K289,"Rendu en retard","Rendu"),IF(TODAY()&gt;$K289,"En retard","En cours")))</f>
        <v/>
      </c>
      <c r="N289" s="139">
        <f>IF(OR($F289="",$I289=""),"",MAX(0,IF($L289&lt;&gt;"",$L289,TODAY())-$K289))</f>
        <v/>
      </c>
      <c r="O289" s="135">
        <f>IF(OR($F289="",$I289=""),"",$N289*P_Amende)</f>
        <v/>
      </c>
      <c r="P289" s="133" t="n"/>
      <c r="R289">
        <f>IF($M289="En retard",$N289+ROW()/100000,"")</f>
        <v/>
      </c>
      <c r="S289">
        <f>IF(OR($F289="",$I289=""),"",$F289+ROW()/100000)</f>
        <v/>
      </c>
      <c r="T289">
        <f>IF($I289="","",IFERROR(INDEX(LIV_Cat,MATCH($I289,LIV_Code,0)),""))</f>
        <v/>
      </c>
    </row>
    <row r="290" ht="21" customHeight="1">
      <c r="A290" s="1" t="n"/>
      <c r="B290" s="1" t="n"/>
      <c r="C290" s="2" t="n"/>
      <c r="E290" s="130">
        <f>IF($F290="","","EMP-"&amp;TEXT(ROW()-6,"0000"))</f>
        <v/>
      </c>
      <c r="F290" s="134" t="n"/>
      <c r="G290" s="127" t="n"/>
      <c r="H290" s="130">
        <f>IF($G290="","",IFERROR(INDEX(MEM_Nom,MATCH($G290,MEM_ID,0)),"⚠ ID inconnu"))</f>
        <v/>
      </c>
      <c r="I290" s="127" t="n"/>
      <c r="J290" s="130">
        <f>IF($I290="","",IFERROR(INDEX(LIV_Titre,MATCH($I290,LIV_Code,0)),"⚠ Code inconnu"))</f>
        <v/>
      </c>
      <c r="K290" s="138">
        <f>IF($F290="","",$F290+P_Duree)</f>
        <v/>
      </c>
      <c r="L290" s="134" t="n"/>
      <c r="M290" s="130">
        <f>IF(OR($F290="",$I290=""),"",IF($L290&lt;&gt;"",IF($L290&gt;$K290,"Rendu en retard","Rendu"),IF(TODAY()&gt;$K290,"En retard","En cours")))</f>
        <v/>
      </c>
      <c r="N290" s="139">
        <f>IF(OR($F290="",$I290=""),"",MAX(0,IF($L290&lt;&gt;"",$L290,TODAY())-$K290))</f>
        <v/>
      </c>
      <c r="O290" s="135">
        <f>IF(OR($F290="",$I290=""),"",$N290*P_Amende)</f>
        <v/>
      </c>
      <c r="P290" s="133" t="n"/>
      <c r="R290">
        <f>IF($M290="En retard",$N290+ROW()/100000,"")</f>
        <v/>
      </c>
      <c r="S290">
        <f>IF(OR($F290="",$I290=""),"",$F290+ROW()/100000)</f>
        <v/>
      </c>
      <c r="T290">
        <f>IF($I290="","",IFERROR(INDEX(LIV_Cat,MATCH($I290,LIV_Code,0)),""))</f>
        <v/>
      </c>
    </row>
    <row r="291" ht="21" customHeight="1">
      <c r="A291" s="1" t="n"/>
      <c r="B291" s="1" t="n"/>
      <c r="C291" s="2" t="n"/>
      <c r="E291" s="130">
        <f>IF($F291="","","EMP-"&amp;TEXT(ROW()-6,"0000"))</f>
        <v/>
      </c>
      <c r="F291" s="134" t="n"/>
      <c r="G291" s="127" t="n"/>
      <c r="H291" s="130">
        <f>IF($G291="","",IFERROR(INDEX(MEM_Nom,MATCH($G291,MEM_ID,0)),"⚠ ID inconnu"))</f>
        <v/>
      </c>
      <c r="I291" s="127" t="n"/>
      <c r="J291" s="130">
        <f>IF($I291="","",IFERROR(INDEX(LIV_Titre,MATCH($I291,LIV_Code,0)),"⚠ Code inconnu"))</f>
        <v/>
      </c>
      <c r="K291" s="138">
        <f>IF($F291="","",$F291+P_Duree)</f>
        <v/>
      </c>
      <c r="L291" s="134" t="n"/>
      <c r="M291" s="130">
        <f>IF(OR($F291="",$I291=""),"",IF($L291&lt;&gt;"",IF($L291&gt;$K291,"Rendu en retard","Rendu"),IF(TODAY()&gt;$K291,"En retard","En cours")))</f>
        <v/>
      </c>
      <c r="N291" s="139">
        <f>IF(OR($F291="",$I291=""),"",MAX(0,IF($L291&lt;&gt;"",$L291,TODAY())-$K291))</f>
        <v/>
      </c>
      <c r="O291" s="135">
        <f>IF(OR($F291="",$I291=""),"",$N291*P_Amende)</f>
        <v/>
      </c>
      <c r="P291" s="133" t="n"/>
      <c r="R291">
        <f>IF($M291="En retard",$N291+ROW()/100000,"")</f>
        <v/>
      </c>
      <c r="S291">
        <f>IF(OR($F291="",$I291=""),"",$F291+ROW()/100000)</f>
        <v/>
      </c>
      <c r="T291">
        <f>IF($I291="","",IFERROR(INDEX(LIV_Cat,MATCH($I291,LIV_Code,0)),""))</f>
        <v/>
      </c>
    </row>
    <row r="292" ht="21" customHeight="1">
      <c r="A292" s="1" t="n"/>
      <c r="B292" s="1" t="n"/>
      <c r="C292" s="2" t="n"/>
      <c r="E292" s="130">
        <f>IF($F292="","","EMP-"&amp;TEXT(ROW()-6,"0000"))</f>
        <v/>
      </c>
      <c r="F292" s="134" t="n"/>
      <c r="G292" s="127" t="n"/>
      <c r="H292" s="130">
        <f>IF($G292="","",IFERROR(INDEX(MEM_Nom,MATCH($G292,MEM_ID,0)),"⚠ ID inconnu"))</f>
        <v/>
      </c>
      <c r="I292" s="127" t="n"/>
      <c r="J292" s="130">
        <f>IF($I292="","",IFERROR(INDEX(LIV_Titre,MATCH($I292,LIV_Code,0)),"⚠ Code inconnu"))</f>
        <v/>
      </c>
      <c r="K292" s="138">
        <f>IF($F292="","",$F292+P_Duree)</f>
        <v/>
      </c>
      <c r="L292" s="134" t="n"/>
      <c r="M292" s="130">
        <f>IF(OR($F292="",$I292=""),"",IF($L292&lt;&gt;"",IF($L292&gt;$K292,"Rendu en retard","Rendu"),IF(TODAY()&gt;$K292,"En retard","En cours")))</f>
        <v/>
      </c>
      <c r="N292" s="139">
        <f>IF(OR($F292="",$I292=""),"",MAX(0,IF($L292&lt;&gt;"",$L292,TODAY())-$K292))</f>
        <v/>
      </c>
      <c r="O292" s="135">
        <f>IF(OR($F292="",$I292=""),"",$N292*P_Amende)</f>
        <v/>
      </c>
      <c r="P292" s="133" t="n"/>
      <c r="R292">
        <f>IF($M292="En retard",$N292+ROW()/100000,"")</f>
        <v/>
      </c>
      <c r="S292">
        <f>IF(OR($F292="",$I292=""),"",$F292+ROW()/100000)</f>
        <v/>
      </c>
      <c r="T292">
        <f>IF($I292="","",IFERROR(INDEX(LIV_Cat,MATCH($I292,LIV_Code,0)),""))</f>
        <v/>
      </c>
    </row>
    <row r="293" ht="21" customHeight="1">
      <c r="A293" s="1" t="n"/>
      <c r="B293" s="1" t="n"/>
      <c r="C293" s="2" t="n"/>
      <c r="E293" s="130">
        <f>IF($F293="","","EMP-"&amp;TEXT(ROW()-6,"0000"))</f>
        <v/>
      </c>
      <c r="F293" s="134" t="n"/>
      <c r="G293" s="127" t="n"/>
      <c r="H293" s="130">
        <f>IF($G293="","",IFERROR(INDEX(MEM_Nom,MATCH($G293,MEM_ID,0)),"⚠ ID inconnu"))</f>
        <v/>
      </c>
      <c r="I293" s="127" t="n"/>
      <c r="J293" s="130">
        <f>IF($I293="","",IFERROR(INDEX(LIV_Titre,MATCH($I293,LIV_Code,0)),"⚠ Code inconnu"))</f>
        <v/>
      </c>
      <c r="K293" s="138">
        <f>IF($F293="","",$F293+P_Duree)</f>
        <v/>
      </c>
      <c r="L293" s="134" t="n"/>
      <c r="M293" s="130">
        <f>IF(OR($F293="",$I293=""),"",IF($L293&lt;&gt;"",IF($L293&gt;$K293,"Rendu en retard","Rendu"),IF(TODAY()&gt;$K293,"En retard","En cours")))</f>
        <v/>
      </c>
      <c r="N293" s="139">
        <f>IF(OR($F293="",$I293=""),"",MAX(0,IF($L293&lt;&gt;"",$L293,TODAY())-$K293))</f>
        <v/>
      </c>
      <c r="O293" s="135">
        <f>IF(OR($F293="",$I293=""),"",$N293*P_Amende)</f>
        <v/>
      </c>
      <c r="P293" s="133" t="n"/>
      <c r="R293">
        <f>IF($M293="En retard",$N293+ROW()/100000,"")</f>
        <v/>
      </c>
      <c r="S293">
        <f>IF(OR($F293="",$I293=""),"",$F293+ROW()/100000)</f>
        <v/>
      </c>
      <c r="T293">
        <f>IF($I293="","",IFERROR(INDEX(LIV_Cat,MATCH($I293,LIV_Code,0)),""))</f>
        <v/>
      </c>
    </row>
    <row r="294" ht="21" customHeight="1">
      <c r="A294" s="1" t="n"/>
      <c r="B294" s="1" t="n"/>
      <c r="C294" s="2" t="n"/>
      <c r="E294" s="130">
        <f>IF($F294="","","EMP-"&amp;TEXT(ROW()-6,"0000"))</f>
        <v/>
      </c>
      <c r="F294" s="134" t="n"/>
      <c r="G294" s="127" t="n"/>
      <c r="H294" s="130">
        <f>IF($G294="","",IFERROR(INDEX(MEM_Nom,MATCH($G294,MEM_ID,0)),"⚠ ID inconnu"))</f>
        <v/>
      </c>
      <c r="I294" s="127" t="n"/>
      <c r="J294" s="130">
        <f>IF($I294="","",IFERROR(INDEX(LIV_Titre,MATCH($I294,LIV_Code,0)),"⚠ Code inconnu"))</f>
        <v/>
      </c>
      <c r="K294" s="138">
        <f>IF($F294="","",$F294+P_Duree)</f>
        <v/>
      </c>
      <c r="L294" s="134" t="n"/>
      <c r="M294" s="130">
        <f>IF(OR($F294="",$I294=""),"",IF($L294&lt;&gt;"",IF($L294&gt;$K294,"Rendu en retard","Rendu"),IF(TODAY()&gt;$K294,"En retard","En cours")))</f>
        <v/>
      </c>
      <c r="N294" s="139">
        <f>IF(OR($F294="",$I294=""),"",MAX(0,IF($L294&lt;&gt;"",$L294,TODAY())-$K294))</f>
        <v/>
      </c>
      <c r="O294" s="135">
        <f>IF(OR($F294="",$I294=""),"",$N294*P_Amende)</f>
        <v/>
      </c>
      <c r="P294" s="133" t="n"/>
      <c r="R294">
        <f>IF($M294="En retard",$N294+ROW()/100000,"")</f>
        <v/>
      </c>
      <c r="S294">
        <f>IF(OR($F294="",$I294=""),"",$F294+ROW()/100000)</f>
        <v/>
      </c>
      <c r="T294">
        <f>IF($I294="","",IFERROR(INDEX(LIV_Cat,MATCH($I294,LIV_Code,0)),""))</f>
        <v/>
      </c>
    </row>
    <row r="295" ht="21" customHeight="1">
      <c r="A295" s="1" t="n"/>
      <c r="B295" s="1" t="n"/>
      <c r="C295" s="2" t="n"/>
      <c r="E295" s="130">
        <f>IF($F295="","","EMP-"&amp;TEXT(ROW()-6,"0000"))</f>
        <v/>
      </c>
      <c r="F295" s="134" t="n"/>
      <c r="G295" s="127" t="n"/>
      <c r="H295" s="130">
        <f>IF($G295="","",IFERROR(INDEX(MEM_Nom,MATCH($G295,MEM_ID,0)),"⚠ ID inconnu"))</f>
        <v/>
      </c>
      <c r="I295" s="127" t="n"/>
      <c r="J295" s="130">
        <f>IF($I295="","",IFERROR(INDEX(LIV_Titre,MATCH($I295,LIV_Code,0)),"⚠ Code inconnu"))</f>
        <v/>
      </c>
      <c r="K295" s="138">
        <f>IF($F295="","",$F295+P_Duree)</f>
        <v/>
      </c>
      <c r="L295" s="134" t="n"/>
      <c r="M295" s="130">
        <f>IF(OR($F295="",$I295=""),"",IF($L295&lt;&gt;"",IF($L295&gt;$K295,"Rendu en retard","Rendu"),IF(TODAY()&gt;$K295,"En retard","En cours")))</f>
        <v/>
      </c>
      <c r="N295" s="139">
        <f>IF(OR($F295="",$I295=""),"",MAX(0,IF($L295&lt;&gt;"",$L295,TODAY())-$K295))</f>
        <v/>
      </c>
      <c r="O295" s="135">
        <f>IF(OR($F295="",$I295=""),"",$N295*P_Amende)</f>
        <v/>
      </c>
      <c r="P295" s="133" t="n"/>
      <c r="R295">
        <f>IF($M295="En retard",$N295+ROW()/100000,"")</f>
        <v/>
      </c>
      <c r="S295">
        <f>IF(OR($F295="",$I295=""),"",$F295+ROW()/100000)</f>
        <v/>
      </c>
      <c r="T295">
        <f>IF($I295="","",IFERROR(INDEX(LIV_Cat,MATCH($I295,LIV_Code,0)),""))</f>
        <v/>
      </c>
    </row>
    <row r="296" ht="21" customHeight="1">
      <c r="A296" s="1" t="n"/>
      <c r="B296" s="1" t="n"/>
      <c r="C296" s="2" t="n"/>
      <c r="E296" s="130">
        <f>IF($F296="","","EMP-"&amp;TEXT(ROW()-6,"0000"))</f>
        <v/>
      </c>
      <c r="F296" s="134" t="n"/>
      <c r="G296" s="127" t="n"/>
      <c r="H296" s="130">
        <f>IF($G296="","",IFERROR(INDEX(MEM_Nom,MATCH($G296,MEM_ID,0)),"⚠ ID inconnu"))</f>
        <v/>
      </c>
      <c r="I296" s="127" t="n"/>
      <c r="J296" s="130">
        <f>IF($I296="","",IFERROR(INDEX(LIV_Titre,MATCH($I296,LIV_Code,0)),"⚠ Code inconnu"))</f>
        <v/>
      </c>
      <c r="K296" s="138">
        <f>IF($F296="","",$F296+P_Duree)</f>
        <v/>
      </c>
      <c r="L296" s="134" t="n"/>
      <c r="M296" s="130">
        <f>IF(OR($F296="",$I296=""),"",IF($L296&lt;&gt;"",IF($L296&gt;$K296,"Rendu en retard","Rendu"),IF(TODAY()&gt;$K296,"En retard","En cours")))</f>
        <v/>
      </c>
      <c r="N296" s="139">
        <f>IF(OR($F296="",$I296=""),"",MAX(0,IF($L296&lt;&gt;"",$L296,TODAY())-$K296))</f>
        <v/>
      </c>
      <c r="O296" s="135">
        <f>IF(OR($F296="",$I296=""),"",$N296*P_Amende)</f>
        <v/>
      </c>
      <c r="P296" s="133" t="n"/>
      <c r="R296">
        <f>IF($M296="En retard",$N296+ROW()/100000,"")</f>
        <v/>
      </c>
      <c r="S296">
        <f>IF(OR($F296="",$I296=""),"",$F296+ROW()/100000)</f>
        <v/>
      </c>
      <c r="T296">
        <f>IF($I296="","",IFERROR(INDEX(LIV_Cat,MATCH($I296,LIV_Code,0)),""))</f>
        <v/>
      </c>
    </row>
    <row r="297" ht="21" customHeight="1">
      <c r="A297" s="1" t="n"/>
      <c r="B297" s="1" t="n"/>
      <c r="C297" s="2" t="n"/>
      <c r="E297" s="130">
        <f>IF($F297="","","EMP-"&amp;TEXT(ROW()-6,"0000"))</f>
        <v/>
      </c>
      <c r="F297" s="134" t="n"/>
      <c r="G297" s="127" t="n"/>
      <c r="H297" s="130">
        <f>IF($G297="","",IFERROR(INDEX(MEM_Nom,MATCH($G297,MEM_ID,0)),"⚠ ID inconnu"))</f>
        <v/>
      </c>
      <c r="I297" s="127" t="n"/>
      <c r="J297" s="130">
        <f>IF($I297="","",IFERROR(INDEX(LIV_Titre,MATCH($I297,LIV_Code,0)),"⚠ Code inconnu"))</f>
        <v/>
      </c>
      <c r="K297" s="138">
        <f>IF($F297="","",$F297+P_Duree)</f>
        <v/>
      </c>
      <c r="L297" s="134" t="n"/>
      <c r="M297" s="130">
        <f>IF(OR($F297="",$I297=""),"",IF($L297&lt;&gt;"",IF($L297&gt;$K297,"Rendu en retard","Rendu"),IF(TODAY()&gt;$K297,"En retard","En cours")))</f>
        <v/>
      </c>
      <c r="N297" s="139">
        <f>IF(OR($F297="",$I297=""),"",MAX(0,IF($L297&lt;&gt;"",$L297,TODAY())-$K297))</f>
        <v/>
      </c>
      <c r="O297" s="135">
        <f>IF(OR($F297="",$I297=""),"",$N297*P_Amende)</f>
        <v/>
      </c>
      <c r="P297" s="133" t="n"/>
      <c r="R297">
        <f>IF($M297="En retard",$N297+ROW()/100000,"")</f>
        <v/>
      </c>
      <c r="S297">
        <f>IF(OR($F297="",$I297=""),"",$F297+ROW()/100000)</f>
        <v/>
      </c>
      <c r="T297">
        <f>IF($I297="","",IFERROR(INDEX(LIV_Cat,MATCH($I297,LIV_Code,0)),""))</f>
        <v/>
      </c>
    </row>
    <row r="298" ht="21" customHeight="1">
      <c r="A298" s="1" t="n"/>
      <c r="B298" s="1" t="n"/>
      <c r="C298" s="2" t="n"/>
      <c r="E298" s="130">
        <f>IF($F298="","","EMP-"&amp;TEXT(ROW()-6,"0000"))</f>
        <v/>
      </c>
      <c r="F298" s="134" t="n"/>
      <c r="G298" s="127" t="n"/>
      <c r="H298" s="130">
        <f>IF($G298="","",IFERROR(INDEX(MEM_Nom,MATCH($G298,MEM_ID,0)),"⚠ ID inconnu"))</f>
        <v/>
      </c>
      <c r="I298" s="127" t="n"/>
      <c r="J298" s="130">
        <f>IF($I298="","",IFERROR(INDEX(LIV_Titre,MATCH($I298,LIV_Code,0)),"⚠ Code inconnu"))</f>
        <v/>
      </c>
      <c r="K298" s="138">
        <f>IF($F298="","",$F298+P_Duree)</f>
        <v/>
      </c>
      <c r="L298" s="134" t="n"/>
      <c r="M298" s="130">
        <f>IF(OR($F298="",$I298=""),"",IF($L298&lt;&gt;"",IF($L298&gt;$K298,"Rendu en retard","Rendu"),IF(TODAY()&gt;$K298,"En retard","En cours")))</f>
        <v/>
      </c>
      <c r="N298" s="139">
        <f>IF(OR($F298="",$I298=""),"",MAX(0,IF($L298&lt;&gt;"",$L298,TODAY())-$K298))</f>
        <v/>
      </c>
      <c r="O298" s="135">
        <f>IF(OR($F298="",$I298=""),"",$N298*P_Amende)</f>
        <v/>
      </c>
      <c r="P298" s="133" t="n"/>
      <c r="R298">
        <f>IF($M298="En retard",$N298+ROW()/100000,"")</f>
        <v/>
      </c>
      <c r="S298">
        <f>IF(OR($F298="",$I298=""),"",$F298+ROW()/100000)</f>
        <v/>
      </c>
      <c r="T298">
        <f>IF($I298="","",IFERROR(INDEX(LIV_Cat,MATCH($I298,LIV_Code,0)),""))</f>
        <v/>
      </c>
    </row>
    <row r="299" ht="21" customHeight="1">
      <c r="A299" s="1" t="n"/>
      <c r="B299" s="1" t="n"/>
      <c r="C299" s="2" t="n"/>
      <c r="E299" s="130">
        <f>IF($F299="","","EMP-"&amp;TEXT(ROW()-6,"0000"))</f>
        <v/>
      </c>
      <c r="F299" s="134" t="n"/>
      <c r="G299" s="127" t="n"/>
      <c r="H299" s="130">
        <f>IF($G299="","",IFERROR(INDEX(MEM_Nom,MATCH($G299,MEM_ID,0)),"⚠ ID inconnu"))</f>
        <v/>
      </c>
      <c r="I299" s="127" t="n"/>
      <c r="J299" s="130">
        <f>IF($I299="","",IFERROR(INDEX(LIV_Titre,MATCH($I299,LIV_Code,0)),"⚠ Code inconnu"))</f>
        <v/>
      </c>
      <c r="K299" s="138">
        <f>IF($F299="","",$F299+P_Duree)</f>
        <v/>
      </c>
      <c r="L299" s="134" t="n"/>
      <c r="M299" s="130">
        <f>IF(OR($F299="",$I299=""),"",IF($L299&lt;&gt;"",IF($L299&gt;$K299,"Rendu en retard","Rendu"),IF(TODAY()&gt;$K299,"En retard","En cours")))</f>
        <v/>
      </c>
      <c r="N299" s="139">
        <f>IF(OR($F299="",$I299=""),"",MAX(0,IF($L299&lt;&gt;"",$L299,TODAY())-$K299))</f>
        <v/>
      </c>
      <c r="O299" s="135">
        <f>IF(OR($F299="",$I299=""),"",$N299*P_Amende)</f>
        <v/>
      </c>
      <c r="P299" s="133" t="n"/>
      <c r="R299">
        <f>IF($M299="En retard",$N299+ROW()/100000,"")</f>
        <v/>
      </c>
      <c r="S299">
        <f>IF(OR($F299="",$I299=""),"",$F299+ROW()/100000)</f>
        <v/>
      </c>
      <c r="T299">
        <f>IF($I299="","",IFERROR(INDEX(LIV_Cat,MATCH($I299,LIV_Code,0)),""))</f>
        <v/>
      </c>
    </row>
    <row r="300" ht="21" customHeight="1">
      <c r="A300" s="1" t="n"/>
      <c r="B300" s="1" t="n"/>
      <c r="C300" s="2" t="n"/>
      <c r="E300" s="130">
        <f>IF($F300="","","EMP-"&amp;TEXT(ROW()-6,"0000"))</f>
        <v/>
      </c>
      <c r="F300" s="134" t="n"/>
      <c r="G300" s="127" t="n"/>
      <c r="H300" s="130">
        <f>IF($G300="","",IFERROR(INDEX(MEM_Nom,MATCH($G300,MEM_ID,0)),"⚠ ID inconnu"))</f>
        <v/>
      </c>
      <c r="I300" s="127" t="n"/>
      <c r="J300" s="130">
        <f>IF($I300="","",IFERROR(INDEX(LIV_Titre,MATCH($I300,LIV_Code,0)),"⚠ Code inconnu"))</f>
        <v/>
      </c>
      <c r="K300" s="138">
        <f>IF($F300="","",$F300+P_Duree)</f>
        <v/>
      </c>
      <c r="L300" s="134" t="n"/>
      <c r="M300" s="130">
        <f>IF(OR($F300="",$I300=""),"",IF($L300&lt;&gt;"",IF($L300&gt;$K300,"Rendu en retard","Rendu"),IF(TODAY()&gt;$K300,"En retard","En cours")))</f>
        <v/>
      </c>
      <c r="N300" s="139">
        <f>IF(OR($F300="",$I300=""),"",MAX(0,IF($L300&lt;&gt;"",$L300,TODAY())-$K300))</f>
        <v/>
      </c>
      <c r="O300" s="135">
        <f>IF(OR($F300="",$I300=""),"",$N300*P_Amende)</f>
        <v/>
      </c>
      <c r="P300" s="133" t="n"/>
      <c r="R300">
        <f>IF($M300="En retard",$N300+ROW()/100000,"")</f>
        <v/>
      </c>
      <c r="S300">
        <f>IF(OR($F300="",$I300=""),"",$F300+ROW()/100000)</f>
        <v/>
      </c>
      <c r="T300">
        <f>IF($I300="","",IFERROR(INDEX(LIV_Cat,MATCH($I300,LIV_Code,0)),""))</f>
        <v/>
      </c>
    </row>
    <row r="301" ht="21" customHeight="1">
      <c r="A301" s="1" t="n"/>
      <c r="B301" s="1" t="n"/>
      <c r="C301" s="2" t="n"/>
      <c r="E301" s="130">
        <f>IF($F301="","","EMP-"&amp;TEXT(ROW()-6,"0000"))</f>
        <v/>
      </c>
      <c r="F301" s="134" t="n"/>
      <c r="G301" s="127" t="n"/>
      <c r="H301" s="130">
        <f>IF($G301="","",IFERROR(INDEX(MEM_Nom,MATCH($G301,MEM_ID,0)),"⚠ ID inconnu"))</f>
        <v/>
      </c>
      <c r="I301" s="127" t="n"/>
      <c r="J301" s="130">
        <f>IF($I301="","",IFERROR(INDEX(LIV_Titre,MATCH($I301,LIV_Code,0)),"⚠ Code inconnu"))</f>
        <v/>
      </c>
      <c r="K301" s="138">
        <f>IF($F301="","",$F301+P_Duree)</f>
        <v/>
      </c>
      <c r="L301" s="134" t="n"/>
      <c r="M301" s="130">
        <f>IF(OR($F301="",$I301=""),"",IF($L301&lt;&gt;"",IF($L301&gt;$K301,"Rendu en retard","Rendu"),IF(TODAY()&gt;$K301,"En retard","En cours")))</f>
        <v/>
      </c>
      <c r="N301" s="139">
        <f>IF(OR($F301="",$I301=""),"",MAX(0,IF($L301&lt;&gt;"",$L301,TODAY())-$K301))</f>
        <v/>
      </c>
      <c r="O301" s="135">
        <f>IF(OR($F301="",$I301=""),"",$N301*P_Amende)</f>
        <v/>
      </c>
      <c r="P301" s="133" t="n"/>
      <c r="R301">
        <f>IF($M301="En retard",$N301+ROW()/100000,"")</f>
        <v/>
      </c>
      <c r="S301">
        <f>IF(OR($F301="",$I301=""),"",$F301+ROW()/100000)</f>
        <v/>
      </c>
      <c r="T301">
        <f>IF($I301="","",IFERROR(INDEX(LIV_Cat,MATCH($I301,LIV_Code,0)),""))</f>
        <v/>
      </c>
    </row>
    <row r="302" ht="21" customHeight="1">
      <c r="A302" s="1" t="n"/>
      <c r="B302" s="1" t="n"/>
      <c r="C302" s="2" t="n"/>
      <c r="E302" s="130">
        <f>IF($F302="","","EMP-"&amp;TEXT(ROW()-6,"0000"))</f>
        <v/>
      </c>
      <c r="F302" s="134" t="n"/>
      <c r="G302" s="127" t="n"/>
      <c r="H302" s="130">
        <f>IF($G302="","",IFERROR(INDEX(MEM_Nom,MATCH($G302,MEM_ID,0)),"⚠ ID inconnu"))</f>
        <v/>
      </c>
      <c r="I302" s="127" t="n"/>
      <c r="J302" s="130">
        <f>IF($I302="","",IFERROR(INDEX(LIV_Titre,MATCH($I302,LIV_Code,0)),"⚠ Code inconnu"))</f>
        <v/>
      </c>
      <c r="K302" s="138">
        <f>IF($F302="","",$F302+P_Duree)</f>
        <v/>
      </c>
      <c r="L302" s="134" t="n"/>
      <c r="M302" s="130">
        <f>IF(OR($F302="",$I302=""),"",IF($L302&lt;&gt;"",IF($L302&gt;$K302,"Rendu en retard","Rendu"),IF(TODAY()&gt;$K302,"En retard","En cours")))</f>
        <v/>
      </c>
      <c r="N302" s="139">
        <f>IF(OR($F302="",$I302=""),"",MAX(0,IF($L302&lt;&gt;"",$L302,TODAY())-$K302))</f>
        <v/>
      </c>
      <c r="O302" s="135">
        <f>IF(OR($F302="",$I302=""),"",$N302*P_Amende)</f>
        <v/>
      </c>
      <c r="P302" s="133" t="n"/>
      <c r="R302">
        <f>IF($M302="En retard",$N302+ROW()/100000,"")</f>
        <v/>
      </c>
      <c r="S302">
        <f>IF(OR($F302="",$I302=""),"",$F302+ROW()/100000)</f>
        <v/>
      </c>
      <c r="T302">
        <f>IF($I302="","",IFERROR(INDEX(LIV_Cat,MATCH($I302,LIV_Code,0)),""))</f>
        <v/>
      </c>
    </row>
    <row r="303" ht="21" customHeight="1">
      <c r="A303" s="1" t="n"/>
      <c r="B303" s="1" t="n"/>
      <c r="C303" s="2" t="n"/>
      <c r="E303" s="130">
        <f>IF($F303="","","EMP-"&amp;TEXT(ROW()-6,"0000"))</f>
        <v/>
      </c>
      <c r="F303" s="134" t="n"/>
      <c r="G303" s="127" t="n"/>
      <c r="H303" s="130">
        <f>IF($G303="","",IFERROR(INDEX(MEM_Nom,MATCH($G303,MEM_ID,0)),"⚠ ID inconnu"))</f>
        <v/>
      </c>
      <c r="I303" s="127" t="n"/>
      <c r="J303" s="130">
        <f>IF($I303="","",IFERROR(INDEX(LIV_Titre,MATCH($I303,LIV_Code,0)),"⚠ Code inconnu"))</f>
        <v/>
      </c>
      <c r="K303" s="138">
        <f>IF($F303="","",$F303+P_Duree)</f>
        <v/>
      </c>
      <c r="L303" s="134" t="n"/>
      <c r="M303" s="130">
        <f>IF(OR($F303="",$I303=""),"",IF($L303&lt;&gt;"",IF($L303&gt;$K303,"Rendu en retard","Rendu"),IF(TODAY()&gt;$K303,"En retard","En cours")))</f>
        <v/>
      </c>
      <c r="N303" s="139">
        <f>IF(OR($F303="",$I303=""),"",MAX(0,IF($L303&lt;&gt;"",$L303,TODAY())-$K303))</f>
        <v/>
      </c>
      <c r="O303" s="135">
        <f>IF(OR($F303="",$I303=""),"",$N303*P_Amende)</f>
        <v/>
      </c>
      <c r="P303" s="133" t="n"/>
      <c r="R303">
        <f>IF($M303="En retard",$N303+ROW()/100000,"")</f>
        <v/>
      </c>
      <c r="S303">
        <f>IF(OR($F303="",$I303=""),"",$F303+ROW()/100000)</f>
        <v/>
      </c>
      <c r="T303">
        <f>IF($I303="","",IFERROR(INDEX(LIV_Cat,MATCH($I303,LIV_Code,0)),""))</f>
        <v/>
      </c>
    </row>
    <row r="304" ht="21" customHeight="1">
      <c r="A304" s="1" t="n"/>
      <c r="B304" s="1" t="n"/>
      <c r="C304" s="2" t="n"/>
      <c r="E304" s="130">
        <f>IF($F304="","","EMP-"&amp;TEXT(ROW()-6,"0000"))</f>
        <v/>
      </c>
      <c r="F304" s="134" t="n"/>
      <c r="G304" s="127" t="n"/>
      <c r="H304" s="130">
        <f>IF($G304="","",IFERROR(INDEX(MEM_Nom,MATCH($G304,MEM_ID,0)),"⚠ ID inconnu"))</f>
        <v/>
      </c>
      <c r="I304" s="127" t="n"/>
      <c r="J304" s="130">
        <f>IF($I304="","",IFERROR(INDEX(LIV_Titre,MATCH($I304,LIV_Code,0)),"⚠ Code inconnu"))</f>
        <v/>
      </c>
      <c r="K304" s="138">
        <f>IF($F304="","",$F304+P_Duree)</f>
        <v/>
      </c>
      <c r="L304" s="134" t="n"/>
      <c r="M304" s="130">
        <f>IF(OR($F304="",$I304=""),"",IF($L304&lt;&gt;"",IF($L304&gt;$K304,"Rendu en retard","Rendu"),IF(TODAY()&gt;$K304,"En retard","En cours")))</f>
        <v/>
      </c>
      <c r="N304" s="139">
        <f>IF(OR($F304="",$I304=""),"",MAX(0,IF($L304&lt;&gt;"",$L304,TODAY())-$K304))</f>
        <v/>
      </c>
      <c r="O304" s="135">
        <f>IF(OR($F304="",$I304=""),"",$N304*P_Amende)</f>
        <v/>
      </c>
      <c r="P304" s="133" t="n"/>
      <c r="R304">
        <f>IF($M304="En retard",$N304+ROW()/100000,"")</f>
        <v/>
      </c>
      <c r="S304">
        <f>IF(OR($F304="",$I304=""),"",$F304+ROW()/100000)</f>
        <v/>
      </c>
      <c r="T304">
        <f>IF($I304="","",IFERROR(INDEX(LIV_Cat,MATCH($I304,LIV_Code,0)),""))</f>
        <v/>
      </c>
    </row>
    <row r="305" ht="21" customHeight="1">
      <c r="A305" s="1" t="n"/>
      <c r="B305" s="1" t="n"/>
      <c r="C305" s="2" t="n"/>
      <c r="E305" s="130">
        <f>IF($F305="","","EMP-"&amp;TEXT(ROW()-6,"0000"))</f>
        <v/>
      </c>
      <c r="F305" s="134" t="n"/>
      <c r="G305" s="127" t="n"/>
      <c r="H305" s="130">
        <f>IF($G305="","",IFERROR(INDEX(MEM_Nom,MATCH($G305,MEM_ID,0)),"⚠ ID inconnu"))</f>
        <v/>
      </c>
      <c r="I305" s="127" t="n"/>
      <c r="J305" s="130">
        <f>IF($I305="","",IFERROR(INDEX(LIV_Titre,MATCH($I305,LIV_Code,0)),"⚠ Code inconnu"))</f>
        <v/>
      </c>
      <c r="K305" s="138">
        <f>IF($F305="","",$F305+P_Duree)</f>
        <v/>
      </c>
      <c r="L305" s="134" t="n"/>
      <c r="M305" s="130">
        <f>IF(OR($F305="",$I305=""),"",IF($L305&lt;&gt;"",IF($L305&gt;$K305,"Rendu en retard","Rendu"),IF(TODAY()&gt;$K305,"En retard","En cours")))</f>
        <v/>
      </c>
      <c r="N305" s="139">
        <f>IF(OR($F305="",$I305=""),"",MAX(0,IF($L305&lt;&gt;"",$L305,TODAY())-$K305))</f>
        <v/>
      </c>
      <c r="O305" s="135">
        <f>IF(OR($F305="",$I305=""),"",$N305*P_Amende)</f>
        <v/>
      </c>
      <c r="P305" s="133" t="n"/>
      <c r="R305">
        <f>IF($M305="En retard",$N305+ROW()/100000,"")</f>
        <v/>
      </c>
      <c r="S305">
        <f>IF(OR($F305="",$I305=""),"",$F305+ROW()/100000)</f>
        <v/>
      </c>
      <c r="T305">
        <f>IF($I305="","",IFERROR(INDEX(LIV_Cat,MATCH($I305,LIV_Code,0)),""))</f>
        <v/>
      </c>
    </row>
    <row r="306" ht="21" customHeight="1">
      <c r="A306" s="1" t="n"/>
      <c r="B306" s="1" t="n"/>
      <c r="C306" s="2" t="n"/>
      <c r="E306" s="130">
        <f>IF($F306="","","EMP-"&amp;TEXT(ROW()-6,"0000"))</f>
        <v/>
      </c>
      <c r="F306" s="134" t="n"/>
      <c r="G306" s="127" t="n"/>
      <c r="H306" s="130">
        <f>IF($G306="","",IFERROR(INDEX(MEM_Nom,MATCH($G306,MEM_ID,0)),"⚠ ID inconnu"))</f>
        <v/>
      </c>
      <c r="I306" s="127" t="n"/>
      <c r="J306" s="130">
        <f>IF($I306="","",IFERROR(INDEX(LIV_Titre,MATCH($I306,LIV_Code,0)),"⚠ Code inconnu"))</f>
        <v/>
      </c>
      <c r="K306" s="138">
        <f>IF($F306="","",$F306+P_Duree)</f>
        <v/>
      </c>
      <c r="L306" s="134" t="n"/>
      <c r="M306" s="130">
        <f>IF(OR($F306="",$I306=""),"",IF($L306&lt;&gt;"",IF($L306&gt;$K306,"Rendu en retard","Rendu"),IF(TODAY()&gt;$K306,"En retard","En cours")))</f>
        <v/>
      </c>
      <c r="N306" s="139">
        <f>IF(OR($F306="",$I306=""),"",MAX(0,IF($L306&lt;&gt;"",$L306,TODAY())-$K306))</f>
        <v/>
      </c>
      <c r="O306" s="135">
        <f>IF(OR($F306="",$I306=""),"",$N306*P_Amende)</f>
        <v/>
      </c>
      <c r="P306" s="133" t="n"/>
      <c r="R306">
        <f>IF($M306="En retard",$N306+ROW()/100000,"")</f>
        <v/>
      </c>
      <c r="S306">
        <f>IF(OR($F306="",$I306=""),"",$F306+ROW()/100000)</f>
        <v/>
      </c>
      <c r="T306">
        <f>IF($I306="","",IFERROR(INDEX(LIV_Cat,MATCH($I306,LIV_Code,0)),""))</f>
        <v/>
      </c>
    </row>
    <row r="307" ht="21" customHeight="1">
      <c r="A307" s="1" t="n"/>
      <c r="B307" s="1" t="n"/>
      <c r="C307" s="2" t="n"/>
      <c r="E307" s="130">
        <f>IF($F307="","","EMP-"&amp;TEXT(ROW()-6,"0000"))</f>
        <v/>
      </c>
      <c r="F307" s="134" t="n"/>
      <c r="G307" s="127" t="n"/>
      <c r="H307" s="130">
        <f>IF($G307="","",IFERROR(INDEX(MEM_Nom,MATCH($G307,MEM_ID,0)),"⚠ ID inconnu"))</f>
        <v/>
      </c>
      <c r="I307" s="127" t="n"/>
      <c r="J307" s="130">
        <f>IF($I307="","",IFERROR(INDEX(LIV_Titre,MATCH($I307,LIV_Code,0)),"⚠ Code inconnu"))</f>
        <v/>
      </c>
      <c r="K307" s="138">
        <f>IF($F307="","",$F307+P_Duree)</f>
        <v/>
      </c>
      <c r="L307" s="134" t="n"/>
      <c r="M307" s="130">
        <f>IF(OR($F307="",$I307=""),"",IF($L307&lt;&gt;"",IF($L307&gt;$K307,"Rendu en retard","Rendu"),IF(TODAY()&gt;$K307,"En retard","En cours")))</f>
        <v/>
      </c>
      <c r="N307" s="139">
        <f>IF(OR($F307="",$I307=""),"",MAX(0,IF($L307&lt;&gt;"",$L307,TODAY())-$K307))</f>
        <v/>
      </c>
      <c r="O307" s="135">
        <f>IF(OR($F307="",$I307=""),"",$N307*P_Amende)</f>
        <v/>
      </c>
      <c r="P307" s="133" t="n"/>
      <c r="R307">
        <f>IF($M307="En retard",$N307+ROW()/100000,"")</f>
        <v/>
      </c>
      <c r="S307">
        <f>IF(OR($F307="",$I307=""),"",$F307+ROW()/100000)</f>
        <v/>
      </c>
      <c r="T307">
        <f>IF($I307="","",IFERROR(INDEX(LIV_Cat,MATCH($I307,LIV_Code,0)),""))</f>
        <v/>
      </c>
    </row>
    <row r="308" ht="21" customHeight="1">
      <c r="A308" s="1" t="n"/>
      <c r="B308" s="1" t="n"/>
      <c r="C308" s="2" t="n"/>
      <c r="E308" s="130">
        <f>IF($F308="","","EMP-"&amp;TEXT(ROW()-6,"0000"))</f>
        <v/>
      </c>
      <c r="F308" s="134" t="n"/>
      <c r="G308" s="127" t="n"/>
      <c r="H308" s="130">
        <f>IF($G308="","",IFERROR(INDEX(MEM_Nom,MATCH($G308,MEM_ID,0)),"⚠ ID inconnu"))</f>
        <v/>
      </c>
      <c r="I308" s="127" t="n"/>
      <c r="J308" s="130">
        <f>IF($I308="","",IFERROR(INDEX(LIV_Titre,MATCH($I308,LIV_Code,0)),"⚠ Code inconnu"))</f>
        <v/>
      </c>
      <c r="K308" s="138">
        <f>IF($F308="","",$F308+P_Duree)</f>
        <v/>
      </c>
      <c r="L308" s="134" t="n"/>
      <c r="M308" s="130">
        <f>IF(OR($F308="",$I308=""),"",IF($L308&lt;&gt;"",IF($L308&gt;$K308,"Rendu en retard","Rendu"),IF(TODAY()&gt;$K308,"En retard","En cours")))</f>
        <v/>
      </c>
      <c r="N308" s="139">
        <f>IF(OR($F308="",$I308=""),"",MAX(0,IF($L308&lt;&gt;"",$L308,TODAY())-$K308))</f>
        <v/>
      </c>
      <c r="O308" s="135">
        <f>IF(OR($F308="",$I308=""),"",$N308*P_Amende)</f>
        <v/>
      </c>
      <c r="P308" s="133" t="n"/>
      <c r="R308">
        <f>IF($M308="En retard",$N308+ROW()/100000,"")</f>
        <v/>
      </c>
      <c r="S308">
        <f>IF(OR($F308="",$I308=""),"",$F308+ROW()/100000)</f>
        <v/>
      </c>
      <c r="T308">
        <f>IF($I308="","",IFERROR(INDEX(LIV_Cat,MATCH($I308,LIV_Code,0)),""))</f>
        <v/>
      </c>
    </row>
    <row r="309" ht="21" customHeight="1">
      <c r="A309" s="1" t="n"/>
      <c r="B309" s="1" t="n"/>
      <c r="C309" s="2" t="n"/>
      <c r="E309" s="130">
        <f>IF($F309="","","EMP-"&amp;TEXT(ROW()-6,"0000"))</f>
        <v/>
      </c>
      <c r="F309" s="134" t="n"/>
      <c r="G309" s="127" t="n"/>
      <c r="H309" s="130">
        <f>IF($G309="","",IFERROR(INDEX(MEM_Nom,MATCH($G309,MEM_ID,0)),"⚠ ID inconnu"))</f>
        <v/>
      </c>
      <c r="I309" s="127" t="n"/>
      <c r="J309" s="130">
        <f>IF($I309="","",IFERROR(INDEX(LIV_Titre,MATCH($I309,LIV_Code,0)),"⚠ Code inconnu"))</f>
        <v/>
      </c>
      <c r="K309" s="138">
        <f>IF($F309="","",$F309+P_Duree)</f>
        <v/>
      </c>
      <c r="L309" s="134" t="n"/>
      <c r="M309" s="130">
        <f>IF(OR($F309="",$I309=""),"",IF($L309&lt;&gt;"",IF($L309&gt;$K309,"Rendu en retard","Rendu"),IF(TODAY()&gt;$K309,"En retard","En cours")))</f>
        <v/>
      </c>
      <c r="N309" s="139">
        <f>IF(OR($F309="",$I309=""),"",MAX(0,IF($L309&lt;&gt;"",$L309,TODAY())-$K309))</f>
        <v/>
      </c>
      <c r="O309" s="135">
        <f>IF(OR($F309="",$I309=""),"",$N309*P_Amende)</f>
        <v/>
      </c>
      <c r="P309" s="133" t="n"/>
      <c r="R309">
        <f>IF($M309="En retard",$N309+ROW()/100000,"")</f>
        <v/>
      </c>
      <c r="S309">
        <f>IF(OR($F309="",$I309=""),"",$F309+ROW()/100000)</f>
        <v/>
      </c>
      <c r="T309">
        <f>IF($I309="","",IFERROR(INDEX(LIV_Cat,MATCH($I309,LIV_Code,0)),""))</f>
        <v/>
      </c>
    </row>
    <row r="310" ht="21" customHeight="1">
      <c r="A310" s="1" t="n"/>
      <c r="B310" s="1" t="n"/>
      <c r="C310" s="2" t="n"/>
      <c r="E310" s="130">
        <f>IF($F310="","","EMP-"&amp;TEXT(ROW()-6,"0000"))</f>
        <v/>
      </c>
      <c r="F310" s="134" t="n"/>
      <c r="G310" s="127" t="n"/>
      <c r="H310" s="130">
        <f>IF($G310="","",IFERROR(INDEX(MEM_Nom,MATCH($G310,MEM_ID,0)),"⚠ ID inconnu"))</f>
        <v/>
      </c>
      <c r="I310" s="127" t="n"/>
      <c r="J310" s="130">
        <f>IF($I310="","",IFERROR(INDEX(LIV_Titre,MATCH($I310,LIV_Code,0)),"⚠ Code inconnu"))</f>
        <v/>
      </c>
      <c r="K310" s="138">
        <f>IF($F310="","",$F310+P_Duree)</f>
        <v/>
      </c>
      <c r="L310" s="134" t="n"/>
      <c r="M310" s="130">
        <f>IF(OR($F310="",$I310=""),"",IF($L310&lt;&gt;"",IF($L310&gt;$K310,"Rendu en retard","Rendu"),IF(TODAY()&gt;$K310,"En retard","En cours")))</f>
        <v/>
      </c>
      <c r="N310" s="139">
        <f>IF(OR($F310="",$I310=""),"",MAX(0,IF($L310&lt;&gt;"",$L310,TODAY())-$K310))</f>
        <v/>
      </c>
      <c r="O310" s="135">
        <f>IF(OR($F310="",$I310=""),"",$N310*P_Amende)</f>
        <v/>
      </c>
      <c r="P310" s="133" t="n"/>
      <c r="R310">
        <f>IF($M310="En retard",$N310+ROW()/100000,"")</f>
        <v/>
      </c>
      <c r="S310">
        <f>IF(OR($F310="",$I310=""),"",$F310+ROW()/100000)</f>
        <v/>
      </c>
      <c r="T310">
        <f>IF($I310="","",IFERROR(INDEX(LIV_Cat,MATCH($I310,LIV_Code,0)),""))</f>
        <v/>
      </c>
    </row>
    <row r="311" ht="21" customHeight="1">
      <c r="A311" s="1" t="n"/>
      <c r="B311" s="1" t="n"/>
      <c r="C311" s="2" t="n"/>
      <c r="E311" s="130">
        <f>IF($F311="","","EMP-"&amp;TEXT(ROW()-6,"0000"))</f>
        <v/>
      </c>
      <c r="F311" s="134" t="n"/>
      <c r="G311" s="127" t="n"/>
      <c r="H311" s="130">
        <f>IF($G311="","",IFERROR(INDEX(MEM_Nom,MATCH($G311,MEM_ID,0)),"⚠ ID inconnu"))</f>
        <v/>
      </c>
      <c r="I311" s="127" t="n"/>
      <c r="J311" s="130">
        <f>IF($I311="","",IFERROR(INDEX(LIV_Titre,MATCH($I311,LIV_Code,0)),"⚠ Code inconnu"))</f>
        <v/>
      </c>
      <c r="K311" s="138">
        <f>IF($F311="","",$F311+P_Duree)</f>
        <v/>
      </c>
      <c r="L311" s="134" t="n"/>
      <c r="M311" s="130">
        <f>IF(OR($F311="",$I311=""),"",IF($L311&lt;&gt;"",IF($L311&gt;$K311,"Rendu en retard","Rendu"),IF(TODAY()&gt;$K311,"En retard","En cours")))</f>
        <v/>
      </c>
      <c r="N311" s="139">
        <f>IF(OR($F311="",$I311=""),"",MAX(0,IF($L311&lt;&gt;"",$L311,TODAY())-$K311))</f>
        <v/>
      </c>
      <c r="O311" s="135">
        <f>IF(OR($F311="",$I311=""),"",$N311*P_Amende)</f>
        <v/>
      </c>
      <c r="P311" s="133" t="n"/>
      <c r="R311">
        <f>IF($M311="En retard",$N311+ROW()/100000,"")</f>
        <v/>
      </c>
      <c r="S311">
        <f>IF(OR($F311="",$I311=""),"",$F311+ROW()/100000)</f>
        <v/>
      </c>
      <c r="T311">
        <f>IF($I311="","",IFERROR(INDEX(LIV_Cat,MATCH($I311,LIV_Code,0)),""))</f>
        <v/>
      </c>
    </row>
    <row r="312" ht="21" customHeight="1">
      <c r="A312" s="1" t="n"/>
      <c r="B312" s="1" t="n"/>
      <c r="C312" s="2" t="n"/>
      <c r="E312" s="130">
        <f>IF($F312="","","EMP-"&amp;TEXT(ROW()-6,"0000"))</f>
        <v/>
      </c>
      <c r="F312" s="134" t="n"/>
      <c r="G312" s="127" t="n"/>
      <c r="H312" s="130">
        <f>IF($G312="","",IFERROR(INDEX(MEM_Nom,MATCH($G312,MEM_ID,0)),"⚠ ID inconnu"))</f>
        <v/>
      </c>
      <c r="I312" s="127" t="n"/>
      <c r="J312" s="130">
        <f>IF($I312="","",IFERROR(INDEX(LIV_Titre,MATCH($I312,LIV_Code,0)),"⚠ Code inconnu"))</f>
        <v/>
      </c>
      <c r="K312" s="138">
        <f>IF($F312="","",$F312+P_Duree)</f>
        <v/>
      </c>
      <c r="L312" s="134" t="n"/>
      <c r="M312" s="130">
        <f>IF(OR($F312="",$I312=""),"",IF($L312&lt;&gt;"",IF($L312&gt;$K312,"Rendu en retard","Rendu"),IF(TODAY()&gt;$K312,"En retard","En cours")))</f>
        <v/>
      </c>
      <c r="N312" s="139">
        <f>IF(OR($F312="",$I312=""),"",MAX(0,IF($L312&lt;&gt;"",$L312,TODAY())-$K312))</f>
        <v/>
      </c>
      <c r="O312" s="135">
        <f>IF(OR($F312="",$I312=""),"",$N312*P_Amende)</f>
        <v/>
      </c>
      <c r="P312" s="133" t="n"/>
      <c r="R312">
        <f>IF($M312="En retard",$N312+ROW()/100000,"")</f>
        <v/>
      </c>
      <c r="S312">
        <f>IF(OR($F312="",$I312=""),"",$F312+ROW()/100000)</f>
        <v/>
      </c>
      <c r="T312">
        <f>IF($I312="","",IFERROR(INDEX(LIV_Cat,MATCH($I312,LIV_Code,0)),""))</f>
        <v/>
      </c>
    </row>
    <row r="313" ht="21" customHeight="1">
      <c r="A313" s="1" t="n"/>
      <c r="B313" s="1" t="n"/>
      <c r="C313" s="2" t="n"/>
      <c r="E313" s="130">
        <f>IF($F313="","","EMP-"&amp;TEXT(ROW()-6,"0000"))</f>
        <v/>
      </c>
      <c r="F313" s="134" t="n"/>
      <c r="G313" s="127" t="n"/>
      <c r="H313" s="130">
        <f>IF($G313="","",IFERROR(INDEX(MEM_Nom,MATCH($G313,MEM_ID,0)),"⚠ ID inconnu"))</f>
        <v/>
      </c>
      <c r="I313" s="127" t="n"/>
      <c r="J313" s="130">
        <f>IF($I313="","",IFERROR(INDEX(LIV_Titre,MATCH($I313,LIV_Code,0)),"⚠ Code inconnu"))</f>
        <v/>
      </c>
      <c r="K313" s="138">
        <f>IF($F313="","",$F313+P_Duree)</f>
        <v/>
      </c>
      <c r="L313" s="134" t="n"/>
      <c r="M313" s="130">
        <f>IF(OR($F313="",$I313=""),"",IF($L313&lt;&gt;"",IF($L313&gt;$K313,"Rendu en retard","Rendu"),IF(TODAY()&gt;$K313,"En retard","En cours")))</f>
        <v/>
      </c>
      <c r="N313" s="139">
        <f>IF(OR($F313="",$I313=""),"",MAX(0,IF($L313&lt;&gt;"",$L313,TODAY())-$K313))</f>
        <v/>
      </c>
      <c r="O313" s="135">
        <f>IF(OR($F313="",$I313=""),"",$N313*P_Amende)</f>
        <v/>
      </c>
      <c r="P313" s="133" t="n"/>
      <c r="R313">
        <f>IF($M313="En retard",$N313+ROW()/100000,"")</f>
        <v/>
      </c>
      <c r="S313">
        <f>IF(OR($F313="",$I313=""),"",$F313+ROW()/100000)</f>
        <v/>
      </c>
      <c r="T313">
        <f>IF($I313="","",IFERROR(INDEX(LIV_Cat,MATCH($I313,LIV_Code,0)),""))</f>
        <v/>
      </c>
    </row>
    <row r="314" ht="21" customHeight="1">
      <c r="A314" s="1" t="n"/>
      <c r="B314" s="1" t="n"/>
      <c r="C314" s="2" t="n"/>
      <c r="E314" s="130">
        <f>IF($F314="","","EMP-"&amp;TEXT(ROW()-6,"0000"))</f>
        <v/>
      </c>
      <c r="F314" s="134" t="n"/>
      <c r="G314" s="127" t="n"/>
      <c r="H314" s="130">
        <f>IF($G314="","",IFERROR(INDEX(MEM_Nom,MATCH($G314,MEM_ID,0)),"⚠ ID inconnu"))</f>
        <v/>
      </c>
      <c r="I314" s="127" t="n"/>
      <c r="J314" s="130">
        <f>IF($I314="","",IFERROR(INDEX(LIV_Titre,MATCH($I314,LIV_Code,0)),"⚠ Code inconnu"))</f>
        <v/>
      </c>
      <c r="K314" s="138">
        <f>IF($F314="","",$F314+P_Duree)</f>
        <v/>
      </c>
      <c r="L314" s="134" t="n"/>
      <c r="M314" s="130">
        <f>IF(OR($F314="",$I314=""),"",IF($L314&lt;&gt;"",IF($L314&gt;$K314,"Rendu en retard","Rendu"),IF(TODAY()&gt;$K314,"En retard","En cours")))</f>
        <v/>
      </c>
      <c r="N314" s="139">
        <f>IF(OR($F314="",$I314=""),"",MAX(0,IF($L314&lt;&gt;"",$L314,TODAY())-$K314))</f>
        <v/>
      </c>
      <c r="O314" s="135">
        <f>IF(OR($F314="",$I314=""),"",$N314*P_Amende)</f>
        <v/>
      </c>
      <c r="P314" s="133" t="n"/>
      <c r="R314">
        <f>IF($M314="En retard",$N314+ROW()/100000,"")</f>
        <v/>
      </c>
      <c r="S314">
        <f>IF(OR($F314="",$I314=""),"",$F314+ROW()/100000)</f>
        <v/>
      </c>
      <c r="T314">
        <f>IF($I314="","",IFERROR(INDEX(LIV_Cat,MATCH($I314,LIV_Code,0)),""))</f>
        <v/>
      </c>
    </row>
    <row r="315" ht="21" customHeight="1">
      <c r="A315" s="1" t="n"/>
      <c r="B315" s="1" t="n"/>
      <c r="C315" s="2" t="n"/>
      <c r="E315" s="130">
        <f>IF($F315="","","EMP-"&amp;TEXT(ROW()-6,"0000"))</f>
        <v/>
      </c>
      <c r="F315" s="134" t="n"/>
      <c r="G315" s="127" t="n"/>
      <c r="H315" s="130">
        <f>IF($G315="","",IFERROR(INDEX(MEM_Nom,MATCH($G315,MEM_ID,0)),"⚠ ID inconnu"))</f>
        <v/>
      </c>
      <c r="I315" s="127" t="n"/>
      <c r="J315" s="130">
        <f>IF($I315="","",IFERROR(INDEX(LIV_Titre,MATCH($I315,LIV_Code,0)),"⚠ Code inconnu"))</f>
        <v/>
      </c>
      <c r="K315" s="138">
        <f>IF($F315="","",$F315+P_Duree)</f>
        <v/>
      </c>
      <c r="L315" s="134" t="n"/>
      <c r="M315" s="130">
        <f>IF(OR($F315="",$I315=""),"",IF($L315&lt;&gt;"",IF($L315&gt;$K315,"Rendu en retard","Rendu"),IF(TODAY()&gt;$K315,"En retard","En cours")))</f>
        <v/>
      </c>
      <c r="N315" s="139">
        <f>IF(OR($F315="",$I315=""),"",MAX(0,IF($L315&lt;&gt;"",$L315,TODAY())-$K315))</f>
        <v/>
      </c>
      <c r="O315" s="135">
        <f>IF(OR($F315="",$I315=""),"",$N315*P_Amende)</f>
        <v/>
      </c>
      <c r="P315" s="133" t="n"/>
      <c r="R315">
        <f>IF($M315="En retard",$N315+ROW()/100000,"")</f>
        <v/>
      </c>
      <c r="S315">
        <f>IF(OR($F315="",$I315=""),"",$F315+ROW()/100000)</f>
        <v/>
      </c>
      <c r="T315">
        <f>IF($I315="","",IFERROR(INDEX(LIV_Cat,MATCH($I315,LIV_Code,0)),""))</f>
        <v/>
      </c>
    </row>
    <row r="316" ht="21" customHeight="1">
      <c r="A316" s="1" t="n"/>
      <c r="B316" s="1" t="n"/>
      <c r="C316" s="2" t="n"/>
      <c r="E316" s="130">
        <f>IF($F316="","","EMP-"&amp;TEXT(ROW()-6,"0000"))</f>
        <v/>
      </c>
      <c r="F316" s="134" t="n"/>
      <c r="G316" s="127" t="n"/>
      <c r="H316" s="130">
        <f>IF($G316="","",IFERROR(INDEX(MEM_Nom,MATCH($G316,MEM_ID,0)),"⚠ ID inconnu"))</f>
        <v/>
      </c>
      <c r="I316" s="127" t="n"/>
      <c r="J316" s="130">
        <f>IF($I316="","",IFERROR(INDEX(LIV_Titre,MATCH($I316,LIV_Code,0)),"⚠ Code inconnu"))</f>
        <v/>
      </c>
      <c r="K316" s="138">
        <f>IF($F316="","",$F316+P_Duree)</f>
        <v/>
      </c>
      <c r="L316" s="134" t="n"/>
      <c r="M316" s="130">
        <f>IF(OR($F316="",$I316=""),"",IF($L316&lt;&gt;"",IF($L316&gt;$K316,"Rendu en retard","Rendu"),IF(TODAY()&gt;$K316,"En retard","En cours")))</f>
        <v/>
      </c>
      <c r="N316" s="139">
        <f>IF(OR($F316="",$I316=""),"",MAX(0,IF($L316&lt;&gt;"",$L316,TODAY())-$K316))</f>
        <v/>
      </c>
      <c r="O316" s="135">
        <f>IF(OR($F316="",$I316=""),"",$N316*P_Amende)</f>
        <v/>
      </c>
      <c r="P316" s="133" t="n"/>
      <c r="R316">
        <f>IF($M316="En retard",$N316+ROW()/100000,"")</f>
        <v/>
      </c>
      <c r="S316">
        <f>IF(OR($F316="",$I316=""),"",$F316+ROW()/100000)</f>
        <v/>
      </c>
      <c r="T316">
        <f>IF($I316="","",IFERROR(INDEX(LIV_Cat,MATCH($I316,LIV_Code,0)),""))</f>
        <v/>
      </c>
    </row>
    <row r="317" ht="21" customHeight="1">
      <c r="A317" s="1" t="n"/>
      <c r="B317" s="1" t="n"/>
      <c r="C317" s="2" t="n"/>
      <c r="E317" s="130">
        <f>IF($F317="","","EMP-"&amp;TEXT(ROW()-6,"0000"))</f>
        <v/>
      </c>
      <c r="F317" s="134" t="n"/>
      <c r="G317" s="127" t="n"/>
      <c r="H317" s="130">
        <f>IF($G317="","",IFERROR(INDEX(MEM_Nom,MATCH($G317,MEM_ID,0)),"⚠ ID inconnu"))</f>
        <v/>
      </c>
      <c r="I317" s="127" t="n"/>
      <c r="J317" s="130">
        <f>IF($I317="","",IFERROR(INDEX(LIV_Titre,MATCH($I317,LIV_Code,0)),"⚠ Code inconnu"))</f>
        <v/>
      </c>
      <c r="K317" s="138">
        <f>IF($F317="","",$F317+P_Duree)</f>
        <v/>
      </c>
      <c r="L317" s="134" t="n"/>
      <c r="M317" s="130">
        <f>IF(OR($F317="",$I317=""),"",IF($L317&lt;&gt;"",IF($L317&gt;$K317,"Rendu en retard","Rendu"),IF(TODAY()&gt;$K317,"En retard","En cours")))</f>
        <v/>
      </c>
      <c r="N317" s="139">
        <f>IF(OR($F317="",$I317=""),"",MAX(0,IF($L317&lt;&gt;"",$L317,TODAY())-$K317))</f>
        <v/>
      </c>
      <c r="O317" s="135">
        <f>IF(OR($F317="",$I317=""),"",$N317*P_Amende)</f>
        <v/>
      </c>
      <c r="P317" s="133" t="n"/>
      <c r="R317">
        <f>IF($M317="En retard",$N317+ROW()/100000,"")</f>
        <v/>
      </c>
      <c r="S317">
        <f>IF(OR($F317="",$I317=""),"",$F317+ROW()/100000)</f>
        <v/>
      </c>
      <c r="T317">
        <f>IF($I317="","",IFERROR(INDEX(LIV_Cat,MATCH($I317,LIV_Code,0)),""))</f>
        <v/>
      </c>
    </row>
    <row r="318" ht="21" customHeight="1">
      <c r="A318" s="1" t="n"/>
      <c r="B318" s="1" t="n"/>
      <c r="C318" s="2" t="n"/>
      <c r="E318" s="130">
        <f>IF($F318="","","EMP-"&amp;TEXT(ROW()-6,"0000"))</f>
        <v/>
      </c>
      <c r="F318" s="134" t="n"/>
      <c r="G318" s="127" t="n"/>
      <c r="H318" s="130">
        <f>IF($G318="","",IFERROR(INDEX(MEM_Nom,MATCH($G318,MEM_ID,0)),"⚠ ID inconnu"))</f>
        <v/>
      </c>
      <c r="I318" s="127" t="n"/>
      <c r="J318" s="130">
        <f>IF($I318="","",IFERROR(INDEX(LIV_Titre,MATCH($I318,LIV_Code,0)),"⚠ Code inconnu"))</f>
        <v/>
      </c>
      <c r="K318" s="138">
        <f>IF($F318="","",$F318+P_Duree)</f>
        <v/>
      </c>
      <c r="L318" s="134" t="n"/>
      <c r="M318" s="130">
        <f>IF(OR($F318="",$I318=""),"",IF($L318&lt;&gt;"",IF($L318&gt;$K318,"Rendu en retard","Rendu"),IF(TODAY()&gt;$K318,"En retard","En cours")))</f>
        <v/>
      </c>
      <c r="N318" s="139">
        <f>IF(OR($F318="",$I318=""),"",MAX(0,IF($L318&lt;&gt;"",$L318,TODAY())-$K318))</f>
        <v/>
      </c>
      <c r="O318" s="135">
        <f>IF(OR($F318="",$I318=""),"",$N318*P_Amende)</f>
        <v/>
      </c>
      <c r="P318" s="133" t="n"/>
      <c r="R318">
        <f>IF($M318="En retard",$N318+ROW()/100000,"")</f>
        <v/>
      </c>
      <c r="S318">
        <f>IF(OR($F318="",$I318=""),"",$F318+ROW()/100000)</f>
        <v/>
      </c>
      <c r="T318">
        <f>IF($I318="","",IFERROR(INDEX(LIV_Cat,MATCH($I318,LIV_Code,0)),""))</f>
        <v/>
      </c>
    </row>
    <row r="319" ht="21" customHeight="1">
      <c r="A319" s="1" t="n"/>
      <c r="B319" s="1" t="n"/>
      <c r="C319" s="2" t="n"/>
      <c r="E319" s="130">
        <f>IF($F319="","","EMP-"&amp;TEXT(ROW()-6,"0000"))</f>
        <v/>
      </c>
      <c r="F319" s="134" t="n"/>
      <c r="G319" s="127" t="n"/>
      <c r="H319" s="130">
        <f>IF($G319="","",IFERROR(INDEX(MEM_Nom,MATCH($G319,MEM_ID,0)),"⚠ ID inconnu"))</f>
        <v/>
      </c>
      <c r="I319" s="127" t="n"/>
      <c r="J319" s="130">
        <f>IF($I319="","",IFERROR(INDEX(LIV_Titre,MATCH($I319,LIV_Code,0)),"⚠ Code inconnu"))</f>
        <v/>
      </c>
      <c r="K319" s="138">
        <f>IF($F319="","",$F319+P_Duree)</f>
        <v/>
      </c>
      <c r="L319" s="134" t="n"/>
      <c r="M319" s="130">
        <f>IF(OR($F319="",$I319=""),"",IF($L319&lt;&gt;"",IF($L319&gt;$K319,"Rendu en retard","Rendu"),IF(TODAY()&gt;$K319,"En retard","En cours")))</f>
        <v/>
      </c>
      <c r="N319" s="139">
        <f>IF(OR($F319="",$I319=""),"",MAX(0,IF($L319&lt;&gt;"",$L319,TODAY())-$K319))</f>
        <v/>
      </c>
      <c r="O319" s="135">
        <f>IF(OR($F319="",$I319=""),"",$N319*P_Amende)</f>
        <v/>
      </c>
      <c r="P319" s="133" t="n"/>
      <c r="R319">
        <f>IF($M319="En retard",$N319+ROW()/100000,"")</f>
        <v/>
      </c>
      <c r="S319">
        <f>IF(OR($F319="",$I319=""),"",$F319+ROW()/100000)</f>
        <v/>
      </c>
      <c r="T319">
        <f>IF($I319="","",IFERROR(INDEX(LIV_Cat,MATCH($I319,LIV_Code,0)),""))</f>
        <v/>
      </c>
    </row>
    <row r="320" ht="21" customHeight="1">
      <c r="A320" s="1" t="n"/>
      <c r="B320" s="1" t="n"/>
      <c r="C320" s="2" t="n"/>
      <c r="E320" s="130">
        <f>IF($F320="","","EMP-"&amp;TEXT(ROW()-6,"0000"))</f>
        <v/>
      </c>
      <c r="F320" s="134" t="n"/>
      <c r="G320" s="127" t="n"/>
      <c r="H320" s="130">
        <f>IF($G320="","",IFERROR(INDEX(MEM_Nom,MATCH($G320,MEM_ID,0)),"⚠ ID inconnu"))</f>
        <v/>
      </c>
      <c r="I320" s="127" t="n"/>
      <c r="J320" s="130">
        <f>IF($I320="","",IFERROR(INDEX(LIV_Titre,MATCH($I320,LIV_Code,0)),"⚠ Code inconnu"))</f>
        <v/>
      </c>
      <c r="K320" s="138">
        <f>IF($F320="","",$F320+P_Duree)</f>
        <v/>
      </c>
      <c r="L320" s="134" t="n"/>
      <c r="M320" s="130">
        <f>IF(OR($F320="",$I320=""),"",IF($L320&lt;&gt;"",IF($L320&gt;$K320,"Rendu en retard","Rendu"),IF(TODAY()&gt;$K320,"En retard","En cours")))</f>
        <v/>
      </c>
      <c r="N320" s="139">
        <f>IF(OR($F320="",$I320=""),"",MAX(0,IF($L320&lt;&gt;"",$L320,TODAY())-$K320))</f>
        <v/>
      </c>
      <c r="O320" s="135">
        <f>IF(OR($F320="",$I320=""),"",$N320*P_Amende)</f>
        <v/>
      </c>
      <c r="P320" s="133" t="n"/>
      <c r="R320">
        <f>IF($M320="En retard",$N320+ROW()/100000,"")</f>
        <v/>
      </c>
      <c r="S320">
        <f>IF(OR($F320="",$I320=""),"",$F320+ROW()/100000)</f>
        <v/>
      </c>
      <c r="T320">
        <f>IF($I320="","",IFERROR(INDEX(LIV_Cat,MATCH($I320,LIV_Code,0)),""))</f>
        <v/>
      </c>
    </row>
    <row r="321" ht="21" customHeight="1">
      <c r="A321" s="1" t="n"/>
      <c r="B321" s="1" t="n"/>
      <c r="C321" s="2" t="n"/>
      <c r="E321" s="130">
        <f>IF($F321="","","EMP-"&amp;TEXT(ROW()-6,"0000"))</f>
        <v/>
      </c>
      <c r="F321" s="134" t="n"/>
      <c r="G321" s="127" t="n"/>
      <c r="H321" s="130">
        <f>IF($G321="","",IFERROR(INDEX(MEM_Nom,MATCH($G321,MEM_ID,0)),"⚠ ID inconnu"))</f>
        <v/>
      </c>
      <c r="I321" s="127" t="n"/>
      <c r="J321" s="130">
        <f>IF($I321="","",IFERROR(INDEX(LIV_Titre,MATCH($I321,LIV_Code,0)),"⚠ Code inconnu"))</f>
        <v/>
      </c>
      <c r="K321" s="138">
        <f>IF($F321="","",$F321+P_Duree)</f>
        <v/>
      </c>
      <c r="L321" s="134" t="n"/>
      <c r="M321" s="130">
        <f>IF(OR($F321="",$I321=""),"",IF($L321&lt;&gt;"",IF($L321&gt;$K321,"Rendu en retard","Rendu"),IF(TODAY()&gt;$K321,"En retard","En cours")))</f>
        <v/>
      </c>
      <c r="N321" s="139">
        <f>IF(OR($F321="",$I321=""),"",MAX(0,IF($L321&lt;&gt;"",$L321,TODAY())-$K321))</f>
        <v/>
      </c>
      <c r="O321" s="135">
        <f>IF(OR($F321="",$I321=""),"",$N321*P_Amende)</f>
        <v/>
      </c>
      <c r="P321" s="133" t="n"/>
      <c r="R321">
        <f>IF($M321="En retard",$N321+ROW()/100000,"")</f>
        <v/>
      </c>
      <c r="S321">
        <f>IF(OR($F321="",$I321=""),"",$F321+ROW()/100000)</f>
        <v/>
      </c>
      <c r="T321">
        <f>IF($I321="","",IFERROR(INDEX(LIV_Cat,MATCH($I321,LIV_Code,0)),""))</f>
        <v/>
      </c>
    </row>
    <row r="322" ht="21" customHeight="1">
      <c r="A322" s="1" t="n"/>
      <c r="B322" s="1" t="n"/>
      <c r="C322" s="2" t="n"/>
      <c r="E322" s="130">
        <f>IF($F322="","","EMP-"&amp;TEXT(ROW()-6,"0000"))</f>
        <v/>
      </c>
      <c r="F322" s="134" t="n"/>
      <c r="G322" s="127" t="n"/>
      <c r="H322" s="130">
        <f>IF($G322="","",IFERROR(INDEX(MEM_Nom,MATCH($G322,MEM_ID,0)),"⚠ ID inconnu"))</f>
        <v/>
      </c>
      <c r="I322" s="127" t="n"/>
      <c r="J322" s="130">
        <f>IF($I322="","",IFERROR(INDEX(LIV_Titre,MATCH($I322,LIV_Code,0)),"⚠ Code inconnu"))</f>
        <v/>
      </c>
      <c r="K322" s="138">
        <f>IF($F322="","",$F322+P_Duree)</f>
        <v/>
      </c>
      <c r="L322" s="134" t="n"/>
      <c r="M322" s="130">
        <f>IF(OR($F322="",$I322=""),"",IF($L322&lt;&gt;"",IF($L322&gt;$K322,"Rendu en retard","Rendu"),IF(TODAY()&gt;$K322,"En retard","En cours")))</f>
        <v/>
      </c>
      <c r="N322" s="139">
        <f>IF(OR($F322="",$I322=""),"",MAX(0,IF($L322&lt;&gt;"",$L322,TODAY())-$K322))</f>
        <v/>
      </c>
      <c r="O322" s="135">
        <f>IF(OR($F322="",$I322=""),"",$N322*P_Amende)</f>
        <v/>
      </c>
      <c r="P322" s="133" t="n"/>
      <c r="R322">
        <f>IF($M322="En retard",$N322+ROW()/100000,"")</f>
        <v/>
      </c>
      <c r="S322">
        <f>IF(OR($F322="",$I322=""),"",$F322+ROW()/100000)</f>
        <v/>
      </c>
      <c r="T322">
        <f>IF($I322="","",IFERROR(INDEX(LIV_Cat,MATCH($I322,LIV_Code,0)),""))</f>
        <v/>
      </c>
    </row>
    <row r="323" ht="21" customHeight="1">
      <c r="A323" s="1" t="n"/>
      <c r="B323" s="1" t="n"/>
      <c r="C323" s="2" t="n"/>
      <c r="E323" s="130">
        <f>IF($F323="","","EMP-"&amp;TEXT(ROW()-6,"0000"))</f>
        <v/>
      </c>
      <c r="F323" s="134" t="n"/>
      <c r="G323" s="127" t="n"/>
      <c r="H323" s="130">
        <f>IF($G323="","",IFERROR(INDEX(MEM_Nom,MATCH($G323,MEM_ID,0)),"⚠ ID inconnu"))</f>
        <v/>
      </c>
      <c r="I323" s="127" t="n"/>
      <c r="J323" s="130">
        <f>IF($I323="","",IFERROR(INDEX(LIV_Titre,MATCH($I323,LIV_Code,0)),"⚠ Code inconnu"))</f>
        <v/>
      </c>
      <c r="K323" s="138">
        <f>IF($F323="","",$F323+P_Duree)</f>
        <v/>
      </c>
      <c r="L323" s="134" t="n"/>
      <c r="M323" s="130">
        <f>IF(OR($F323="",$I323=""),"",IF($L323&lt;&gt;"",IF($L323&gt;$K323,"Rendu en retard","Rendu"),IF(TODAY()&gt;$K323,"En retard","En cours")))</f>
        <v/>
      </c>
      <c r="N323" s="139">
        <f>IF(OR($F323="",$I323=""),"",MAX(0,IF($L323&lt;&gt;"",$L323,TODAY())-$K323))</f>
        <v/>
      </c>
      <c r="O323" s="135">
        <f>IF(OR($F323="",$I323=""),"",$N323*P_Amende)</f>
        <v/>
      </c>
      <c r="P323" s="133" t="n"/>
      <c r="R323">
        <f>IF($M323="En retard",$N323+ROW()/100000,"")</f>
        <v/>
      </c>
      <c r="S323">
        <f>IF(OR($F323="",$I323=""),"",$F323+ROW()/100000)</f>
        <v/>
      </c>
      <c r="T323">
        <f>IF($I323="","",IFERROR(INDEX(LIV_Cat,MATCH($I323,LIV_Code,0)),""))</f>
        <v/>
      </c>
    </row>
    <row r="324" ht="21" customHeight="1">
      <c r="A324" s="1" t="n"/>
      <c r="B324" s="1" t="n"/>
      <c r="C324" s="2" t="n"/>
      <c r="E324" s="130">
        <f>IF($F324="","","EMP-"&amp;TEXT(ROW()-6,"0000"))</f>
        <v/>
      </c>
      <c r="F324" s="134" t="n"/>
      <c r="G324" s="127" t="n"/>
      <c r="H324" s="130">
        <f>IF($G324="","",IFERROR(INDEX(MEM_Nom,MATCH($G324,MEM_ID,0)),"⚠ ID inconnu"))</f>
        <v/>
      </c>
      <c r="I324" s="127" t="n"/>
      <c r="J324" s="130">
        <f>IF($I324="","",IFERROR(INDEX(LIV_Titre,MATCH($I324,LIV_Code,0)),"⚠ Code inconnu"))</f>
        <v/>
      </c>
      <c r="K324" s="138">
        <f>IF($F324="","",$F324+P_Duree)</f>
        <v/>
      </c>
      <c r="L324" s="134" t="n"/>
      <c r="M324" s="130">
        <f>IF(OR($F324="",$I324=""),"",IF($L324&lt;&gt;"",IF($L324&gt;$K324,"Rendu en retard","Rendu"),IF(TODAY()&gt;$K324,"En retard","En cours")))</f>
        <v/>
      </c>
      <c r="N324" s="139">
        <f>IF(OR($F324="",$I324=""),"",MAX(0,IF($L324&lt;&gt;"",$L324,TODAY())-$K324))</f>
        <v/>
      </c>
      <c r="O324" s="135">
        <f>IF(OR($F324="",$I324=""),"",$N324*P_Amende)</f>
        <v/>
      </c>
      <c r="P324" s="133" t="n"/>
      <c r="R324">
        <f>IF($M324="En retard",$N324+ROW()/100000,"")</f>
        <v/>
      </c>
      <c r="S324">
        <f>IF(OR($F324="",$I324=""),"",$F324+ROW()/100000)</f>
        <v/>
      </c>
      <c r="T324">
        <f>IF($I324="","",IFERROR(INDEX(LIV_Cat,MATCH($I324,LIV_Code,0)),""))</f>
        <v/>
      </c>
    </row>
    <row r="325" ht="21" customHeight="1">
      <c r="A325" s="1" t="n"/>
      <c r="B325" s="1" t="n"/>
      <c r="C325" s="2" t="n"/>
      <c r="E325" s="130">
        <f>IF($F325="","","EMP-"&amp;TEXT(ROW()-6,"0000"))</f>
        <v/>
      </c>
      <c r="F325" s="134" t="n"/>
      <c r="G325" s="127" t="n"/>
      <c r="H325" s="130">
        <f>IF($G325="","",IFERROR(INDEX(MEM_Nom,MATCH($G325,MEM_ID,0)),"⚠ ID inconnu"))</f>
        <v/>
      </c>
      <c r="I325" s="127" t="n"/>
      <c r="J325" s="130">
        <f>IF($I325="","",IFERROR(INDEX(LIV_Titre,MATCH($I325,LIV_Code,0)),"⚠ Code inconnu"))</f>
        <v/>
      </c>
      <c r="K325" s="138">
        <f>IF($F325="","",$F325+P_Duree)</f>
        <v/>
      </c>
      <c r="L325" s="134" t="n"/>
      <c r="M325" s="130">
        <f>IF(OR($F325="",$I325=""),"",IF($L325&lt;&gt;"",IF($L325&gt;$K325,"Rendu en retard","Rendu"),IF(TODAY()&gt;$K325,"En retard","En cours")))</f>
        <v/>
      </c>
      <c r="N325" s="139">
        <f>IF(OR($F325="",$I325=""),"",MAX(0,IF($L325&lt;&gt;"",$L325,TODAY())-$K325))</f>
        <v/>
      </c>
      <c r="O325" s="135">
        <f>IF(OR($F325="",$I325=""),"",$N325*P_Amende)</f>
        <v/>
      </c>
      <c r="P325" s="133" t="n"/>
      <c r="R325">
        <f>IF($M325="En retard",$N325+ROW()/100000,"")</f>
        <v/>
      </c>
      <c r="S325">
        <f>IF(OR($F325="",$I325=""),"",$F325+ROW()/100000)</f>
        <v/>
      </c>
      <c r="T325">
        <f>IF($I325="","",IFERROR(INDEX(LIV_Cat,MATCH($I325,LIV_Code,0)),""))</f>
        <v/>
      </c>
    </row>
    <row r="326" ht="21" customHeight="1">
      <c r="A326" s="1" t="n"/>
      <c r="B326" s="1" t="n"/>
      <c r="C326" s="2" t="n"/>
      <c r="E326" s="130">
        <f>IF($F326="","","EMP-"&amp;TEXT(ROW()-6,"0000"))</f>
        <v/>
      </c>
      <c r="F326" s="134" t="n"/>
      <c r="G326" s="127" t="n"/>
      <c r="H326" s="130">
        <f>IF($G326="","",IFERROR(INDEX(MEM_Nom,MATCH($G326,MEM_ID,0)),"⚠ ID inconnu"))</f>
        <v/>
      </c>
      <c r="I326" s="127" t="n"/>
      <c r="J326" s="130">
        <f>IF($I326="","",IFERROR(INDEX(LIV_Titre,MATCH($I326,LIV_Code,0)),"⚠ Code inconnu"))</f>
        <v/>
      </c>
      <c r="K326" s="138">
        <f>IF($F326="","",$F326+P_Duree)</f>
        <v/>
      </c>
      <c r="L326" s="134" t="n"/>
      <c r="M326" s="130">
        <f>IF(OR($F326="",$I326=""),"",IF($L326&lt;&gt;"",IF($L326&gt;$K326,"Rendu en retard","Rendu"),IF(TODAY()&gt;$K326,"En retard","En cours")))</f>
        <v/>
      </c>
      <c r="N326" s="139">
        <f>IF(OR($F326="",$I326=""),"",MAX(0,IF($L326&lt;&gt;"",$L326,TODAY())-$K326))</f>
        <v/>
      </c>
      <c r="O326" s="135">
        <f>IF(OR($F326="",$I326=""),"",$N326*P_Amende)</f>
        <v/>
      </c>
      <c r="P326" s="133" t="n"/>
      <c r="R326">
        <f>IF($M326="En retard",$N326+ROW()/100000,"")</f>
        <v/>
      </c>
      <c r="S326">
        <f>IF(OR($F326="",$I326=""),"",$F326+ROW()/100000)</f>
        <v/>
      </c>
      <c r="T326">
        <f>IF($I326="","",IFERROR(INDEX(LIV_Cat,MATCH($I326,LIV_Code,0)),""))</f>
        <v/>
      </c>
    </row>
    <row r="327" ht="21" customHeight="1">
      <c r="A327" s="1" t="n"/>
      <c r="B327" s="1" t="n"/>
      <c r="C327" s="2" t="n"/>
      <c r="E327" s="130">
        <f>IF($F327="","","EMP-"&amp;TEXT(ROW()-6,"0000"))</f>
        <v/>
      </c>
      <c r="F327" s="134" t="n"/>
      <c r="G327" s="127" t="n"/>
      <c r="H327" s="130">
        <f>IF($G327="","",IFERROR(INDEX(MEM_Nom,MATCH($G327,MEM_ID,0)),"⚠ ID inconnu"))</f>
        <v/>
      </c>
      <c r="I327" s="127" t="n"/>
      <c r="J327" s="130">
        <f>IF($I327="","",IFERROR(INDEX(LIV_Titre,MATCH($I327,LIV_Code,0)),"⚠ Code inconnu"))</f>
        <v/>
      </c>
      <c r="K327" s="138">
        <f>IF($F327="","",$F327+P_Duree)</f>
        <v/>
      </c>
      <c r="L327" s="134" t="n"/>
      <c r="M327" s="130">
        <f>IF(OR($F327="",$I327=""),"",IF($L327&lt;&gt;"",IF($L327&gt;$K327,"Rendu en retard","Rendu"),IF(TODAY()&gt;$K327,"En retard","En cours")))</f>
        <v/>
      </c>
      <c r="N327" s="139">
        <f>IF(OR($F327="",$I327=""),"",MAX(0,IF($L327&lt;&gt;"",$L327,TODAY())-$K327))</f>
        <v/>
      </c>
      <c r="O327" s="135">
        <f>IF(OR($F327="",$I327=""),"",$N327*P_Amende)</f>
        <v/>
      </c>
      <c r="P327" s="133" t="n"/>
      <c r="R327">
        <f>IF($M327="En retard",$N327+ROW()/100000,"")</f>
        <v/>
      </c>
      <c r="S327">
        <f>IF(OR($F327="",$I327=""),"",$F327+ROW()/100000)</f>
        <v/>
      </c>
      <c r="T327">
        <f>IF($I327="","",IFERROR(INDEX(LIV_Cat,MATCH($I327,LIV_Code,0)),""))</f>
        <v/>
      </c>
    </row>
    <row r="328" ht="21" customHeight="1">
      <c r="A328" s="1" t="n"/>
      <c r="B328" s="1" t="n"/>
      <c r="C328" s="2" t="n"/>
      <c r="E328" s="130">
        <f>IF($F328="","","EMP-"&amp;TEXT(ROW()-6,"0000"))</f>
        <v/>
      </c>
      <c r="F328" s="134" t="n"/>
      <c r="G328" s="127" t="n"/>
      <c r="H328" s="130">
        <f>IF($G328="","",IFERROR(INDEX(MEM_Nom,MATCH($G328,MEM_ID,0)),"⚠ ID inconnu"))</f>
        <v/>
      </c>
      <c r="I328" s="127" t="n"/>
      <c r="J328" s="130">
        <f>IF($I328="","",IFERROR(INDEX(LIV_Titre,MATCH($I328,LIV_Code,0)),"⚠ Code inconnu"))</f>
        <v/>
      </c>
      <c r="K328" s="138">
        <f>IF($F328="","",$F328+P_Duree)</f>
        <v/>
      </c>
      <c r="L328" s="134" t="n"/>
      <c r="M328" s="130">
        <f>IF(OR($F328="",$I328=""),"",IF($L328&lt;&gt;"",IF($L328&gt;$K328,"Rendu en retard","Rendu"),IF(TODAY()&gt;$K328,"En retard","En cours")))</f>
        <v/>
      </c>
      <c r="N328" s="139">
        <f>IF(OR($F328="",$I328=""),"",MAX(0,IF($L328&lt;&gt;"",$L328,TODAY())-$K328))</f>
        <v/>
      </c>
      <c r="O328" s="135">
        <f>IF(OR($F328="",$I328=""),"",$N328*P_Amende)</f>
        <v/>
      </c>
      <c r="P328" s="133" t="n"/>
      <c r="R328">
        <f>IF($M328="En retard",$N328+ROW()/100000,"")</f>
        <v/>
      </c>
      <c r="S328">
        <f>IF(OR($F328="",$I328=""),"",$F328+ROW()/100000)</f>
        <v/>
      </c>
      <c r="T328">
        <f>IF($I328="","",IFERROR(INDEX(LIV_Cat,MATCH($I328,LIV_Code,0)),""))</f>
        <v/>
      </c>
    </row>
    <row r="329" ht="21" customHeight="1">
      <c r="A329" s="1" t="n"/>
      <c r="B329" s="1" t="n"/>
      <c r="C329" s="2" t="n"/>
      <c r="E329" s="130">
        <f>IF($F329="","","EMP-"&amp;TEXT(ROW()-6,"0000"))</f>
        <v/>
      </c>
      <c r="F329" s="134" t="n"/>
      <c r="G329" s="127" t="n"/>
      <c r="H329" s="130">
        <f>IF($G329="","",IFERROR(INDEX(MEM_Nom,MATCH($G329,MEM_ID,0)),"⚠ ID inconnu"))</f>
        <v/>
      </c>
      <c r="I329" s="127" t="n"/>
      <c r="J329" s="130">
        <f>IF($I329="","",IFERROR(INDEX(LIV_Titre,MATCH($I329,LIV_Code,0)),"⚠ Code inconnu"))</f>
        <v/>
      </c>
      <c r="K329" s="138">
        <f>IF($F329="","",$F329+P_Duree)</f>
        <v/>
      </c>
      <c r="L329" s="134" t="n"/>
      <c r="M329" s="130">
        <f>IF(OR($F329="",$I329=""),"",IF($L329&lt;&gt;"",IF($L329&gt;$K329,"Rendu en retard","Rendu"),IF(TODAY()&gt;$K329,"En retard","En cours")))</f>
        <v/>
      </c>
      <c r="N329" s="139">
        <f>IF(OR($F329="",$I329=""),"",MAX(0,IF($L329&lt;&gt;"",$L329,TODAY())-$K329))</f>
        <v/>
      </c>
      <c r="O329" s="135">
        <f>IF(OR($F329="",$I329=""),"",$N329*P_Amende)</f>
        <v/>
      </c>
      <c r="P329" s="133" t="n"/>
      <c r="R329">
        <f>IF($M329="En retard",$N329+ROW()/100000,"")</f>
        <v/>
      </c>
      <c r="S329">
        <f>IF(OR($F329="",$I329=""),"",$F329+ROW()/100000)</f>
        <v/>
      </c>
      <c r="T329">
        <f>IF($I329="","",IFERROR(INDEX(LIV_Cat,MATCH($I329,LIV_Code,0)),""))</f>
        <v/>
      </c>
    </row>
    <row r="330" ht="21" customHeight="1">
      <c r="A330" s="1" t="n"/>
      <c r="B330" s="1" t="n"/>
      <c r="C330" s="2" t="n"/>
      <c r="E330" s="130">
        <f>IF($F330="","","EMP-"&amp;TEXT(ROW()-6,"0000"))</f>
        <v/>
      </c>
      <c r="F330" s="134" t="n"/>
      <c r="G330" s="127" t="n"/>
      <c r="H330" s="130">
        <f>IF($G330="","",IFERROR(INDEX(MEM_Nom,MATCH($G330,MEM_ID,0)),"⚠ ID inconnu"))</f>
        <v/>
      </c>
      <c r="I330" s="127" t="n"/>
      <c r="J330" s="130">
        <f>IF($I330="","",IFERROR(INDEX(LIV_Titre,MATCH($I330,LIV_Code,0)),"⚠ Code inconnu"))</f>
        <v/>
      </c>
      <c r="K330" s="138">
        <f>IF($F330="","",$F330+P_Duree)</f>
        <v/>
      </c>
      <c r="L330" s="134" t="n"/>
      <c r="M330" s="130">
        <f>IF(OR($F330="",$I330=""),"",IF($L330&lt;&gt;"",IF($L330&gt;$K330,"Rendu en retard","Rendu"),IF(TODAY()&gt;$K330,"En retard","En cours")))</f>
        <v/>
      </c>
      <c r="N330" s="139">
        <f>IF(OR($F330="",$I330=""),"",MAX(0,IF($L330&lt;&gt;"",$L330,TODAY())-$K330))</f>
        <v/>
      </c>
      <c r="O330" s="135">
        <f>IF(OR($F330="",$I330=""),"",$N330*P_Amende)</f>
        <v/>
      </c>
      <c r="P330" s="133" t="n"/>
      <c r="R330">
        <f>IF($M330="En retard",$N330+ROW()/100000,"")</f>
        <v/>
      </c>
      <c r="S330">
        <f>IF(OR($F330="",$I330=""),"",$F330+ROW()/100000)</f>
        <v/>
      </c>
      <c r="T330">
        <f>IF($I330="","",IFERROR(INDEX(LIV_Cat,MATCH($I330,LIV_Code,0)),""))</f>
        <v/>
      </c>
    </row>
    <row r="331" ht="21" customHeight="1">
      <c r="A331" s="1" t="n"/>
      <c r="B331" s="1" t="n"/>
      <c r="C331" s="2" t="n"/>
      <c r="E331" s="130">
        <f>IF($F331="","","EMP-"&amp;TEXT(ROW()-6,"0000"))</f>
        <v/>
      </c>
      <c r="F331" s="134" t="n"/>
      <c r="G331" s="127" t="n"/>
      <c r="H331" s="130">
        <f>IF($G331="","",IFERROR(INDEX(MEM_Nom,MATCH($G331,MEM_ID,0)),"⚠ ID inconnu"))</f>
        <v/>
      </c>
      <c r="I331" s="127" t="n"/>
      <c r="J331" s="130">
        <f>IF($I331="","",IFERROR(INDEX(LIV_Titre,MATCH($I331,LIV_Code,0)),"⚠ Code inconnu"))</f>
        <v/>
      </c>
      <c r="K331" s="138">
        <f>IF($F331="","",$F331+P_Duree)</f>
        <v/>
      </c>
      <c r="L331" s="134" t="n"/>
      <c r="M331" s="130">
        <f>IF(OR($F331="",$I331=""),"",IF($L331&lt;&gt;"",IF($L331&gt;$K331,"Rendu en retard","Rendu"),IF(TODAY()&gt;$K331,"En retard","En cours")))</f>
        <v/>
      </c>
      <c r="N331" s="139">
        <f>IF(OR($F331="",$I331=""),"",MAX(0,IF($L331&lt;&gt;"",$L331,TODAY())-$K331))</f>
        <v/>
      </c>
      <c r="O331" s="135">
        <f>IF(OR($F331="",$I331=""),"",$N331*P_Amende)</f>
        <v/>
      </c>
      <c r="P331" s="133" t="n"/>
      <c r="R331">
        <f>IF($M331="En retard",$N331+ROW()/100000,"")</f>
        <v/>
      </c>
      <c r="S331">
        <f>IF(OR($F331="",$I331=""),"",$F331+ROW()/100000)</f>
        <v/>
      </c>
      <c r="T331">
        <f>IF($I331="","",IFERROR(INDEX(LIV_Cat,MATCH($I331,LIV_Code,0)),""))</f>
        <v/>
      </c>
    </row>
    <row r="332" ht="21" customHeight="1">
      <c r="A332" s="1" t="n"/>
      <c r="B332" s="1" t="n"/>
      <c r="C332" s="2" t="n"/>
      <c r="E332" s="130">
        <f>IF($F332="","","EMP-"&amp;TEXT(ROW()-6,"0000"))</f>
        <v/>
      </c>
      <c r="F332" s="134" t="n"/>
      <c r="G332" s="127" t="n"/>
      <c r="H332" s="130">
        <f>IF($G332="","",IFERROR(INDEX(MEM_Nom,MATCH($G332,MEM_ID,0)),"⚠ ID inconnu"))</f>
        <v/>
      </c>
      <c r="I332" s="127" t="n"/>
      <c r="J332" s="130">
        <f>IF($I332="","",IFERROR(INDEX(LIV_Titre,MATCH($I332,LIV_Code,0)),"⚠ Code inconnu"))</f>
        <v/>
      </c>
      <c r="K332" s="138">
        <f>IF($F332="","",$F332+P_Duree)</f>
        <v/>
      </c>
      <c r="L332" s="134" t="n"/>
      <c r="M332" s="130">
        <f>IF(OR($F332="",$I332=""),"",IF($L332&lt;&gt;"",IF($L332&gt;$K332,"Rendu en retard","Rendu"),IF(TODAY()&gt;$K332,"En retard","En cours")))</f>
        <v/>
      </c>
      <c r="N332" s="139">
        <f>IF(OR($F332="",$I332=""),"",MAX(0,IF($L332&lt;&gt;"",$L332,TODAY())-$K332))</f>
        <v/>
      </c>
      <c r="O332" s="135">
        <f>IF(OR($F332="",$I332=""),"",$N332*P_Amende)</f>
        <v/>
      </c>
      <c r="P332" s="133" t="n"/>
      <c r="R332">
        <f>IF($M332="En retard",$N332+ROW()/100000,"")</f>
        <v/>
      </c>
      <c r="S332">
        <f>IF(OR($F332="",$I332=""),"",$F332+ROW()/100000)</f>
        <v/>
      </c>
      <c r="T332">
        <f>IF($I332="","",IFERROR(INDEX(LIV_Cat,MATCH($I332,LIV_Code,0)),""))</f>
        <v/>
      </c>
    </row>
    <row r="333" ht="21" customHeight="1">
      <c r="A333" s="1" t="n"/>
      <c r="B333" s="1" t="n"/>
      <c r="C333" s="2" t="n"/>
      <c r="E333" s="130">
        <f>IF($F333="","","EMP-"&amp;TEXT(ROW()-6,"0000"))</f>
        <v/>
      </c>
      <c r="F333" s="134" t="n"/>
      <c r="G333" s="127" t="n"/>
      <c r="H333" s="130">
        <f>IF($G333="","",IFERROR(INDEX(MEM_Nom,MATCH($G333,MEM_ID,0)),"⚠ ID inconnu"))</f>
        <v/>
      </c>
      <c r="I333" s="127" t="n"/>
      <c r="J333" s="130">
        <f>IF($I333="","",IFERROR(INDEX(LIV_Titre,MATCH($I333,LIV_Code,0)),"⚠ Code inconnu"))</f>
        <v/>
      </c>
      <c r="K333" s="138">
        <f>IF($F333="","",$F333+P_Duree)</f>
        <v/>
      </c>
      <c r="L333" s="134" t="n"/>
      <c r="M333" s="130">
        <f>IF(OR($F333="",$I333=""),"",IF($L333&lt;&gt;"",IF($L333&gt;$K333,"Rendu en retard","Rendu"),IF(TODAY()&gt;$K333,"En retard","En cours")))</f>
        <v/>
      </c>
      <c r="N333" s="139">
        <f>IF(OR($F333="",$I333=""),"",MAX(0,IF($L333&lt;&gt;"",$L333,TODAY())-$K333))</f>
        <v/>
      </c>
      <c r="O333" s="135">
        <f>IF(OR($F333="",$I333=""),"",$N333*P_Amende)</f>
        <v/>
      </c>
      <c r="P333" s="133" t="n"/>
      <c r="R333">
        <f>IF($M333="En retard",$N333+ROW()/100000,"")</f>
        <v/>
      </c>
      <c r="S333">
        <f>IF(OR($F333="",$I333=""),"",$F333+ROW()/100000)</f>
        <v/>
      </c>
      <c r="T333">
        <f>IF($I333="","",IFERROR(INDEX(LIV_Cat,MATCH($I333,LIV_Code,0)),""))</f>
        <v/>
      </c>
    </row>
    <row r="334" ht="21" customHeight="1">
      <c r="A334" s="1" t="n"/>
      <c r="B334" s="1" t="n"/>
      <c r="C334" s="2" t="n"/>
      <c r="E334" s="130">
        <f>IF($F334="","","EMP-"&amp;TEXT(ROW()-6,"0000"))</f>
        <v/>
      </c>
      <c r="F334" s="134" t="n"/>
      <c r="G334" s="127" t="n"/>
      <c r="H334" s="130">
        <f>IF($G334="","",IFERROR(INDEX(MEM_Nom,MATCH($G334,MEM_ID,0)),"⚠ ID inconnu"))</f>
        <v/>
      </c>
      <c r="I334" s="127" t="n"/>
      <c r="J334" s="130">
        <f>IF($I334="","",IFERROR(INDEX(LIV_Titre,MATCH($I334,LIV_Code,0)),"⚠ Code inconnu"))</f>
        <v/>
      </c>
      <c r="K334" s="138">
        <f>IF($F334="","",$F334+P_Duree)</f>
        <v/>
      </c>
      <c r="L334" s="134" t="n"/>
      <c r="M334" s="130">
        <f>IF(OR($F334="",$I334=""),"",IF($L334&lt;&gt;"",IF($L334&gt;$K334,"Rendu en retard","Rendu"),IF(TODAY()&gt;$K334,"En retard","En cours")))</f>
        <v/>
      </c>
      <c r="N334" s="139">
        <f>IF(OR($F334="",$I334=""),"",MAX(0,IF($L334&lt;&gt;"",$L334,TODAY())-$K334))</f>
        <v/>
      </c>
      <c r="O334" s="135">
        <f>IF(OR($F334="",$I334=""),"",$N334*P_Amende)</f>
        <v/>
      </c>
      <c r="P334" s="133" t="n"/>
      <c r="R334">
        <f>IF($M334="En retard",$N334+ROW()/100000,"")</f>
        <v/>
      </c>
      <c r="S334">
        <f>IF(OR($F334="",$I334=""),"",$F334+ROW()/100000)</f>
        <v/>
      </c>
      <c r="T334">
        <f>IF($I334="","",IFERROR(INDEX(LIV_Cat,MATCH($I334,LIV_Code,0)),""))</f>
        <v/>
      </c>
    </row>
    <row r="335" ht="21" customHeight="1">
      <c r="A335" s="1" t="n"/>
      <c r="B335" s="1" t="n"/>
      <c r="C335" s="2" t="n"/>
      <c r="E335" s="130">
        <f>IF($F335="","","EMP-"&amp;TEXT(ROW()-6,"0000"))</f>
        <v/>
      </c>
      <c r="F335" s="134" t="n"/>
      <c r="G335" s="127" t="n"/>
      <c r="H335" s="130">
        <f>IF($G335="","",IFERROR(INDEX(MEM_Nom,MATCH($G335,MEM_ID,0)),"⚠ ID inconnu"))</f>
        <v/>
      </c>
      <c r="I335" s="127" t="n"/>
      <c r="J335" s="130">
        <f>IF($I335="","",IFERROR(INDEX(LIV_Titre,MATCH($I335,LIV_Code,0)),"⚠ Code inconnu"))</f>
        <v/>
      </c>
      <c r="K335" s="138">
        <f>IF($F335="","",$F335+P_Duree)</f>
        <v/>
      </c>
      <c r="L335" s="134" t="n"/>
      <c r="M335" s="130">
        <f>IF(OR($F335="",$I335=""),"",IF($L335&lt;&gt;"",IF($L335&gt;$K335,"Rendu en retard","Rendu"),IF(TODAY()&gt;$K335,"En retard","En cours")))</f>
        <v/>
      </c>
      <c r="N335" s="139">
        <f>IF(OR($F335="",$I335=""),"",MAX(0,IF($L335&lt;&gt;"",$L335,TODAY())-$K335))</f>
        <v/>
      </c>
      <c r="O335" s="135">
        <f>IF(OR($F335="",$I335=""),"",$N335*P_Amende)</f>
        <v/>
      </c>
      <c r="P335" s="133" t="n"/>
      <c r="R335">
        <f>IF($M335="En retard",$N335+ROW()/100000,"")</f>
        <v/>
      </c>
      <c r="S335">
        <f>IF(OR($F335="",$I335=""),"",$F335+ROW()/100000)</f>
        <v/>
      </c>
      <c r="T335">
        <f>IF($I335="","",IFERROR(INDEX(LIV_Cat,MATCH($I335,LIV_Code,0)),""))</f>
        <v/>
      </c>
    </row>
    <row r="336" ht="21" customHeight="1">
      <c r="A336" s="1" t="n"/>
      <c r="B336" s="1" t="n"/>
      <c r="C336" s="2" t="n"/>
      <c r="E336" s="130">
        <f>IF($F336="","","EMP-"&amp;TEXT(ROW()-6,"0000"))</f>
        <v/>
      </c>
      <c r="F336" s="134" t="n"/>
      <c r="G336" s="127" t="n"/>
      <c r="H336" s="130">
        <f>IF($G336="","",IFERROR(INDEX(MEM_Nom,MATCH($G336,MEM_ID,0)),"⚠ ID inconnu"))</f>
        <v/>
      </c>
      <c r="I336" s="127" t="n"/>
      <c r="J336" s="130">
        <f>IF($I336="","",IFERROR(INDEX(LIV_Titre,MATCH($I336,LIV_Code,0)),"⚠ Code inconnu"))</f>
        <v/>
      </c>
      <c r="K336" s="138">
        <f>IF($F336="","",$F336+P_Duree)</f>
        <v/>
      </c>
      <c r="L336" s="134" t="n"/>
      <c r="M336" s="130">
        <f>IF(OR($F336="",$I336=""),"",IF($L336&lt;&gt;"",IF($L336&gt;$K336,"Rendu en retard","Rendu"),IF(TODAY()&gt;$K336,"En retard","En cours")))</f>
        <v/>
      </c>
      <c r="N336" s="139">
        <f>IF(OR($F336="",$I336=""),"",MAX(0,IF($L336&lt;&gt;"",$L336,TODAY())-$K336))</f>
        <v/>
      </c>
      <c r="O336" s="135">
        <f>IF(OR($F336="",$I336=""),"",$N336*P_Amende)</f>
        <v/>
      </c>
      <c r="P336" s="133" t="n"/>
      <c r="R336">
        <f>IF($M336="En retard",$N336+ROW()/100000,"")</f>
        <v/>
      </c>
      <c r="S336">
        <f>IF(OR($F336="",$I336=""),"",$F336+ROW()/100000)</f>
        <v/>
      </c>
      <c r="T336">
        <f>IF($I336="","",IFERROR(INDEX(LIV_Cat,MATCH($I336,LIV_Code,0)),""))</f>
        <v/>
      </c>
    </row>
    <row r="337" ht="21" customHeight="1">
      <c r="A337" s="1" t="n"/>
      <c r="B337" s="1" t="n"/>
      <c r="C337" s="2" t="n"/>
      <c r="E337" s="130">
        <f>IF($F337="","","EMP-"&amp;TEXT(ROW()-6,"0000"))</f>
        <v/>
      </c>
      <c r="F337" s="134" t="n"/>
      <c r="G337" s="127" t="n"/>
      <c r="H337" s="130">
        <f>IF($G337="","",IFERROR(INDEX(MEM_Nom,MATCH($G337,MEM_ID,0)),"⚠ ID inconnu"))</f>
        <v/>
      </c>
      <c r="I337" s="127" t="n"/>
      <c r="J337" s="130">
        <f>IF($I337="","",IFERROR(INDEX(LIV_Titre,MATCH($I337,LIV_Code,0)),"⚠ Code inconnu"))</f>
        <v/>
      </c>
      <c r="K337" s="138">
        <f>IF($F337="","",$F337+P_Duree)</f>
        <v/>
      </c>
      <c r="L337" s="134" t="n"/>
      <c r="M337" s="130">
        <f>IF(OR($F337="",$I337=""),"",IF($L337&lt;&gt;"",IF($L337&gt;$K337,"Rendu en retard","Rendu"),IF(TODAY()&gt;$K337,"En retard","En cours")))</f>
        <v/>
      </c>
      <c r="N337" s="139">
        <f>IF(OR($F337="",$I337=""),"",MAX(0,IF($L337&lt;&gt;"",$L337,TODAY())-$K337))</f>
        <v/>
      </c>
      <c r="O337" s="135">
        <f>IF(OR($F337="",$I337=""),"",$N337*P_Amende)</f>
        <v/>
      </c>
      <c r="P337" s="133" t="n"/>
      <c r="R337">
        <f>IF($M337="En retard",$N337+ROW()/100000,"")</f>
        <v/>
      </c>
      <c r="S337">
        <f>IF(OR($F337="",$I337=""),"",$F337+ROW()/100000)</f>
        <v/>
      </c>
      <c r="T337">
        <f>IF($I337="","",IFERROR(INDEX(LIV_Cat,MATCH($I337,LIV_Code,0)),""))</f>
        <v/>
      </c>
    </row>
    <row r="338" ht="21" customHeight="1">
      <c r="A338" s="1" t="n"/>
      <c r="B338" s="1" t="n"/>
      <c r="C338" s="2" t="n"/>
      <c r="E338" s="130">
        <f>IF($F338="","","EMP-"&amp;TEXT(ROW()-6,"0000"))</f>
        <v/>
      </c>
      <c r="F338" s="134" t="n"/>
      <c r="G338" s="127" t="n"/>
      <c r="H338" s="130">
        <f>IF($G338="","",IFERROR(INDEX(MEM_Nom,MATCH($G338,MEM_ID,0)),"⚠ ID inconnu"))</f>
        <v/>
      </c>
      <c r="I338" s="127" t="n"/>
      <c r="J338" s="130">
        <f>IF($I338="","",IFERROR(INDEX(LIV_Titre,MATCH($I338,LIV_Code,0)),"⚠ Code inconnu"))</f>
        <v/>
      </c>
      <c r="K338" s="138">
        <f>IF($F338="","",$F338+P_Duree)</f>
        <v/>
      </c>
      <c r="L338" s="134" t="n"/>
      <c r="M338" s="130">
        <f>IF(OR($F338="",$I338=""),"",IF($L338&lt;&gt;"",IF($L338&gt;$K338,"Rendu en retard","Rendu"),IF(TODAY()&gt;$K338,"En retard","En cours")))</f>
        <v/>
      </c>
      <c r="N338" s="139">
        <f>IF(OR($F338="",$I338=""),"",MAX(0,IF($L338&lt;&gt;"",$L338,TODAY())-$K338))</f>
        <v/>
      </c>
      <c r="O338" s="135">
        <f>IF(OR($F338="",$I338=""),"",$N338*P_Amende)</f>
        <v/>
      </c>
      <c r="P338" s="133" t="n"/>
      <c r="R338">
        <f>IF($M338="En retard",$N338+ROW()/100000,"")</f>
        <v/>
      </c>
      <c r="S338">
        <f>IF(OR($F338="",$I338=""),"",$F338+ROW()/100000)</f>
        <v/>
      </c>
      <c r="T338">
        <f>IF($I338="","",IFERROR(INDEX(LIV_Cat,MATCH($I338,LIV_Code,0)),""))</f>
        <v/>
      </c>
    </row>
    <row r="339" ht="21" customHeight="1">
      <c r="A339" s="1" t="n"/>
      <c r="B339" s="1" t="n"/>
      <c r="C339" s="2" t="n"/>
      <c r="E339" s="130">
        <f>IF($F339="","","EMP-"&amp;TEXT(ROW()-6,"0000"))</f>
        <v/>
      </c>
      <c r="F339" s="134" t="n"/>
      <c r="G339" s="127" t="n"/>
      <c r="H339" s="130">
        <f>IF($G339="","",IFERROR(INDEX(MEM_Nom,MATCH($G339,MEM_ID,0)),"⚠ ID inconnu"))</f>
        <v/>
      </c>
      <c r="I339" s="127" t="n"/>
      <c r="J339" s="130">
        <f>IF($I339="","",IFERROR(INDEX(LIV_Titre,MATCH($I339,LIV_Code,0)),"⚠ Code inconnu"))</f>
        <v/>
      </c>
      <c r="K339" s="138">
        <f>IF($F339="","",$F339+P_Duree)</f>
        <v/>
      </c>
      <c r="L339" s="134" t="n"/>
      <c r="M339" s="130">
        <f>IF(OR($F339="",$I339=""),"",IF($L339&lt;&gt;"",IF($L339&gt;$K339,"Rendu en retard","Rendu"),IF(TODAY()&gt;$K339,"En retard","En cours")))</f>
        <v/>
      </c>
      <c r="N339" s="139">
        <f>IF(OR($F339="",$I339=""),"",MAX(0,IF($L339&lt;&gt;"",$L339,TODAY())-$K339))</f>
        <v/>
      </c>
      <c r="O339" s="135">
        <f>IF(OR($F339="",$I339=""),"",$N339*P_Amende)</f>
        <v/>
      </c>
      <c r="P339" s="133" t="n"/>
      <c r="R339">
        <f>IF($M339="En retard",$N339+ROW()/100000,"")</f>
        <v/>
      </c>
      <c r="S339">
        <f>IF(OR($F339="",$I339=""),"",$F339+ROW()/100000)</f>
        <v/>
      </c>
      <c r="T339">
        <f>IF($I339="","",IFERROR(INDEX(LIV_Cat,MATCH($I339,LIV_Code,0)),""))</f>
        <v/>
      </c>
    </row>
    <row r="340" ht="21" customHeight="1">
      <c r="A340" s="1" t="n"/>
      <c r="B340" s="1" t="n"/>
      <c r="C340" s="2" t="n"/>
      <c r="E340" s="130">
        <f>IF($F340="","","EMP-"&amp;TEXT(ROW()-6,"0000"))</f>
        <v/>
      </c>
      <c r="F340" s="134" t="n"/>
      <c r="G340" s="127" t="n"/>
      <c r="H340" s="130">
        <f>IF($G340="","",IFERROR(INDEX(MEM_Nom,MATCH($G340,MEM_ID,0)),"⚠ ID inconnu"))</f>
        <v/>
      </c>
      <c r="I340" s="127" t="n"/>
      <c r="J340" s="130">
        <f>IF($I340="","",IFERROR(INDEX(LIV_Titre,MATCH($I340,LIV_Code,0)),"⚠ Code inconnu"))</f>
        <v/>
      </c>
      <c r="K340" s="138">
        <f>IF($F340="","",$F340+P_Duree)</f>
        <v/>
      </c>
      <c r="L340" s="134" t="n"/>
      <c r="M340" s="130">
        <f>IF(OR($F340="",$I340=""),"",IF($L340&lt;&gt;"",IF($L340&gt;$K340,"Rendu en retard","Rendu"),IF(TODAY()&gt;$K340,"En retard","En cours")))</f>
        <v/>
      </c>
      <c r="N340" s="139">
        <f>IF(OR($F340="",$I340=""),"",MAX(0,IF($L340&lt;&gt;"",$L340,TODAY())-$K340))</f>
        <v/>
      </c>
      <c r="O340" s="135">
        <f>IF(OR($F340="",$I340=""),"",$N340*P_Amende)</f>
        <v/>
      </c>
      <c r="P340" s="133" t="n"/>
      <c r="R340">
        <f>IF($M340="En retard",$N340+ROW()/100000,"")</f>
        <v/>
      </c>
      <c r="S340">
        <f>IF(OR($F340="",$I340=""),"",$F340+ROW()/100000)</f>
        <v/>
      </c>
      <c r="T340">
        <f>IF($I340="","",IFERROR(INDEX(LIV_Cat,MATCH($I340,LIV_Code,0)),""))</f>
        <v/>
      </c>
    </row>
    <row r="341" ht="21" customHeight="1">
      <c r="A341" s="1" t="n"/>
      <c r="B341" s="1" t="n"/>
      <c r="C341" s="2" t="n"/>
      <c r="E341" s="130">
        <f>IF($F341="","","EMP-"&amp;TEXT(ROW()-6,"0000"))</f>
        <v/>
      </c>
      <c r="F341" s="134" t="n"/>
      <c r="G341" s="127" t="n"/>
      <c r="H341" s="130">
        <f>IF($G341="","",IFERROR(INDEX(MEM_Nom,MATCH($G341,MEM_ID,0)),"⚠ ID inconnu"))</f>
        <v/>
      </c>
      <c r="I341" s="127" t="n"/>
      <c r="J341" s="130">
        <f>IF($I341="","",IFERROR(INDEX(LIV_Titre,MATCH($I341,LIV_Code,0)),"⚠ Code inconnu"))</f>
        <v/>
      </c>
      <c r="K341" s="138">
        <f>IF($F341="","",$F341+P_Duree)</f>
        <v/>
      </c>
      <c r="L341" s="134" t="n"/>
      <c r="M341" s="130">
        <f>IF(OR($F341="",$I341=""),"",IF($L341&lt;&gt;"",IF($L341&gt;$K341,"Rendu en retard","Rendu"),IF(TODAY()&gt;$K341,"En retard","En cours")))</f>
        <v/>
      </c>
      <c r="N341" s="139">
        <f>IF(OR($F341="",$I341=""),"",MAX(0,IF($L341&lt;&gt;"",$L341,TODAY())-$K341))</f>
        <v/>
      </c>
      <c r="O341" s="135">
        <f>IF(OR($F341="",$I341=""),"",$N341*P_Amende)</f>
        <v/>
      </c>
      <c r="P341" s="133" t="n"/>
      <c r="R341">
        <f>IF($M341="En retard",$N341+ROW()/100000,"")</f>
        <v/>
      </c>
      <c r="S341">
        <f>IF(OR($F341="",$I341=""),"",$F341+ROW()/100000)</f>
        <v/>
      </c>
      <c r="T341">
        <f>IF($I341="","",IFERROR(INDEX(LIV_Cat,MATCH($I341,LIV_Code,0)),""))</f>
        <v/>
      </c>
    </row>
    <row r="342" ht="21" customHeight="1">
      <c r="A342" s="1" t="n"/>
      <c r="B342" s="1" t="n"/>
      <c r="C342" s="2" t="n"/>
      <c r="E342" s="130">
        <f>IF($F342="","","EMP-"&amp;TEXT(ROW()-6,"0000"))</f>
        <v/>
      </c>
      <c r="F342" s="134" t="n"/>
      <c r="G342" s="127" t="n"/>
      <c r="H342" s="130">
        <f>IF($G342="","",IFERROR(INDEX(MEM_Nom,MATCH($G342,MEM_ID,0)),"⚠ ID inconnu"))</f>
        <v/>
      </c>
      <c r="I342" s="127" t="n"/>
      <c r="J342" s="130">
        <f>IF($I342="","",IFERROR(INDEX(LIV_Titre,MATCH($I342,LIV_Code,0)),"⚠ Code inconnu"))</f>
        <v/>
      </c>
      <c r="K342" s="138">
        <f>IF($F342="","",$F342+P_Duree)</f>
        <v/>
      </c>
      <c r="L342" s="134" t="n"/>
      <c r="M342" s="130">
        <f>IF(OR($F342="",$I342=""),"",IF($L342&lt;&gt;"",IF($L342&gt;$K342,"Rendu en retard","Rendu"),IF(TODAY()&gt;$K342,"En retard","En cours")))</f>
        <v/>
      </c>
      <c r="N342" s="139">
        <f>IF(OR($F342="",$I342=""),"",MAX(0,IF($L342&lt;&gt;"",$L342,TODAY())-$K342))</f>
        <v/>
      </c>
      <c r="O342" s="135">
        <f>IF(OR($F342="",$I342=""),"",$N342*P_Amende)</f>
        <v/>
      </c>
      <c r="P342" s="133" t="n"/>
      <c r="R342">
        <f>IF($M342="En retard",$N342+ROW()/100000,"")</f>
        <v/>
      </c>
      <c r="S342">
        <f>IF(OR($F342="",$I342=""),"",$F342+ROW()/100000)</f>
        <v/>
      </c>
      <c r="T342">
        <f>IF($I342="","",IFERROR(INDEX(LIV_Cat,MATCH($I342,LIV_Code,0)),""))</f>
        <v/>
      </c>
    </row>
    <row r="343" ht="21" customHeight="1">
      <c r="A343" s="1" t="n"/>
      <c r="B343" s="1" t="n"/>
      <c r="C343" s="2" t="n"/>
      <c r="E343" s="130">
        <f>IF($F343="","","EMP-"&amp;TEXT(ROW()-6,"0000"))</f>
        <v/>
      </c>
      <c r="F343" s="134" t="n"/>
      <c r="G343" s="127" t="n"/>
      <c r="H343" s="130">
        <f>IF($G343="","",IFERROR(INDEX(MEM_Nom,MATCH($G343,MEM_ID,0)),"⚠ ID inconnu"))</f>
        <v/>
      </c>
      <c r="I343" s="127" t="n"/>
      <c r="J343" s="130">
        <f>IF($I343="","",IFERROR(INDEX(LIV_Titre,MATCH($I343,LIV_Code,0)),"⚠ Code inconnu"))</f>
        <v/>
      </c>
      <c r="K343" s="138">
        <f>IF($F343="","",$F343+P_Duree)</f>
        <v/>
      </c>
      <c r="L343" s="134" t="n"/>
      <c r="M343" s="130">
        <f>IF(OR($F343="",$I343=""),"",IF($L343&lt;&gt;"",IF($L343&gt;$K343,"Rendu en retard","Rendu"),IF(TODAY()&gt;$K343,"En retard","En cours")))</f>
        <v/>
      </c>
      <c r="N343" s="139">
        <f>IF(OR($F343="",$I343=""),"",MAX(0,IF($L343&lt;&gt;"",$L343,TODAY())-$K343))</f>
        <v/>
      </c>
      <c r="O343" s="135">
        <f>IF(OR($F343="",$I343=""),"",$N343*P_Amende)</f>
        <v/>
      </c>
      <c r="P343" s="133" t="n"/>
      <c r="R343">
        <f>IF($M343="En retard",$N343+ROW()/100000,"")</f>
        <v/>
      </c>
      <c r="S343">
        <f>IF(OR($F343="",$I343=""),"",$F343+ROW()/100000)</f>
        <v/>
      </c>
      <c r="T343">
        <f>IF($I343="","",IFERROR(INDEX(LIV_Cat,MATCH($I343,LIV_Code,0)),""))</f>
        <v/>
      </c>
    </row>
    <row r="344" ht="21" customHeight="1">
      <c r="A344" s="1" t="n"/>
      <c r="B344" s="1" t="n"/>
      <c r="C344" s="2" t="n"/>
      <c r="E344" s="130">
        <f>IF($F344="","","EMP-"&amp;TEXT(ROW()-6,"0000"))</f>
        <v/>
      </c>
      <c r="F344" s="134" t="n"/>
      <c r="G344" s="127" t="n"/>
      <c r="H344" s="130">
        <f>IF($G344="","",IFERROR(INDEX(MEM_Nom,MATCH($G344,MEM_ID,0)),"⚠ ID inconnu"))</f>
        <v/>
      </c>
      <c r="I344" s="127" t="n"/>
      <c r="J344" s="130">
        <f>IF($I344="","",IFERROR(INDEX(LIV_Titre,MATCH($I344,LIV_Code,0)),"⚠ Code inconnu"))</f>
        <v/>
      </c>
      <c r="K344" s="138">
        <f>IF($F344="","",$F344+P_Duree)</f>
        <v/>
      </c>
      <c r="L344" s="134" t="n"/>
      <c r="M344" s="130">
        <f>IF(OR($F344="",$I344=""),"",IF($L344&lt;&gt;"",IF($L344&gt;$K344,"Rendu en retard","Rendu"),IF(TODAY()&gt;$K344,"En retard","En cours")))</f>
        <v/>
      </c>
      <c r="N344" s="139">
        <f>IF(OR($F344="",$I344=""),"",MAX(0,IF($L344&lt;&gt;"",$L344,TODAY())-$K344))</f>
        <v/>
      </c>
      <c r="O344" s="135">
        <f>IF(OR($F344="",$I344=""),"",$N344*P_Amende)</f>
        <v/>
      </c>
      <c r="P344" s="133" t="n"/>
      <c r="R344">
        <f>IF($M344="En retard",$N344+ROW()/100000,"")</f>
        <v/>
      </c>
      <c r="S344">
        <f>IF(OR($F344="",$I344=""),"",$F344+ROW()/100000)</f>
        <v/>
      </c>
      <c r="T344">
        <f>IF($I344="","",IFERROR(INDEX(LIV_Cat,MATCH($I344,LIV_Code,0)),""))</f>
        <v/>
      </c>
    </row>
    <row r="345" ht="21" customHeight="1">
      <c r="A345" s="1" t="n"/>
      <c r="B345" s="1" t="n"/>
      <c r="C345" s="2" t="n"/>
      <c r="E345" s="130">
        <f>IF($F345="","","EMP-"&amp;TEXT(ROW()-6,"0000"))</f>
        <v/>
      </c>
      <c r="F345" s="134" t="n"/>
      <c r="G345" s="127" t="n"/>
      <c r="H345" s="130">
        <f>IF($G345="","",IFERROR(INDEX(MEM_Nom,MATCH($G345,MEM_ID,0)),"⚠ ID inconnu"))</f>
        <v/>
      </c>
      <c r="I345" s="127" t="n"/>
      <c r="J345" s="130">
        <f>IF($I345="","",IFERROR(INDEX(LIV_Titre,MATCH($I345,LIV_Code,0)),"⚠ Code inconnu"))</f>
        <v/>
      </c>
      <c r="K345" s="138">
        <f>IF($F345="","",$F345+P_Duree)</f>
        <v/>
      </c>
      <c r="L345" s="134" t="n"/>
      <c r="M345" s="130">
        <f>IF(OR($F345="",$I345=""),"",IF($L345&lt;&gt;"",IF($L345&gt;$K345,"Rendu en retard","Rendu"),IF(TODAY()&gt;$K345,"En retard","En cours")))</f>
        <v/>
      </c>
      <c r="N345" s="139">
        <f>IF(OR($F345="",$I345=""),"",MAX(0,IF($L345&lt;&gt;"",$L345,TODAY())-$K345))</f>
        <v/>
      </c>
      <c r="O345" s="135">
        <f>IF(OR($F345="",$I345=""),"",$N345*P_Amende)</f>
        <v/>
      </c>
      <c r="P345" s="133" t="n"/>
      <c r="R345">
        <f>IF($M345="En retard",$N345+ROW()/100000,"")</f>
        <v/>
      </c>
      <c r="S345">
        <f>IF(OR($F345="",$I345=""),"",$F345+ROW()/100000)</f>
        <v/>
      </c>
      <c r="T345">
        <f>IF($I345="","",IFERROR(INDEX(LIV_Cat,MATCH($I345,LIV_Code,0)),""))</f>
        <v/>
      </c>
    </row>
    <row r="346" ht="21" customHeight="1">
      <c r="A346" s="1" t="n"/>
      <c r="B346" s="1" t="n"/>
      <c r="C346" s="2" t="n"/>
      <c r="E346" s="130">
        <f>IF($F346="","","EMP-"&amp;TEXT(ROW()-6,"0000"))</f>
        <v/>
      </c>
      <c r="F346" s="134" t="n"/>
      <c r="G346" s="127" t="n"/>
      <c r="H346" s="130">
        <f>IF($G346="","",IFERROR(INDEX(MEM_Nom,MATCH($G346,MEM_ID,0)),"⚠ ID inconnu"))</f>
        <v/>
      </c>
      <c r="I346" s="127" t="n"/>
      <c r="J346" s="130">
        <f>IF($I346="","",IFERROR(INDEX(LIV_Titre,MATCH($I346,LIV_Code,0)),"⚠ Code inconnu"))</f>
        <v/>
      </c>
      <c r="K346" s="138">
        <f>IF($F346="","",$F346+P_Duree)</f>
        <v/>
      </c>
      <c r="L346" s="134" t="n"/>
      <c r="M346" s="130">
        <f>IF(OR($F346="",$I346=""),"",IF($L346&lt;&gt;"",IF($L346&gt;$K346,"Rendu en retard","Rendu"),IF(TODAY()&gt;$K346,"En retard","En cours")))</f>
        <v/>
      </c>
      <c r="N346" s="139">
        <f>IF(OR($F346="",$I346=""),"",MAX(0,IF($L346&lt;&gt;"",$L346,TODAY())-$K346))</f>
        <v/>
      </c>
      <c r="O346" s="135">
        <f>IF(OR($F346="",$I346=""),"",$N346*P_Amende)</f>
        <v/>
      </c>
      <c r="P346" s="133" t="n"/>
      <c r="R346">
        <f>IF($M346="En retard",$N346+ROW()/100000,"")</f>
        <v/>
      </c>
      <c r="S346">
        <f>IF(OR($F346="",$I346=""),"",$F346+ROW()/100000)</f>
        <v/>
      </c>
      <c r="T346">
        <f>IF($I346="","",IFERROR(INDEX(LIV_Cat,MATCH($I346,LIV_Code,0)),""))</f>
        <v/>
      </c>
    </row>
    <row r="347" ht="21" customHeight="1">
      <c r="A347" s="1" t="n"/>
      <c r="B347" s="1" t="n"/>
      <c r="C347" s="2" t="n"/>
      <c r="E347" s="130">
        <f>IF($F347="","","EMP-"&amp;TEXT(ROW()-6,"0000"))</f>
        <v/>
      </c>
      <c r="F347" s="134" t="n"/>
      <c r="G347" s="127" t="n"/>
      <c r="H347" s="130">
        <f>IF($G347="","",IFERROR(INDEX(MEM_Nom,MATCH($G347,MEM_ID,0)),"⚠ ID inconnu"))</f>
        <v/>
      </c>
      <c r="I347" s="127" t="n"/>
      <c r="J347" s="130">
        <f>IF($I347="","",IFERROR(INDEX(LIV_Titre,MATCH($I347,LIV_Code,0)),"⚠ Code inconnu"))</f>
        <v/>
      </c>
      <c r="K347" s="138">
        <f>IF($F347="","",$F347+P_Duree)</f>
        <v/>
      </c>
      <c r="L347" s="134" t="n"/>
      <c r="M347" s="130">
        <f>IF(OR($F347="",$I347=""),"",IF($L347&lt;&gt;"",IF($L347&gt;$K347,"Rendu en retard","Rendu"),IF(TODAY()&gt;$K347,"En retard","En cours")))</f>
        <v/>
      </c>
      <c r="N347" s="139">
        <f>IF(OR($F347="",$I347=""),"",MAX(0,IF($L347&lt;&gt;"",$L347,TODAY())-$K347))</f>
        <v/>
      </c>
      <c r="O347" s="135">
        <f>IF(OR($F347="",$I347=""),"",$N347*P_Amende)</f>
        <v/>
      </c>
      <c r="P347" s="133" t="n"/>
      <c r="R347">
        <f>IF($M347="En retard",$N347+ROW()/100000,"")</f>
        <v/>
      </c>
      <c r="S347">
        <f>IF(OR($F347="",$I347=""),"",$F347+ROW()/100000)</f>
        <v/>
      </c>
      <c r="T347">
        <f>IF($I347="","",IFERROR(INDEX(LIV_Cat,MATCH($I347,LIV_Code,0)),""))</f>
        <v/>
      </c>
    </row>
    <row r="348" ht="21" customHeight="1">
      <c r="A348" s="1" t="n"/>
      <c r="B348" s="1" t="n"/>
      <c r="C348" s="2" t="n"/>
      <c r="E348" s="130">
        <f>IF($F348="","","EMP-"&amp;TEXT(ROW()-6,"0000"))</f>
        <v/>
      </c>
      <c r="F348" s="134" t="n"/>
      <c r="G348" s="127" t="n"/>
      <c r="H348" s="130">
        <f>IF($G348="","",IFERROR(INDEX(MEM_Nom,MATCH($G348,MEM_ID,0)),"⚠ ID inconnu"))</f>
        <v/>
      </c>
      <c r="I348" s="127" t="n"/>
      <c r="J348" s="130">
        <f>IF($I348="","",IFERROR(INDEX(LIV_Titre,MATCH($I348,LIV_Code,0)),"⚠ Code inconnu"))</f>
        <v/>
      </c>
      <c r="K348" s="138">
        <f>IF($F348="","",$F348+P_Duree)</f>
        <v/>
      </c>
      <c r="L348" s="134" t="n"/>
      <c r="M348" s="130">
        <f>IF(OR($F348="",$I348=""),"",IF($L348&lt;&gt;"",IF($L348&gt;$K348,"Rendu en retard","Rendu"),IF(TODAY()&gt;$K348,"En retard","En cours")))</f>
        <v/>
      </c>
      <c r="N348" s="139">
        <f>IF(OR($F348="",$I348=""),"",MAX(0,IF($L348&lt;&gt;"",$L348,TODAY())-$K348))</f>
        <v/>
      </c>
      <c r="O348" s="135">
        <f>IF(OR($F348="",$I348=""),"",$N348*P_Amende)</f>
        <v/>
      </c>
      <c r="P348" s="133" t="n"/>
      <c r="R348">
        <f>IF($M348="En retard",$N348+ROW()/100000,"")</f>
        <v/>
      </c>
      <c r="S348">
        <f>IF(OR($F348="",$I348=""),"",$F348+ROW()/100000)</f>
        <v/>
      </c>
      <c r="T348">
        <f>IF($I348="","",IFERROR(INDEX(LIV_Cat,MATCH($I348,LIV_Code,0)),""))</f>
        <v/>
      </c>
    </row>
    <row r="349" ht="21" customHeight="1">
      <c r="A349" s="1" t="n"/>
      <c r="B349" s="1" t="n"/>
      <c r="C349" s="2" t="n"/>
      <c r="E349" s="130">
        <f>IF($F349="","","EMP-"&amp;TEXT(ROW()-6,"0000"))</f>
        <v/>
      </c>
      <c r="F349" s="134" t="n"/>
      <c r="G349" s="127" t="n"/>
      <c r="H349" s="130">
        <f>IF($G349="","",IFERROR(INDEX(MEM_Nom,MATCH($G349,MEM_ID,0)),"⚠ ID inconnu"))</f>
        <v/>
      </c>
      <c r="I349" s="127" t="n"/>
      <c r="J349" s="130">
        <f>IF($I349="","",IFERROR(INDEX(LIV_Titre,MATCH($I349,LIV_Code,0)),"⚠ Code inconnu"))</f>
        <v/>
      </c>
      <c r="K349" s="138">
        <f>IF($F349="","",$F349+P_Duree)</f>
        <v/>
      </c>
      <c r="L349" s="134" t="n"/>
      <c r="M349" s="130">
        <f>IF(OR($F349="",$I349=""),"",IF($L349&lt;&gt;"",IF($L349&gt;$K349,"Rendu en retard","Rendu"),IF(TODAY()&gt;$K349,"En retard","En cours")))</f>
        <v/>
      </c>
      <c r="N349" s="139">
        <f>IF(OR($F349="",$I349=""),"",MAX(0,IF($L349&lt;&gt;"",$L349,TODAY())-$K349))</f>
        <v/>
      </c>
      <c r="O349" s="135">
        <f>IF(OR($F349="",$I349=""),"",$N349*P_Amende)</f>
        <v/>
      </c>
      <c r="P349" s="133" t="n"/>
      <c r="R349">
        <f>IF($M349="En retard",$N349+ROW()/100000,"")</f>
        <v/>
      </c>
      <c r="S349">
        <f>IF(OR($F349="",$I349=""),"",$F349+ROW()/100000)</f>
        <v/>
      </c>
      <c r="T349">
        <f>IF($I349="","",IFERROR(INDEX(LIV_Cat,MATCH($I349,LIV_Code,0)),""))</f>
        <v/>
      </c>
    </row>
    <row r="350" ht="21" customHeight="1">
      <c r="A350" s="1" t="n"/>
      <c r="B350" s="1" t="n"/>
      <c r="C350" s="2" t="n"/>
      <c r="E350" s="130">
        <f>IF($F350="","","EMP-"&amp;TEXT(ROW()-6,"0000"))</f>
        <v/>
      </c>
      <c r="F350" s="134" t="n"/>
      <c r="G350" s="127" t="n"/>
      <c r="H350" s="130">
        <f>IF($G350="","",IFERROR(INDEX(MEM_Nom,MATCH($G350,MEM_ID,0)),"⚠ ID inconnu"))</f>
        <v/>
      </c>
      <c r="I350" s="127" t="n"/>
      <c r="J350" s="130">
        <f>IF($I350="","",IFERROR(INDEX(LIV_Titre,MATCH($I350,LIV_Code,0)),"⚠ Code inconnu"))</f>
        <v/>
      </c>
      <c r="K350" s="138">
        <f>IF($F350="","",$F350+P_Duree)</f>
        <v/>
      </c>
      <c r="L350" s="134" t="n"/>
      <c r="M350" s="130">
        <f>IF(OR($F350="",$I350=""),"",IF($L350&lt;&gt;"",IF($L350&gt;$K350,"Rendu en retard","Rendu"),IF(TODAY()&gt;$K350,"En retard","En cours")))</f>
        <v/>
      </c>
      <c r="N350" s="139">
        <f>IF(OR($F350="",$I350=""),"",MAX(0,IF($L350&lt;&gt;"",$L350,TODAY())-$K350))</f>
        <v/>
      </c>
      <c r="O350" s="135">
        <f>IF(OR($F350="",$I350=""),"",$N350*P_Amende)</f>
        <v/>
      </c>
      <c r="P350" s="133" t="n"/>
      <c r="R350">
        <f>IF($M350="En retard",$N350+ROW()/100000,"")</f>
        <v/>
      </c>
      <c r="S350">
        <f>IF(OR($F350="",$I350=""),"",$F350+ROW()/100000)</f>
        <v/>
      </c>
      <c r="T350">
        <f>IF($I350="","",IFERROR(INDEX(LIV_Cat,MATCH($I350,LIV_Code,0)),""))</f>
        <v/>
      </c>
    </row>
    <row r="351" ht="21" customHeight="1">
      <c r="A351" s="1" t="n"/>
      <c r="B351" s="1" t="n"/>
      <c r="C351" s="2" t="n"/>
      <c r="E351" s="130">
        <f>IF($F351="","","EMP-"&amp;TEXT(ROW()-6,"0000"))</f>
        <v/>
      </c>
      <c r="F351" s="134" t="n"/>
      <c r="G351" s="127" t="n"/>
      <c r="H351" s="130">
        <f>IF($G351="","",IFERROR(INDEX(MEM_Nom,MATCH($G351,MEM_ID,0)),"⚠ ID inconnu"))</f>
        <v/>
      </c>
      <c r="I351" s="127" t="n"/>
      <c r="J351" s="130">
        <f>IF($I351="","",IFERROR(INDEX(LIV_Titre,MATCH($I351,LIV_Code,0)),"⚠ Code inconnu"))</f>
        <v/>
      </c>
      <c r="K351" s="138">
        <f>IF($F351="","",$F351+P_Duree)</f>
        <v/>
      </c>
      <c r="L351" s="134" t="n"/>
      <c r="M351" s="130">
        <f>IF(OR($F351="",$I351=""),"",IF($L351&lt;&gt;"",IF($L351&gt;$K351,"Rendu en retard","Rendu"),IF(TODAY()&gt;$K351,"En retard","En cours")))</f>
        <v/>
      </c>
      <c r="N351" s="139">
        <f>IF(OR($F351="",$I351=""),"",MAX(0,IF($L351&lt;&gt;"",$L351,TODAY())-$K351))</f>
        <v/>
      </c>
      <c r="O351" s="135">
        <f>IF(OR($F351="",$I351=""),"",$N351*P_Amende)</f>
        <v/>
      </c>
      <c r="P351" s="133" t="n"/>
      <c r="R351">
        <f>IF($M351="En retard",$N351+ROW()/100000,"")</f>
        <v/>
      </c>
      <c r="S351">
        <f>IF(OR($F351="",$I351=""),"",$F351+ROW()/100000)</f>
        <v/>
      </c>
      <c r="T351">
        <f>IF($I351="","",IFERROR(INDEX(LIV_Cat,MATCH($I351,LIV_Code,0)),""))</f>
        <v/>
      </c>
    </row>
    <row r="352" ht="21" customHeight="1">
      <c r="A352" s="1" t="n"/>
      <c r="B352" s="1" t="n"/>
      <c r="C352" s="2" t="n"/>
      <c r="E352" s="130">
        <f>IF($F352="","","EMP-"&amp;TEXT(ROW()-6,"0000"))</f>
        <v/>
      </c>
      <c r="F352" s="134" t="n"/>
      <c r="G352" s="127" t="n"/>
      <c r="H352" s="130">
        <f>IF($G352="","",IFERROR(INDEX(MEM_Nom,MATCH($G352,MEM_ID,0)),"⚠ ID inconnu"))</f>
        <v/>
      </c>
      <c r="I352" s="127" t="n"/>
      <c r="J352" s="130">
        <f>IF($I352="","",IFERROR(INDEX(LIV_Titre,MATCH($I352,LIV_Code,0)),"⚠ Code inconnu"))</f>
        <v/>
      </c>
      <c r="K352" s="138">
        <f>IF($F352="","",$F352+P_Duree)</f>
        <v/>
      </c>
      <c r="L352" s="134" t="n"/>
      <c r="M352" s="130">
        <f>IF(OR($F352="",$I352=""),"",IF($L352&lt;&gt;"",IF($L352&gt;$K352,"Rendu en retard","Rendu"),IF(TODAY()&gt;$K352,"En retard","En cours")))</f>
        <v/>
      </c>
      <c r="N352" s="139">
        <f>IF(OR($F352="",$I352=""),"",MAX(0,IF($L352&lt;&gt;"",$L352,TODAY())-$K352))</f>
        <v/>
      </c>
      <c r="O352" s="135">
        <f>IF(OR($F352="",$I352=""),"",$N352*P_Amende)</f>
        <v/>
      </c>
      <c r="P352" s="133" t="n"/>
      <c r="R352">
        <f>IF($M352="En retard",$N352+ROW()/100000,"")</f>
        <v/>
      </c>
      <c r="S352">
        <f>IF(OR($F352="",$I352=""),"",$F352+ROW()/100000)</f>
        <v/>
      </c>
      <c r="T352">
        <f>IF($I352="","",IFERROR(INDEX(LIV_Cat,MATCH($I352,LIV_Code,0)),""))</f>
        <v/>
      </c>
    </row>
    <row r="353" ht="21" customHeight="1">
      <c r="A353" s="1" t="n"/>
      <c r="B353" s="1" t="n"/>
      <c r="C353" s="2" t="n"/>
      <c r="E353" s="130">
        <f>IF($F353="","","EMP-"&amp;TEXT(ROW()-6,"0000"))</f>
        <v/>
      </c>
      <c r="F353" s="134" t="n"/>
      <c r="G353" s="127" t="n"/>
      <c r="H353" s="130">
        <f>IF($G353="","",IFERROR(INDEX(MEM_Nom,MATCH($G353,MEM_ID,0)),"⚠ ID inconnu"))</f>
        <v/>
      </c>
      <c r="I353" s="127" t="n"/>
      <c r="J353" s="130">
        <f>IF($I353="","",IFERROR(INDEX(LIV_Titre,MATCH($I353,LIV_Code,0)),"⚠ Code inconnu"))</f>
        <v/>
      </c>
      <c r="K353" s="138">
        <f>IF($F353="","",$F353+P_Duree)</f>
        <v/>
      </c>
      <c r="L353" s="134" t="n"/>
      <c r="M353" s="130">
        <f>IF(OR($F353="",$I353=""),"",IF($L353&lt;&gt;"",IF($L353&gt;$K353,"Rendu en retard","Rendu"),IF(TODAY()&gt;$K353,"En retard","En cours")))</f>
        <v/>
      </c>
      <c r="N353" s="139">
        <f>IF(OR($F353="",$I353=""),"",MAX(0,IF($L353&lt;&gt;"",$L353,TODAY())-$K353))</f>
        <v/>
      </c>
      <c r="O353" s="135">
        <f>IF(OR($F353="",$I353=""),"",$N353*P_Amende)</f>
        <v/>
      </c>
      <c r="P353" s="133" t="n"/>
      <c r="R353">
        <f>IF($M353="En retard",$N353+ROW()/100000,"")</f>
        <v/>
      </c>
      <c r="S353">
        <f>IF(OR($F353="",$I353=""),"",$F353+ROW()/100000)</f>
        <v/>
      </c>
      <c r="T353">
        <f>IF($I353="","",IFERROR(INDEX(LIV_Cat,MATCH($I353,LIV_Code,0)),""))</f>
        <v/>
      </c>
    </row>
    <row r="354" ht="21" customHeight="1">
      <c r="A354" s="1" t="n"/>
      <c r="B354" s="1" t="n"/>
      <c r="C354" s="2" t="n"/>
      <c r="E354" s="130">
        <f>IF($F354="","","EMP-"&amp;TEXT(ROW()-6,"0000"))</f>
        <v/>
      </c>
      <c r="F354" s="134" t="n"/>
      <c r="G354" s="127" t="n"/>
      <c r="H354" s="130">
        <f>IF($G354="","",IFERROR(INDEX(MEM_Nom,MATCH($G354,MEM_ID,0)),"⚠ ID inconnu"))</f>
        <v/>
      </c>
      <c r="I354" s="127" t="n"/>
      <c r="J354" s="130">
        <f>IF($I354="","",IFERROR(INDEX(LIV_Titre,MATCH($I354,LIV_Code,0)),"⚠ Code inconnu"))</f>
        <v/>
      </c>
      <c r="K354" s="138">
        <f>IF($F354="","",$F354+P_Duree)</f>
        <v/>
      </c>
      <c r="L354" s="134" t="n"/>
      <c r="M354" s="130">
        <f>IF(OR($F354="",$I354=""),"",IF($L354&lt;&gt;"",IF($L354&gt;$K354,"Rendu en retard","Rendu"),IF(TODAY()&gt;$K354,"En retard","En cours")))</f>
        <v/>
      </c>
      <c r="N354" s="139">
        <f>IF(OR($F354="",$I354=""),"",MAX(0,IF($L354&lt;&gt;"",$L354,TODAY())-$K354))</f>
        <v/>
      </c>
      <c r="O354" s="135">
        <f>IF(OR($F354="",$I354=""),"",$N354*P_Amende)</f>
        <v/>
      </c>
      <c r="P354" s="133" t="n"/>
      <c r="R354">
        <f>IF($M354="En retard",$N354+ROW()/100000,"")</f>
        <v/>
      </c>
      <c r="S354">
        <f>IF(OR($F354="",$I354=""),"",$F354+ROW()/100000)</f>
        <v/>
      </c>
      <c r="T354">
        <f>IF($I354="","",IFERROR(INDEX(LIV_Cat,MATCH($I354,LIV_Code,0)),""))</f>
        <v/>
      </c>
    </row>
    <row r="355" ht="21" customHeight="1">
      <c r="A355" s="1" t="n"/>
      <c r="B355" s="1" t="n"/>
      <c r="C355" s="2" t="n"/>
      <c r="E355" s="130">
        <f>IF($F355="","","EMP-"&amp;TEXT(ROW()-6,"0000"))</f>
        <v/>
      </c>
      <c r="F355" s="134" t="n"/>
      <c r="G355" s="127" t="n"/>
      <c r="H355" s="130">
        <f>IF($G355="","",IFERROR(INDEX(MEM_Nom,MATCH($G355,MEM_ID,0)),"⚠ ID inconnu"))</f>
        <v/>
      </c>
      <c r="I355" s="127" t="n"/>
      <c r="J355" s="130">
        <f>IF($I355="","",IFERROR(INDEX(LIV_Titre,MATCH($I355,LIV_Code,0)),"⚠ Code inconnu"))</f>
        <v/>
      </c>
      <c r="K355" s="138">
        <f>IF($F355="","",$F355+P_Duree)</f>
        <v/>
      </c>
      <c r="L355" s="134" t="n"/>
      <c r="M355" s="130">
        <f>IF(OR($F355="",$I355=""),"",IF($L355&lt;&gt;"",IF($L355&gt;$K355,"Rendu en retard","Rendu"),IF(TODAY()&gt;$K355,"En retard","En cours")))</f>
        <v/>
      </c>
      <c r="N355" s="139">
        <f>IF(OR($F355="",$I355=""),"",MAX(0,IF($L355&lt;&gt;"",$L355,TODAY())-$K355))</f>
        <v/>
      </c>
      <c r="O355" s="135">
        <f>IF(OR($F355="",$I355=""),"",$N355*P_Amende)</f>
        <v/>
      </c>
      <c r="P355" s="133" t="n"/>
      <c r="R355">
        <f>IF($M355="En retard",$N355+ROW()/100000,"")</f>
        <v/>
      </c>
      <c r="S355">
        <f>IF(OR($F355="",$I355=""),"",$F355+ROW()/100000)</f>
        <v/>
      </c>
      <c r="T355">
        <f>IF($I355="","",IFERROR(INDEX(LIV_Cat,MATCH($I355,LIV_Code,0)),""))</f>
        <v/>
      </c>
    </row>
    <row r="356" ht="21" customHeight="1">
      <c r="A356" s="1" t="n"/>
      <c r="B356" s="1" t="n"/>
      <c r="C356" s="2" t="n"/>
      <c r="E356" s="130">
        <f>IF($F356="","","EMP-"&amp;TEXT(ROW()-6,"0000"))</f>
        <v/>
      </c>
      <c r="F356" s="134" t="n"/>
      <c r="G356" s="127" t="n"/>
      <c r="H356" s="130">
        <f>IF($G356="","",IFERROR(INDEX(MEM_Nom,MATCH($G356,MEM_ID,0)),"⚠ ID inconnu"))</f>
        <v/>
      </c>
      <c r="I356" s="127" t="n"/>
      <c r="J356" s="130">
        <f>IF($I356="","",IFERROR(INDEX(LIV_Titre,MATCH($I356,LIV_Code,0)),"⚠ Code inconnu"))</f>
        <v/>
      </c>
      <c r="K356" s="138">
        <f>IF($F356="","",$F356+P_Duree)</f>
        <v/>
      </c>
      <c r="L356" s="134" t="n"/>
      <c r="M356" s="130">
        <f>IF(OR($F356="",$I356=""),"",IF($L356&lt;&gt;"",IF($L356&gt;$K356,"Rendu en retard","Rendu"),IF(TODAY()&gt;$K356,"En retard","En cours")))</f>
        <v/>
      </c>
      <c r="N356" s="139">
        <f>IF(OR($F356="",$I356=""),"",MAX(0,IF($L356&lt;&gt;"",$L356,TODAY())-$K356))</f>
        <v/>
      </c>
      <c r="O356" s="135">
        <f>IF(OR($F356="",$I356=""),"",$N356*P_Amende)</f>
        <v/>
      </c>
      <c r="P356" s="133" t="n"/>
      <c r="R356">
        <f>IF($M356="En retard",$N356+ROW()/100000,"")</f>
        <v/>
      </c>
      <c r="S356">
        <f>IF(OR($F356="",$I356=""),"",$F356+ROW()/100000)</f>
        <v/>
      </c>
      <c r="T356">
        <f>IF($I356="","",IFERROR(INDEX(LIV_Cat,MATCH($I356,LIV_Code,0)),""))</f>
        <v/>
      </c>
    </row>
    <row r="357" ht="21" customHeight="1">
      <c r="A357" s="1" t="n"/>
      <c r="B357" s="1" t="n"/>
      <c r="C357" s="2" t="n"/>
      <c r="E357" s="130">
        <f>IF($F357="","","EMP-"&amp;TEXT(ROW()-6,"0000"))</f>
        <v/>
      </c>
      <c r="F357" s="134" t="n"/>
      <c r="G357" s="127" t="n"/>
      <c r="H357" s="130">
        <f>IF($G357="","",IFERROR(INDEX(MEM_Nom,MATCH($G357,MEM_ID,0)),"⚠ ID inconnu"))</f>
        <v/>
      </c>
      <c r="I357" s="127" t="n"/>
      <c r="J357" s="130">
        <f>IF($I357="","",IFERROR(INDEX(LIV_Titre,MATCH($I357,LIV_Code,0)),"⚠ Code inconnu"))</f>
        <v/>
      </c>
      <c r="K357" s="138">
        <f>IF($F357="","",$F357+P_Duree)</f>
        <v/>
      </c>
      <c r="L357" s="134" t="n"/>
      <c r="M357" s="130">
        <f>IF(OR($F357="",$I357=""),"",IF($L357&lt;&gt;"",IF($L357&gt;$K357,"Rendu en retard","Rendu"),IF(TODAY()&gt;$K357,"En retard","En cours")))</f>
        <v/>
      </c>
      <c r="N357" s="139">
        <f>IF(OR($F357="",$I357=""),"",MAX(0,IF($L357&lt;&gt;"",$L357,TODAY())-$K357))</f>
        <v/>
      </c>
      <c r="O357" s="135">
        <f>IF(OR($F357="",$I357=""),"",$N357*P_Amende)</f>
        <v/>
      </c>
      <c r="P357" s="133" t="n"/>
      <c r="R357">
        <f>IF($M357="En retard",$N357+ROW()/100000,"")</f>
        <v/>
      </c>
      <c r="S357">
        <f>IF(OR($F357="",$I357=""),"",$F357+ROW()/100000)</f>
        <v/>
      </c>
      <c r="T357">
        <f>IF($I357="","",IFERROR(INDEX(LIV_Cat,MATCH($I357,LIV_Code,0)),""))</f>
        <v/>
      </c>
    </row>
    <row r="358" ht="21" customHeight="1">
      <c r="A358" s="1" t="n"/>
      <c r="B358" s="1" t="n"/>
      <c r="C358" s="2" t="n"/>
      <c r="E358" s="130">
        <f>IF($F358="","","EMP-"&amp;TEXT(ROW()-6,"0000"))</f>
        <v/>
      </c>
      <c r="F358" s="134" t="n"/>
      <c r="G358" s="127" t="n"/>
      <c r="H358" s="130">
        <f>IF($G358="","",IFERROR(INDEX(MEM_Nom,MATCH($G358,MEM_ID,0)),"⚠ ID inconnu"))</f>
        <v/>
      </c>
      <c r="I358" s="127" t="n"/>
      <c r="J358" s="130">
        <f>IF($I358="","",IFERROR(INDEX(LIV_Titre,MATCH($I358,LIV_Code,0)),"⚠ Code inconnu"))</f>
        <v/>
      </c>
      <c r="K358" s="138">
        <f>IF($F358="","",$F358+P_Duree)</f>
        <v/>
      </c>
      <c r="L358" s="134" t="n"/>
      <c r="M358" s="130">
        <f>IF(OR($F358="",$I358=""),"",IF($L358&lt;&gt;"",IF($L358&gt;$K358,"Rendu en retard","Rendu"),IF(TODAY()&gt;$K358,"En retard","En cours")))</f>
        <v/>
      </c>
      <c r="N358" s="139">
        <f>IF(OR($F358="",$I358=""),"",MAX(0,IF($L358&lt;&gt;"",$L358,TODAY())-$K358))</f>
        <v/>
      </c>
      <c r="O358" s="135">
        <f>IF(OR($F358="",$I358=""),"",$N358*P_Amende)</f>
        <v/>
      </c>
      <c r="P358" s="133" t="n"/>
      <c r="R358">
        <f>IF($M358="En retard",$N358+ROW()/100000,"")</f>
        <v/>
      </c>
      <c r="S358">
        <f>IF(OR($F358="",$I358=""),"",$F358+ROW()/100000)</f>
        <v/>
      </c>
      <c r="T358">
        <f>IF($I358="","",IFERROR(INDEX(LIV_Cat,MATCH($I358,LIV_Code,0)),""))</f>
        <v/>
      </c>
    </row>
    <row r="359" ht="21" customHeight="1">
      <c r="A359" s="1" t="n"/>
      <c r="B359" s="1" t="n"/>
      <c r="C359" s="2" t="n"/>
      <c r="E359" s="130">
        <f>IF($F359="","","EMP-"&amp;TEXT(ROW()-6,"0000"))</f>
        <v/>
      </c>
      <c r="F359" s="134" t="n"/>
      <c r="G359" s="127" t="n"/>
      <c r="H359" s="130">
        <f>IF($G359="","",IFERROR(INDEX(MEM_Nom,MATCH($G359,MEM_ID,0)),"⚠ ID inconnu"))</f>
        <v/>
      </c>
      <c r="I359" s="127" t="n"/>
      <c r="J359" s="130">
        <f>IF($I359="","",IFERROR(INDEX(LIV_Titre,MATCH($I359,LIV_Code,0)),"⚠ Code inconnu"))</f>
        <v/>
      </c>
      <c r="K359" s="138">
        <f>IF($F359="","",$F359+P_Duree)</f>
        <v/>
      </c>
      <c r="L359" s="134" t="n"/>
      <c r="M359" s="130">
        <f>IF(OR($F359="",$I359=""),"",IF($L359&lt;&gt;"",IF($L359&gt;$K359,"Rendu en retard","Rendu"),IF(TODAY()&gt;$K359,"En retard","En cours")))</f>
        <v/>
      </c>
      <c r="N359" s="139">
        <f>IF(OR($F359="",$I359=""),"",MAX(0,IF($L359&lt;&gt;"",$L359,TODAY())-$K359))</f>
        <v/>
      </c>
      <c r="O359" s="135">
        <f>IF(OR($F359="",$I359=""),"",$N359*P_Amende)</f>
        <v/>
      </c>
      <c r="P359" s="133" t="n"/>
      <c r="R359">
        <f>IF($M359="En retard",$N359+ROW()/100000,"")</f>
        <v/>
      </c>
      <c r="S359">
        <f>IF(OR($F359="",$I359=""),"",$F359+ROW()/100000)</f>
        <v/>
      </c>
      <c r="T359">
        <f>IF($I359="","",IFERROR(INDEX(LIV_Cat,MATCH($I359,LIV_Code,0)),""))</f>
        <v/>
      </c>
    </row>
    <row r="360" ht="21" customHeight="1">
      <c r="A360" s="1" t="n"/>
      <c r="B360" s="1" t="n"/>
      <c r="C360" s="2" t="n"/>
      <c r="E360" s="130">
        <f>IF($F360="","","EMP-"&amp;TEXT(ROW()-6,"0000"))</f>
        <v/>
      </c>
      <c r="F360" s="134" t="n"/>
      <c r="G360" s="127" t="n"/>
      <c r="H360" s="130">
        <f>IF($G360="","",IFERROR(INDEX(MEM_Nom,MATCH($G360,MEM_ID,0)),"⚠ ID inconnu"))</f>
        <v/>
      </c>
      <c r="I360" s="127" t="n"/>
      <c r="J360" s="130">
        <f>IF($I360="","",IFERROR(INDEX(LIV_Titre,MATCH($I360,LIV_Code,0)),"⚠ Code inconnu"))</f>
        <v/>
      </c>
      <c r="K360" s="138">
        <f>IF($F360="","",$F360+P_Duree)</f>
        <v/>
      </c>
      <c r="L360" s="134" t="n"/>
      <c r="M360" s="130">
        <f>IF(OR($F360="",$I360=""),"",IF($L360&lt;&gt;"",IF($L360&gt;$K360,"Rendu en retard","Rendu"),IF(TODAY()&gt;$K360,"En retard","En cours")))</f>
        <v/>
      </c>
      <c r="N360" s="139">
        <f>IF(OR($F360="",$I360=""),"",MAX(0,IF($L360&lt;&gt;"",$L360,TODAY())-$K360))</f>
        <v/>
      </c>
      <c r="O360" s="135">
        <f>IF(OR($F360="",$I360=""),"",$N360*P_Amende)</f>
        <v/>
      </c>
      <c r="P360" s="133" t="n"/>
      <c r="R360">
        <f>IF($M360="En retard",$N360+ROW()/100000,"")</f>
        <v/>
      </c>
      <c r="S360">
        <f>IF(OR($F360="",$I360=""),"",$F360+ROW()/100000)</f>
        <v/>
      </c>
      <c r="T360">
        <f>IF($I360="","",IFERROR(INDEX(LIV_Cat,MATCH($I360,LIV_Code,0)),""))</f>
        <v/>
      </c>
    </row>
    <row r="361" ht="21" customHeight="1">
      <c r="A361" s="1" t="n"/>
      <c r="B361" s="1" t="n"/>
      <c r="C361" s="2" t="n"/>
      <c r="E361" s="130">
        <f>IF($F361="","","EMP-"&amp;TEXT(ROW()-6,"0000"))</f>
        <v/>
      </c>
      <c r="F361" s="134" t="n"/>
      <c r="G361" s="127" t="n"/>
      <c r="H361" s="130">
        <f>IF($G361="","",IFERROR(INDEX(MEM_Nom,MATCH($G361,MEM_ID,0)),"⚠ ID inconnu"))</f>
        <v/>
      </c>
      <c r="I361" s="127" t="n"/>
      <c r="J361" s="130">
        <f>IF($I361="","",IFERROR(INDEX(LIV_Titre,MATCH($I361,LIV_Code,0)),"⚠ Code inconnu"))</f>
        <v/>
      </c>
      <c r="K361" s="138">
        <f>IF($F361="","",$F361+P_Duree)</f>
        <v/>
      </c>
      <c r="L361" s="134" t="n"/>
      <c r="M361" s="130">
        <f>IF(OR($F361="",$I361=""),"",IF($L361&lt;&gt;"",IF($L361&gt;$K361,"Rendu en retard","Rendu"),IF(TODAY()&gt;$K361,"En retard","En cours")))</f>
        <v/>
      </c>
      <c r="N361" s="139">
        <f>IF(OR($F361="",$I361=""),"",MAX(0,IF($L361&lt;&gt;"",$L361,TODAY())-$K361))</f>
        <v/>
      </c>
      <c r="O361" s="135">
        <f>IF(OR($F361="",$I361=""),"",$N361*P_Amende)</f>
        <v/>
      </c>
      <c r="P361" s="133" t="n"/>
      <c r="R361">
        <f>IF($M361="En retard",$N361+ROW()/100000,"")</f>
        <v/>
      </c>
      <c r="S361">
        <f>IF(OR($F361="",$I361=""),"",$F361+ROW()/100000)</f>
        <v/>
      </c>
      <c r="T361">
        <f>IF($I361="","",IFERROR(INDEX(LIV_Cat,MATCH($I361,LIV_Code,0)),""))</f>
        <v/>
      </c>
    </row>
    <row r="362" ht="21" customHeight="1">
      <c r="A362" s="1" t="n"/>
      <c r="B362" s="1" t="n"/>
      <c r="C362" s="2" t="n"/>
      <c r="E362" s="130">
        <f>IF($F362="","","EMP-"&amp;TEXT(ROW()-6,"0000"))</f>
        <v/>
      </c>
      <c r="F362" s="134" t="n"/>
      <c r="G362" s="127" t="n"/>
      <c r="H362" s="130">
        <f>IF($G362="","",IFERROR(INDEX(MEM_Nom,MATCH($G362,MEM_ID,0)),"⚠ ID inconnu"))</f>
        <v/>
      </c>
      <c r="I362" s="127" t="n"/>
      <c r="J362" s="130">
        <f>IF($I362="","",IFERROR(INDEX(LIV_Titre,MATCH($I362,LIV_Code,0)),"⚠ Code inconnu"))</f>
        <v/>
      </c>
      <c r="K362" s="138">
        <f>IF($F362="","",$F362+P_Duree)</f>
        <v/>
      </c>
      <c r="L362" s="134" t="n"/>
      <c r="M362" s="130">
        <f>IF(OR($F362="",$I362=""),"",IF($L362&lt;&gt;"",IF($L362&gt;$K362,"Rendu en retard","Rendu"),IF(TODAY()&gt;$K362,"En retard","En cours")))</f>
        <v/>
      </c>
      <c r="N362" s="139">
        <f>IF(OR($F362="",$I362=""),"",MAX(0,IF($L362&lt;&gt;"",$L362,TODAY())-$K362))</f>
        <v/>
      </c>
      <c r="O362" s="135">
        <f>IF(OR($F362="",$I362=""),"",$N362*P_Amende)</f>
        <v/>
      </c>
      <c r="P362" s="133" t="n"/>
      <c r="R362">
        <f>IF($M362="En retard",$N362+ROW()/100000,"")</f>
        <v/>
      </c>
      <c r="S362">
        <f>IF(OR($F362="",$I362=""),"",$F362+ROW()/100000)</f>
        <v/>
      </c>
      <c r="T362">
        <f>IF($I362="","",IFERROR(INDEX(LIV_Cat,MATCH($I362,LIV_Code,0)),""))</f>
        <v/>
      </c>
    </row>
    <row r="363" ht="21" customHeight="1">
      <c r="A363" s="1" t="n"/>
      <c r="B363" s="1" t="n"/>
      <c r="C363" s="2" t="n"/>
      <c r="E363" s="130">
        <f>IF($F363="","","EMP-"&amp;TEXT(ROW()-6,"0000"))</f>
        <v/>
      </c>
      <c r="F363" s="134" t="n"/>
      <c r="G363" s="127" t="n"/>
      <c r="H363" s="130">
        <f>IF($G363="","",IFERROR(INDEX(MEM_Nom,MATCH($G363,MEM_ID,0)),"⚠ ID inconnu"))</f>
        <v/>
      </c>
      <c r="I363" s="127" t="n"/>
      <c r="J363" s="130">
        <f>IF($I363="","",IFERROR(INDEX(LIV_Titre,MATCH($I363,LIV_Code,0)),"⚠ Code inconnu"))</f>
        <v/>
      </c>
      <c r="K363" s="138">
        <f>IF($F363="","",$F363+P_Duree)</f>
        <v/>
      </c>
      <c r="L363" s="134" t="n"/>
      <c r="M363" s="130">
        <f>IF(OR($F363="",$I363=""),"",IF($L363&lt;&gt;"",IF($L363&gt;$K363,"Rendu en retard","Rendu"),IF(TODAY()&gt;$K363,"En retard","En cours")))</f>
        <v/>
      </c>
      <c r="N363" s="139">
        <f>IF(OR($F363="",$I363=""),"",MAX(0,IF($L363&lt;&gt;"",$L363,TODAY())-$K363))</f>
        <v/>
      </c>
      <c r="O363" s="135">
        <f>IF(OR($F363="",$I363=""),"",$N363*P_Amende)</f>
        <v/>
      </c>
      <c r="P363" s="133" t="n"/>
      <c r="R363">
        <f>IF($M363="En retard",$N363+ROW()/100000,"")</f>
        <v/>
      </c>
      <c r="S363">
        <f>IF(OR($F363="",$I363=""),"",$F363+ROW()/100000)</f>
        <v/>
      </c>
      <c r="T363">
        <f>IF($I363="","",IFERROR(INDEX(LIV_Cat,MATCH($I363,LIV_Code,0)),""))</f>
        <v/>
      </c>
    </row>
    <row r="364" ht="21" customHeight="1">
      <c r="A364" s="1" t="n"/>
      <c r="B364" s="1" t="n"/>
      <c r="C364" s="2" t="n"/>
      <c r="E364" s="130">
        <f>IF($F364="","","EMP-"&amp;TEXT(ROW()-6,"0000"))</f>
        <v/>
      </c>
      <c r="F364" s="134" t="n"/>
      <c r="G364" s="127" t="n"/>
      <c r="H364" s="130">
        <f>IF($G364="","",IFERROR(INDEX(MEM_Nom,MATCH($G364,MEM_ID,0)),"⚠ ID inconnu"))</f>
        <v/>
      </c>
      <c r="I364" s="127" t="n"/>
      <c r="J364" s="130">
        <f>IF($I364="","",IFERROR(INDEX(LIV_Titre,MATCH($I364,LIV_Code,0)),"⚠ Code inconnu"))</f>
        <v/>
      </c>
      <c r="K364" s="138">
        <f>IF($F364="","",$F364+P_Duree)</f>
        <v/>
      </c>
      <c r="L364" s="134" t="n"/>
      <c r="M364" s="130">
        <f>IF(OR($F364="",$I364=""),"",IF($L364&lt;&gt;"",IF($L364&gt;$K364,"Rendu en retard","Rendu"),IF(TODAY()&gt;$K364,"En retard","En cours")))</f>
        <v/>
      </c>
      <c r="N364" s="139">
        <f>IF(OR($F364="",$I364=""),"",MAX(0,IF($L364&lt;&gt;"",$L364,TODAY())-$K364))</f>
        <v/>
      </c>
      <c r="O364" s="135">
        <f>IF(OR($F364="",$I364=""),"",$N364*P_Amende)</f>
        <v/>
      </c>
      <c r="P364" s="133" t="n"/>
      <c r="R364">
        <f>IF($M364="En retard",$N364+ROW()/100000,"")</f>
        <v/>
      </c>
      <c r="S364">
        <f>IF(OR($F364="",$I364=""),"",$F364+ROW()/100000)</f>
        <v/>
      </c>
      <c r="T364">
        <f>IF($I364="","",IFERROR(INDEX(LIV_Cat,MATCH($I364,LIV_Code,0)),""))</f>
        <v/>
      </c>
    </row>
    <row r="365" ht="21" customHeight="1">
      <c r="A365" s="1" t="n"/>
      <c r="B365" s="1" t="n"/>
      <c r="C365" s="2" t="n"/>
      <c r="E365" s="130">
        <f>IF($F365="","","EMP-"&amp;TEXT(ROW()-6,"0000"))</f>
        <v/>
      </c>
      <c r="F365" s="134" t="n"/>
      <c r="G365" s="127" t="n"/>
      <c r="H365" s="130">
        <f>IF($G365="","",IFERROR(INDEX(MEM_Nom,MATCH($G365,MEM_ID,0)),"⚠ ID inconnu"))</f>
        <v/>
      </c>
      <c r="I365" s="127" t="n"/>
      <c r="J365" s="130">
        <f>IF($I365="","",IFERROR(INDEX(LIV_Titre,MATCH($I365,LIV_Code,0)),"⚠ Code inconnu"))</f>
        <v/>
      </c>
      <c r="K365" s="138">
        <f>IF($F365="","",$F365+P_Duree)</f>
        <v/>
      </c>
      <c r="L365" s="134" t="n"/>
      <c r="M365" s="130">
        <f>IF(OR($F365="",$I365=""),"",IF($L365&lt;&gt;"",IF($L365&gt;$K365,"Rendu en retard","Rendu"),IF(TODAY()&gt;$K365,"En retard","En cours")))</f>
        <v/>
      </c>
      <c r="N365" s="139">
        <f>IF(OR($F365="",$I365=""),"",MAX(0,IF($L365&lt;&gt;"",$L365,TODAY())-$K365))</f>
        <v/>
      </c>
      <c r="O365" s="135">
        <f>IF(OR($F365="",$I365=""),"",$N365*P_Amende)</f>
        <v/>
      </c>
      <c r="P365" s="133" t="n"/>
      <c r="R365">
        <f>IF($M365="En retard",$N365+ROW()/100000,"")</f>
        <v/>
      </c>
      <c r="S365">
        <f>IF(OR($F365="",$I365=""),"",$F365+ROW()/100000)</f>
        <v/>
      </c>
      <c r="T365">
        <f>IF($I365="","",IFERROR(INDEX(LIV_Cat,MATCH($I365,LIV_Code,0)),""))</f>
        <v/>
      </c>
    </row>
    <row r="366" ht="21" customHeight="1">
      <c r="A366" s="1" t="n"/>
      <c r="B366" s="1" t="n"/>
      <c r="C366" s="2" t="n"/>
      <c r="E366" s="130">
        <f>IF($F366="","","EMP-"&amp;TEXT(ROW()-6,"0000"))</f>
        <v/>
      </c>
      <c r="F366" s="134" t="n"/>
      <c r="G366" s="127" t="n"/>
      <c r="H366" s="130">
        <f>IF($G366="","",IFERROR(INDEX(MEM_Nom,MATCH($G366,MEM_ID,0)),"⚠ ID inconnu"))</f>
        <v/>
      </c>
      <c r="I366" s="127" t="n"/>
      <c r="J366" s="130">
        <f>IF($I366="","",IFERROR(INDEX(LIV_Titre,MATCH($I366,LIV_Code,0)),"⚠ Code inconnu"))</f>
        <v/>
      </c>
      <c r="K366" s="138">
        <f>IF($F366="","",$F366+P_Duree)</f>
        <v/>
      </c>
      <c r="L366" s="134" t="n"/>
      <c r="M366" s="130">
        <f>IF(OR($F366="",$I366=""),"",IF($L366&lt;&gt;"",IF($L366&gt;$K366,"Rendu en retard","Rendu"),IF(TODAY()&gt;$K366,"En retard","En cours")))</f>
        <v/>
      </c>
      <c r="N366" s="139">
        <f>IF(OR($F366="",$I366=""),"",MAX(0,IF($L366&lt;&gt;"",$L366,TODAY())-$K366))</f>
        <v/>
      </c>
      <c r="O366" s="135">
        <f>IF(OR($F366="",$I366=""),"",$N366*P_Amende)</f>
        <v/>
      </c>
      <c r="P366" s="133" t="n"/>
      <c r="R366">
        <f>IF($M366="En retard",$N366+ROW()/100000,"")</f>
        <v/>
      </c>
      <c r="S366">
        <f>IF(OR($F366="",$I366=""),"",$F366+ROW()/100000)</f>
        <v/>
      </c>
      <c r="T366">
        <f>IF($I366="","",IFERROR(INDEX(LIV_Cat,MATCH($I366,LIV_Code,0)),""))</f>
        <v/>
      </c>
    </row>
    <row r="367" ht="21" customHeight="1">
      <c r="A367" s="1" t="n"/>
      <c r="B367" s="1" t="n"/>
      <c r="C367" s="2" t="n"/>
      <c r="E367" s="130">
        <f>IF($F367="","","EMP-"&amp;TEXT(ROW()-6,"0000"))</f>
        <v/>
      </c>
      <c r="F367" s="134" t="n"/>
      <c r="G367" s="127" t="n"/>
      <c r="H367" s="130">
        <f>IF($G367="","",IFERROR(INDEX(MEM_Nom,MATCH($G367,MEM_ID,0)),"⚠ ID inconnu"))</f>
        <v/>
      </c>
      <c r="I367" s="127" t="n"/>
      <c r="J367" s="130">
        <f>IF($I367="","",IFERROR(INDEX(LIV_Titre,MATCH($I367,LIV_Code,0)),"⚠ Code inconnu"))</f>
        <v/>
      </c>
      <c r="K367" s="138">
        <f>IF($F367="","",$F367+P_Duree)</f>
        <v/>
      </c>
      <c r="L367" s="134" t="n"/>
      <c r="M367" s="130">
        <f>IF(OR($F367="",$I367=""),"",IF($L367&lt;&gt;"",IF($L367&gt;$K367,"Rendu en retard","Rendu"),IF(TODAY()&gt;$K367,"En retard","En cours")))</f>
        <v/>
      </c>
      <c r="N367" s="139">
        <f>IF(OR($F367="",$I367=""),"",MAX(0,IF($L367&lt;&gt;"",$L367,TODAY())-$K367))</f>
        <v/>
      </c>
      <c r="O367" s="135">
        <f>IF(OR($F367="",$I367=""),"",$N367*P_Amende)</f>
        <v/>
      </c>
      <c r="P367" s="133" t="n"/>
      <c r="R367">
        <f>IF($M367="En retard",$N367+ROW()/100000,"")</f>
        <v/>
      </c>
      <c r="S367">
        <f>IF(OR($F367="",$I367=""),"",$F367+ROW()/100000)</f>
        <v/>
      </c>
      <c r="T367">
        <f>IF($I367="","",IFERROR(INDEX(LIV_Cat,MATCH($I367,LIV_Code,0)),""))</f>
        <v/>
      </c>
    </row>
    <row r="368" ht="21" customHeight="1">
      <c r="A368" s="1" t="n"/>
      <c r="B368" s="1" t="n"/>
      <c r="C368" s="2" t="n"/>
      <c r="E368" s="130">
        <f>IF($F368="","","EMP-"&amp;TEXT(ROW()-6,"0000"))</f>
        <v/>
      </c>
      <c r="F368" s="134" t="n"/>
      <c r="G368" s="127" t="n"/>
      <c r="H368" s="130">
        <f>IF($G368="","",IFERROR(INDEX(MEM_Nom,MATCH($G368,MEM_ID,0)),"⚠ ID inconnu"))</f>
        <v/>
      </c>
      <c r="I368" s="127" t="n"/>
      <c r="J368" s="130">
        <f>IF($I368="","",IFERROR(INDEX(LIV_Titre,MATCH($I368,LIV_Code,0)),"⚠ Code inconnu"))</f>
        <v/>
      </c>
      <c r="K368" s="138">
        <f>IF($F368="","",$F368+P_Duree)</f>
        <v/>
      </c>
      <c r="L368" s="134" t="n"/>
      <c r="M368" s="130">
        <f>IF(OR($F368="",$I368=""),"",IF($L368&lt;&gt;"",IF($L368&gt;$K368,"Rendu en retard","Rendu"),IF(TODAY()&gt;$K368,"En retard","En cours")))</f>
        <v/>
      </c>
      <c r="N368" s="139">
        <f>IF(OR($F368="",$I368=""),"",MAX(0,IF($L368&lt;&gt;"",$L368,TODAY())-$K368))</f>
        <v/>
      </c>
      <c r="O368" s="135">
        <f>IF(OR($F368="",$I368=""),"",$N368*P_Amende)</f>
        <v/>
      </c>
      <c r="P368" s="133" t="n"/>
      <c r="R368">
        <f>IF($M368="En retard",$N368+ROW()/100000,"")</f>
        <v/>
      </c>
      <c r="S368">
        <f>IF(OR($F368="",$I368=""),"",$F368+ROW()/100000)</f>
        <v/>
      </c>
      <c r="T368">
        <f>IF($I368="","",IFERROR(INDEX(LIV_Cat,MATCH($I368,LIV_Code,0)),""))</f>
        <v/>
      </c>
    </row>
    <row r="369" ht="21" customHeight="1">
      <c r="A369" s="1" t="n"/>
      <c r="B369" s="1" t="n"/>
      <c r="C369" s="2" t="n"/>
      <c r="E369" s="130">
        <f>IF($F369="","","EMP-"&amp;TEXT(ROW()-6,"0000"))</f>
        <v/>
      </c>
      <c r="F369" s="134" t="n"/>
      <c r="G369" s="127" t="n"/>
      <c r="H369" s="130">
        <f>IF($G369="","",IFERROR(INDEX(MEM_Nom,MATCH($G369,MEM_ID,0)),"⚠ ID inconnu"))</f>
        <v/>
      </c>
      <c r="I369" s="127" t="n"/>
      <c r="J369" s="130">
        <f>IF($I369="","",IFERROR(INDEX(LIV_Titre,MATCH($I369,LIV_Code,0)),"⚠ Code inconnu"))</f>
        <v/>
      </c>
      <c r="K369" s="138">
        <f>IF($F369="","",$F369+P_Duree)</f>
        <v/>
      </c>
      <c r="L369" s="134" t="n"/>
      <c r="M369" s="130">
        <f>IF(OR($F369="",$I369=""),"",IF($L369&lt;&gt;"",IF($L369&gt;$K369,"Rendu en retard","Rendu"),IF(TODAY()&gt;$K369,"En retard","En cours")))</f>
        <v/>
      </c>
      <c r="N369" s="139">
        <f>IF(OR($F369="",$I369=""),"",MAX(0,IF($L369&lt;&gt;"",$L369,TODAY())-$K369))</f>
        <v/>
      </c>
      <c r="O369" s="135">
        <f>IF(OR($F369="",$I369=""),"",$N369*P_Amende)</f>
        <v/>
      </c>
      <c r="P369" s="133" t="n"/>
      <c r="R369">
        <f>IF($M369="En retard",$N369+ROW()/100000,"")</f>
        <v/>
      </c>
      <c r="S369">
        <f>IF(OR($F369="",$I369=""),"",$F369+ROW()/100000)</f>
        <v/>
      </c>
      <c r="T369">
        <f>IF($I369="","",IFERROR(INDEX(LIV_Cat,MATCH($I369,LIV_Code,0)),""))</f>
        <v/>
      </c>
    </row>
    <row r="370" ht="21" customHeight="1">
      <c r="A370" s="1" t="n"/>
      <c r="B370" s="1" t="n"/>
      <c r="C370" s="2" t="n"/>
      <c r="E370" s="130">
        <f>IF($F370="","","EMP-"&amp;TEXT(ROW()-6,"0000"))</f>
        <v/>
      </c>
      <c r="F370" s="134" t="n"/>
      <c r="G370" s="127" t="n"/>
      <c r="H370" s="130">
        <f>IF($G370="","",IFERROR(INDEX(MEM_Nom,MATCH($G370,MEM_ID,0)),"⚠ ID inconnu"))</f>
        <v/>
      </c>
      <c r="I370" s="127" t="n"/>
      <c r="J370" s="130">
        <f>IF($I370="","",IFERROR(INDEX(LIV_Titre,MATCH($I370,LIV_Code,0)),"⚠ Code inconnu"))</f>
        <v/>
      </c>
      <c r="K370" s="138">
        <f>IF($F370="","",$F370+P_Duree)</f>
        <v/>
      </c>
      <c r="L370" s="134" t="n"/>
      <c r="M370" s="130">
        <f>IF(OR($F370="",$I370=""),"",IF($L370&lt;&gt;"",IF($L370&gt;$K370,"Rendu en retard","Rendu"),IF(TODAY()&gt;$K370,"En retard","En cours")))</f>
        <v/>
      </c>
      <c r="N370" s="139">
        <f>IF(OR($F370="",$I370=""),"",MAX(0,IF($L370&lt;&gt;"",$L370,TODAY())-$K370))</f>
        <v/>
      </c>
      <c r="O370" s="135">
        <f>IF(OR($F370="",$I370=""),"",$N370*P_Amende)</f>
        <v/>
      </c>
      <c r="P370" s="133" t="n"/>
      <c r="R370">
        <f>IF($M370="En retard",$N370+ROW()/100000,"")</f>
        <v/>
      </c>
      <c r="S370">
        <f>IF(OR($F370="",$I370=""),"",$F370+ROW()/100000)</f>
        <v/>
      </c>
      <c r="T370">
        <f>IF($I370="","",IFERROR(INDEX(LIV_Cat,MATCH($I370,LIV_Code,0)),""))</f>
        <v/>
      </c>
    </row>
    <row r="371" ht="21" customHeight="1">
      <c r="A371" s="1" t="n"/>
      <c r="B371" s="1" t="n"/>
      <c r="C371" s="2" t="n"/>
      <c r="E371" s="130">
        <f>IF($F371="","","EMP-"&amp;TEXT(ROW()-6,"0000"))</f>
        <v/>
      </c>
      <c r="F371" s="134" t="n"/>
      <c r="G371" s="127" t="n"/>
      <c r="H371" s="130">
        <f>IF($G371="","",IFERROR(INDEX(MEM_Nom,MATCH($G371,MEM_ID,0)),"⚠ ID inconnu"))</f>
        <v/>
      </c>
      <c r="I371" s="127" t="n"/>
      <c r="J371" s="130">
        <f>IF($I371="","",IFERROR(INDEX(LIV_Titre,MATCH($I371,LIV_Code,0)),"⚠ Code inconnu"))</f>
        <v/>
      </c>
      <c r="K371" s="138">
        <f>IF($F371="","",$F371+P_Duree)</f>
        <v/>
      </c>
      <c r="L371" s="134" t="n"/>
      <c r="M371" s="130">
        <f>IF(OR($F371="",$I371=""),"",IF($L371&lt;&gt;"",IF($L371&gt;$K371,"Rendu en retard","Rendu"),IF(TODAY()&gt;$K371,"En retard","En cours")))</f>
        <v/>
      </c>
      <c r="N371" s="139">
        <f>IF(OR($F371="",$I371=""),"",MAX(0,IF($L371&lt;&gt;"",$L371,TODAY())-$K371))</f>
        <v/>
      </c>
      <c r="O371" s="135">
        <f>IF(OR($F371="",$I371=""),"",$N371*P_Amende)</f>
        <v/>
      </c>
      <c r="P371" s="133" t="n"/>
      <c r="R371">
        <f>IF($M371="En retard",$N371+ROW()/100000,"")</f>
        <v/>
      </c>
      <c r="S371">
        <f>IF(OR($F371="",$I371=""),"",$F371+ROW()/100000)</f>
        <v/>
      </c>
      <c r="T371">
        <f>IF($I371="","",IFERROR(INDEX(LIV_Cat,MATCH($I371,LIV_Code,0)),""))</f>
        <v/>
      </c>
    </row>
    <row r="372" ht="21" customHeight="1">
      <c r="A372" s="1" t="n"/>
      <c r="B372" s="1" t="n"/>
      <c r="C372" s="2" t="n"/>
      <c r="E372" s="130">
        <f>IF($F372="","","EMP-"&amp;TEXT(ROW()-6,"0000"))</f>
        <v/>
      </c>
      <c r="F372" s="134" t="n"/>
      <c r="G372" s="127" t="n"/>
      <c r="H372" s="130">
        <f>IF($G372="","",IFERROR(INDEX(MEM_Nom,MATCH($G372,MEM_ID,0)),"⚠ ID inconnu"))</f>
        <v/>
      </c>
      <c r="I372" s="127" t="n"/>
      <c r="J372" s="130">
        <f>IF($I372="","",IFERROR(INDEX(LIV_Titre,MATCH($I372,LIV_Code,0)),"⚠ Code inconnu"))</f>
        <v/>
      </c>
      <c r="K372" s="138">
        <f>IF($F372="","",$F372+P_Duree)</f>
        <v/>
      </c>
      <c r="L372" s="134" t="n"/>
      <c r="M372" s="130">
        <f>IF(OR($F372="",$I372=""),"",IF($L372&lt;&gt;"",IF($L372&gt;$K372,"Rendu en retard","Rendu"),IF(TODAY()&gt;$K372,"En retard","En cours")))</f>
        <v/>
      </c>
      <c r="N372" s="139">
        <f>IF(OR($F372="",$I372=""),"",MAX(0,IF($L372&lt;&gt;"",$L372,TODAY())-$K372))</f>
        <v/>
      </c>
      <c r="O372" s="135">
        <f>IF(OR($F372="",$I372=""),"",$N372*P_Amende)</f>
        <v/>
      </c>
      <c r="P372" s="133" t="n"/>
      <c r="R372">
        <f>IF($M372="En retard",$N372+ROW()/100000,"")</f>
        <v/>
      </c>
      <c r="S372">
        <f>IF(OR($F372="",$I372=""),"",$F372+ROW()/100000)</f>
        <v/>
      </c>
      <c r="T372">
        <f>IF($I372="","",IFERROR(INDEX(LIV_Cat,MATCH($I372,LIV_Code,0)),""))</f>
        <v/>
      </c>
    </row>
    <row r="373" ht="21" customHeight="1">
      <c r="A373" s="1" t="n"/>
      <c r="B373" s="1" t="n"/>
      <c r="C373" s="2" t="n"/>
      <c r="E373" s="130">
        <f>IF($F373="","","EMP-"&amp;TEXT(ROW()-6,"0000"))</f>
        <v/>
      </c>
      <c r="F373" s="134" t="n"/>
      <c r="G373" s="127" t="n"/>
      <c r="H373" s="130">
        <f>IF($G373="","",IFERROR(INDEX(MEM_Nom,MATCH($G373,MEM_ID,0)),"⚠ ID inconnu"))</f>
        <v/>
      </c>
      <c r="I373" s="127" t="n"/>
      <c r="J373" s="130">
        <f>IF($I373="","",IFERROR(INDEX(LIV_Titre,MATCH($I373,LIV_Code,0)),"⚠ Code inconnu"))</f>
        <v/>
      </c>
      <c r="K373" s="138">
        <f>IF($F373="","",$F373+P_Duree)</f>
        <v/>
      </c>
      <c r="L373" s="134" t="n"/>
      <c r="M373" s="130">
        <f>IF(OR($F373="",$I373=""),"",IF($L373&lt;&gt;"",IF($L373&gt;$K373,"Rendu en retard","Rendu"),IF(TODAY()&gt;$K373,"En retard","En cours")))</f>
        <v/>
      </c>
      <c r="N373" s="139">
        <f>IF(OR($F373="",$I373=""),"",MAX(0,IF($L373&lt;&gt;"",$L373,TODAY())-$K373))</f>
        <v/>
      </c>
      <c r="O373" s="135">
        <f>IF(OR($F373="",$I373=""),"",$N373*P_Amende)</f>
        <v/>
      </c>
      <c r="P373" s="133" t="n"/>
      <c r="R373">
        <f>IF($M373="En retard",$N373+ROW()/100000,"")</f>
        <v/>
      </c>
      <c r="S373">
        <f>IF(OR($F373="",$I373=""),"",$F373+ROW()/100000)</f>
        <v/>
      </c>
      <c r="T373">
        <f>IF($I373="","",IFERROR(INDEX(LIV_Cat,MATCH($I373,LIV_Code,0)),""))</f>
        <v/>
      </c>
    </row>
    <row r="374" ht="21" customHeight="1">
      <c r="A374" s="1" t="n"/>
      <c r="B374" s="1" t="n"/>
      <c r="C374" s="2" t="n"/>
      <c r="E374" s="130">
        <f>IF($F374="","","EMP-"&amp;TEXT(ROW()-6,"0000"))</f>
        <v/>
      </c>
      <c r="F374" s="134" t="n"/>
      <c r="G374" s="127" t="n"/>
      <c r="H374" s="130">
        <f>IF($G374="","",IFERROR(INDEX(MEM_Nom,MATCH($G374,MEM_ID,0)),"⚠ ID inconnu"))</f>
        <v/>
      </c>
      <c r="I374" s="127" t="n"/>
      <c r="J374" s="130">
        <f>IF($I374="","",IFERROR(INDEX(LIV_Titre,MATCH($I374,LIV_Code,0)),"⚠ Code inconnu"))</f>
        <v/>
      </c>
      <c r="K374" s="138">
        <f>IF($F374="","",$F374+P_Duree)</f>
        <v/>
      </c>
      <c r="L374" s="134" t="n"/>
      <c r="M374" s="130">
        <f>IF(OR($F374="",$I374=""),"",IF($L374&lt;&gt;"",IF($L374&gt;$K374,"Rendu en retard","Rendu"),IF(TODAY()&gt;$K374,"En retard","En cours")))</f>
        <v/>
      </c>
      <c r="N374" s="139">
        <f>IF(OR($F374="",$I374=""),"",MAX(0,IF($L374&lt;&gt;"",$L374,TODAY())-$K374))</f>
        <v/>
      </c>
      <c r="O374" s="135">
        <f>IF(OR($F374="",$I374=""),"",$N374*P_Amende)</f>
        <v/>
      </c>
      <c r="P374" s="133" t="n"/>
      <c r="R374">
        <f>IF($M374="En retard",$N374+ROW()/100000,"")</f>
        <v/>
      </c>
      <c r="S374">
        <f>IF(OR($F374="",$I374=""),"",$F374+ROW()/100000)</f>
        <v/>
      </c>
      <c r="T374">
        <f>IF($I374="","",IFERROR(INDEX(LIV_Cat,MATCH($I374,LIV_Code,0)),""))</f>
        <v/>
      </c>
    </row>
    <row r="375" ht="21" customHeight="1">
      <c r="A375" s="1" t="n"/>
      <c r="B375" s="1" t="n"/>
      <c r="C375" s="2" t="n"/>
      <c r="E375" s="130">
        <f>IF($F375="","","EMP-"&amp;TEXT(ROW()-6,"0000"))</f>
        <v/>
      </c>
      <c r="F375" s="134" t="n"/>
      <c r="G375" s="127" t="n"/>
      <c r="H375" s="130">
        <f>IF($G375="","",IFERROR(INDEX(MEM_Nom,MATCH($G375,MEM_ID,0)),"⚠ ID inconnu"))</f>
        <v/>
      </c>
      <c r="I375" s="127" t="n"/>
      <c r="J375" s="130">
        <f>IF($I375="","",IFERROR(INDEX(LIV_Titre,MATCH($I375,LIV_Code,0)),"⚠ Code inconnu"))</f>
        <v/>
      </c>
      <c r="K375" s="138">
        <f>IF($F375="","",$F375+P_Duree)</f>
        <v/>
      </c>
      <c r="L375" s="134" t="n"/>
      <c r="M375" s="130">
        <f>IF(OR($F375="",$I375=""),"",IF($L375&lt;&gt;"",IF($L375&gt;$K375,"Rendu en retard","Rendu"),IF(TODAY()&gt;$K375,"En retard","En cours")))</f>
        <v/>
      </c>
      <c r="N375" s="139">
        <f>IF(OR($F375="",$I375=""),"",MAX(0,IF($L375&lt;&gt;"",$L375,TODAY())-$K375))</f>
        <v/>
      </c>
      <c r="O375" s="135">
        <f>IF(OR($F375="",$I375=""),"",$N375*P_Amende)</f>
        <v/>
      </c>
      <c r="P375" s="133" t="n"/>
      <c r="R375">
        <f>IF($M375="En retard",$N375+ROW()/100000,"")</f>
        <v/>
      </c>
      <c r="S375">
        <f>IF(OR($F375="",$I375=""),"",$F375+ROW()/100000)</f>
        <v/>
      </c>
      <c r="T375">
        <f>IF($I375="","",IFERROR(INDEX(LIV_Cat,MATCH($I375,LIV_Code,0)),""))</f>
        <v/>
      </c>
    </row>
    <row r="376" ht="21" customHeight="1">
      <c r="A376" s="1" t="n"/>
      <c r="B376" s="1" t="n"/>
      <c r="C376" s="2" t="n"/>
      <c r="E376" s="130">
        <f>IF($F376="","","EMP-"&amp;TEXT(ROW()-6,"0000"))</f>
        <v/>
      </c>
      <c r="F376" s="134" t="n"/>
      <c r="G376" s="127" t="n"/>
      <c r="H376" s="130">
        <f>IF($G376="","",IFERROR(INDEX(MEM_Nom,MATCH($G376,MEM_ID,0)),"⚠ ID inconnu"))</f>
        <v/>
      </c>
      <c r="I376" s="127" t="n"/>
      <c r="J376" s="130">
        <f>IF($I376="","",IFERROR(INDEX(LIV_Titre,MATCH($I376,LIV_Code,0)),"⚠ Code inconnu"))</f>
        <v/>
      </c>
      <c r="K376" s="138">
        <f>IF($F376="","",$F376+P_Duree)</f>
        <v/>
      </c>
      <c r="L376" s="134" t="n"/>
      <c r="M376" s="130">
        <f>IF(OR($F376="",$I376=""),"",IF($L376&lt;&gt;"",IF($L376&gt;$K376,"Rendu en retard","Rendu"),IF(TODAY()&gt;$K376,"En retard","En cours")))</f>
        <v/>
      </c>
      <c r="N376" s="139">
        <f>IF(OR($F376="",$I376=""),"",MAX(0,IF($L376&lt;&gt;"",$L376,TODAY())-$K376))</f>
        <v/>
      </c>
      <c r="O376" s="135">
        <f>IF(OR($F376="",$I376=""),"",$N376*P_Amende)</f>
        <v/>
      </c>
      <c r="P376" s="133" t="n"/>
      <c r="R376">
        <f>IF($M376="En retard",$N376+ROW()/100000,"")</f>
        <v/>
      </c>
      <c r="S376">
        <f>IF(OR($F376="",$I376=""),"",$F376+ROW()/100000)</f>
        <v/>
      </c>
      <c r="T376">
        <f>IF($I376="","",IFERROR(INDEX(LIV_Cat,MATCH($I376,LIV_Code,0)),""))</f>
        <v/>
      </c>
    </row>
    <row r="377" ht="21" customHeight="1">
      <c r="A377" s="1" t="n"/>
      <c r="B377" s="1" t="n"/>
      <c r="C377" s="2" t="n"/>
      <c r="E377" s="130">
        <f>IF($F377="","","EMP-"&amp;TEXT(ROW()-6,"0000"))</f>
        <v/>
      </c>
      <c r="F377" s="134" t="n"/>
      <c r="G377" s="127" t="n"/>
      <c r="H377" s="130">
        <f>IF($G377="","",IFERROR(INDEX(MEM_Nom,MATCH($G377,MEM_ID,0)),"⚠ ID inconnu"))</f>
        <v/>
      </c>
      <c r="I377" s="127" t="n"/>
      <c r="J377" s="130">
        <f>IF($I377="","",IFERROR(INDEX(LIV_Titre,MATCH($I377,LIV_Code,0)),"⚠ Code inconnu"))</f>
        <v/>
      </c>
      <c r="K377" s="138">
        <f>IF($F377="","",$F377+P_Duree)</f>
        <v/>
      </c>
      <c r="L377" s="134" t="n"/>
      <c r="M377" s="130">
        <f>IF(OR($F377="",$I377=""),"",IF($L377&lt;&gt;"",IF($L377&gt;$K377,"Rendu en retard","Rendu"),IF(TODAY()&gt;$K377,"En retard","En cours")))</f>
        <v/>
      </c>
      <c r="N377" s="139">
        <f>IF(OR($F377="",$I377=""),"",MAX(0,IF($L377&lt;&gt;"",$L377,TODAY())-$K377))</f>
        <v/>
      </c>
      <c r="O377" s="135">
        <f>IF(OR($F377="",$I377=""),"",$N377*P_Amende)</f>
        <v/>
      </c>
      <c r="P377" s="133" t="n"/>
      <c r="R377">
        <f>IF($M377="En retard",$N377+ROW()/100000,"")</f>
        <v/>
      </c>
      <c r="S377">
        <f>IF(OR($F377="",$I377=""),"",$F377+ROW()/100000)</f>
        <v/>
      </c>
      <c r="T377">
        <f>IF($I377="","",IFERROR(INDEX(LIV_Cat,MATCH($I377,LIV_Code,0)),""))</f>
        <v/>
      </c>
    </row>
    <row r="378" ht="21" customHeight="1">
      <c r="A378" s="1" t="n"/>
      <c r="B378" s="1" t="n"/>
      <c r="C378" s="2" t="n"/>
      <c r="E378" s="130">
        <f>IF($F378="","","EMP-"&amp;TEXT(ROW()-6,"0000"))</f>
        <v/>
      </c>
      <c r="F378" s="134" t="n"/>
      <c r="G378" s="127" t="n"/>
      <c r="H378" s="130">
        <f>IF($G378="","",IFERROR(INDEX(MEM_Nom,MATCH($G378,MEM_ID,0)),"⚠ ID inconnu"))</f>
        <v/>
      </c>
      <c r="I378" s="127" t="n"/>
      <c r="J378" s="130">
        <f>IF($I378="","",IFERROR(INDEX(LIV_Titre,MATCH($I378,LIV_Code,0)),"⚠ Code inconnu"))</f>
        <v/>
      </c>
      <c r="K378" s="138">
        <f>IF($F378="","",$F378+P_Duree)</f>
        <v/>
      </c>
      <c r="L378" s="134" t="n"/>
      <c r="M378" s="130">
        <f>IF(OR($F378="",$I378=""),"",IF($L378&lt;&gt;"",IF($L378&gt;$K378,"Rendu en retard","Rendu"),IF(TODAY()&gt;$K378,"En retard","En cours")))</f>
        <v/>
      </c>
      <c r="N378" s="139">
        <f>IF(OR($F378="",$I378=""),"",MAX(0,IF($L378&lt;&gt;"",$L378,TODAY())-$K378))</f>
        <v/>
      </c>
      <c r="O378" s="135">
        <f>IF(OR($F378="",$I378=""),"",$N378*P_Amende)</f>
        <v/>
      </c>
      <c r="P378" s="133" t="n"/>
      <c r="R378">
        <f>IF($M378="En retard",$N378+ROW()/100000,"")</f>
        <v/>
      </c>
      <c r="S378">
        <f>IF(OR($F378="",$I378=""),"",$F378+ROW()/100000)</f>
        <v/>
      </c>
      <c r="T378">
        <f>IF($I378="","",IFERROR(INDEX(LIV_Cat,MATCH($I378,LIV_Code,0)),""))</f>
        <v/>
      </c>
    </row>
    <row r="379" ht="21" customHeight="1">
      <c r="A379" s="1" t="n"/>
      <c r="B379" s="1" t="n"/>
      <c r="C379" s="2" t="n"/>
      <c r="E379" s="130">
        <f>IF($F379="","","EMP-"&amp;TEXT(ROW()-6,"0000"))</f>
        <v/>
      </c>
      <c r="F379" s="134" t="n"/>
      <c r="G379" s="127" t="n"/>
      <c r="H379" s="130">
        <f>IF($G379="","",IFERROR(INDEX(MEM_Nom,MATCH($G379,MEM_ID,0)),"⚠ ID inconnu"))</f>
        <v/>
      </c>
      <c r="I379" s="127" t="n"/>
      <c r="J379" s="130">
        <f>IF($I379="","",IFERROR(INDEX(LIV_Titre,MATCH($I379,LIV_Code,0)),"⚠ Code inconnu"))</f>
        <v/>
      </c>
      <c r="K379" s="138">
        <f>IF($F379="","",$F379+P_Duree)</f>
        <v/>
      </c>
      <c r="L379" s="134" t="n"/>
      <c r="M379" s="130">
        <f>IF(OR($F379="",$I379=""),"",IF($L379&lt;&gt;"",IF($L379&gt;$K379,"Rendu en retard","Rendu"),IF(TODAY()&gt;$K379,"En retard","En cours")))</f>
        <v/>
      </c>
      <c r="N379" s="139">
        <f>IF(OR($F379="",$I379=""),"",MAX(0,IF($L379&lt;&gt;"",$L379,TODAY())-$K379))</f>
        <v/>
      </c>
      <c r="O379" s="135">
        <f>IF(OR($F379="",$I379=""),"",$N379*P_Amende)</f>
        <v/>
      </c>
      <c r="P379" s="133" t="n"/>
      <c r="R379">
        <f>IF($M379="En retard",$N379+ROW()/100000,"")</f>
        <v/>
      </c>
      <c r="S379">
        <f>IF(OR($F379="",$I379=""),"",$F379+ROW()/100000)</f>
        <v/>
      </c>
      <c r="T379">
        <f>IF($I379="","",IFERROR(INDEX(LIV_Cat,MATCH($I379,LIV_Code,0)),""))</f>
        <v/>
      </c>
    </row>
    <row r="380" ht="21" customHeight="1">
      <c r="A380" s="1" t="n"/>
      <c r="B380" s="1" t="n"/>
      <c r="C380" s="2" t="n"/>
      <c r="E380" s="130">
        <f>IF($F380="","","EMP-"&amp;TEXT(ROW()-6,"0000"))</f>
        <v/>
      </c>
      <c r="F380" s="134" t="n"/>
      <c r="G380" s="127" t="n"/>
      <c r="H380" s="130">
        <f>IF($G380="","",IFERROR(INDEX(MEM_Nom,MATCH($G380,MEM_ID,0)),"⚠ ID inconnu"))</f>
        <v/>
      </c>
      <c r="I380" s="127" t="n"/>
      <c r="J380" s="130">
        <f>IF($I380="","",IFERROR(INDEX(LIV_Titre,MATCH($I380,LIV_Code,0)),"⚠ Code inconnu"))</f>
        <v/>
      </c>
      <c r="K380" s="138">
        <f>IF($F380="","",$F380+P_Duree)</f>
        <v/>
      </c>
      <c r="L380" s="134" t="n"/>
      <c r="M380" s="130">
        <f>IF(OR($F380="",$I380=""),"",IF($L380&lt;&gt;"",IF($L380&gt;$K380,"Rendu en retard","Rendu"),IF(TODAY()&gt;$K380,"En retard","En cours")))</f>
        <v/>
      </c>
      <c r="N380" s="139">
        <f>IF(OR($F380="",$I380=""),"",MAX(0,IF($L380&lt;&gt;"",$L380,TODAY())-$K380))</f>
        <v/>
      </c>
      <c r="O380" s="135">
        <f>IF(OR($F380="",$I380=""),"",$N380*P_Amende)</f>
        <v/>
      </c>
      <c r="P380" s="133" t="n"/>
      <c r="R380">
        <f>IF($M380="En retard",$N380+ROW()/100000,"")</f>
        <v/>
      </c>
      <c r="S380">
        <f>IF(OR($F380="",$I380=""),"",$F380+ROW()/100000)</f>
        <v/>
      </c>
      <c r="T380">
        <f>IF($I380="","",IFERROR(INDEX(LIV_Cat,MATCH($I380,LIV_Code,0)),""))</f>
        <v/>
      </c>
    </row>
    <row r="381" ht="21" customHeight="1">
      <c r="A381" s="1" t="n"/>
      <c r="B381" s="1" t="n"/>
      <c r="C381" s="2" t="n"/>
      <c r="E381" s="130">
        <f>IF($F381="","","EMP-"&amp;TEXT(ROW()-6,"0000"))</f>
        <v/>
      </c>
      <c r="F381" s="134" t="n"/>
      <c r="G381" s="127" t="n"/>
      <c r="H381" s="130">
        <f>IF($G381="","",IFERROR(INDEX(MEM_Nom,MATCH($G381,MEM_ID,0)),"⚠ ID inconnu"))</f>
        <v/>
      </c>
      <c r="I381" s="127" t="n"/>
      <c r="J381" s="130">
        <f>IF($I381="","",IFERROR(INDEX(LIV_Titre,MATCH($I381,LIV_Code,0)),"⚠ Code inconnu"))</f>
        <v/>
      </c>
      <c r="K381" s="138">
        <f>IF($F381="","",$F381+P_Duree)</f>
        <v/>
      </c>
      <c r="L381" s="134" t="n"/>
      <c r="M381" s="130">
        <f>IF(OR($F381="",$I381=""),"",IF($L381&lt;&gt;"",IF($L381&gt;$K381,"Rendu en retard","Rendu"),IF(TODAY()&gt;$K381,"En retard","En cours")))</f>
        <v/>
      </c>
      <c r="N381" s="139">
        <f>IF(OR($F381="",$I381=""),"",MAX(0,IF($L381&lt;&gt;"",$L381,TODAY())-$K381))</f>
        <v/>
      </c>
      <c r="O381" s="135">
        <f>IF(OR($F381="",$I381=""),"",$N381*P_Amende)</f>
        <v/>
      </c>
      <c r="P381" s="133" t="n"/>
      <c r="R381">
        <f>IF($M381="En retard",$N381+ROW()/100000,"")</f>
        <v/>
      </c>
      <c r="S381">
        <f>IF(OR($F381="",$I381=""),"",$F381+ROW()/100000)</f>
        <v/>
      </c>
      <c r="T381">
        <f>IF($I381="","",IFERROR(INDEX(LIV_Cat,MATCH($I381,LIV_Code,0)),""))</f>
        <v/>
      </c>
    </row>
    <row r="382" ht="21" customHeight="1">
      <c r="A382" s="1" t="n"/>
      <c r="B382" s="1" t="n"/>
      <c r="C382" s="2" t="n"/>
      <c r="E382" s="130">
        <f>IF($F382="","","EMP-"&amp;TEXT(ROW()-6,"0000"))</f>
        <v/>
      </c>
      <c r="F382" s="134" t="n"/>
      <c r="G382" s="127" t="n"/>
      <c r="H382" s="130">
        <f>IF($G382="","",IFERROR(INDEX(MEM_Nom,MATCH($G382,MEM_ID,0)),"⚠ ID inconnu"))</f>
        <v/>
      </c>
      <c r="I382" s="127" t="n"/>
      <c r="J382" s="130">
        <f>IF($I382="","",IFERROR(INDEX(LIV_Titre,MATCH($I382,LIV_Code,0)),"⚠ Code inconnu"))</f>
        <v/>
      </c>
      <c r="K382" s="138">
        <f>IF($F382="","",$F382+P_Duree)</f>
        <v/>
      </c>
      <c r="L382" s="134" t="n"/>
      <c r="M382" s="130">
        <f>IF(OR($F382="",$I382=""),"",IF($L382&lt;&gt;"",IF($L382&gt;$K382,"Rendu en retard","Rendu"),IF(TODAY()&gt;$K382,"En retard","En cours")))</f>
        <v/>
      </c>
      <c r="N382" s="139">
        <f>IF(OR($F382="",$I382=""),"",MAX(0,IF($L382&lt;&gt;"",$L382,TODAY())-$K382))</f>
        <v/>
      </c>
      <c r="O382" s="135">
        <f>IF(OR($F382="",$I382=""),"",$N382*P_Amende)</f>
        <v/>
      </c>
      <c r="P382" s="133" t="n"/>
      <c r="R382">
        <f>IF($M382="En retard",$N382+ROW()/100000,"")</f>
        <v/>
      </c>
      <c r="S382">
        <f>IF(OR($F382="",$I382=""),"",$F382+ROW()/100000)</f>
        <v/>
      </c>
      <c r="T382">
        <f>IF($I382="","",IFERROR(INDEX(LIV_Cat,MATCH($I382,LIV_Code,0)),""))</f>
        <v/>
      </c>
    </row>
    <row r="383" ht="21" customHeight="1">
      <c r="A383" s="1" t="n"/>
      <c r="B383" s="1" t="n"/>
      <c r="C383" s="2" t="n"/>
      <c r="E383" s="130">
        <f>IF($F383="","","EMP-"&amp;TEXT(ROW()-6,"0000"))</f>
        <v/>
      </c>
      <c r="F383" s="134" t="n"/>
      <c r="G383" s="127" t="n"/>
      <c r="H383" s="130">
        <f>IF($G383="","",IFERROR(INDEX(MEM_Nom,MATCH($G383,MEM_ID,0)),"⚠ ID inconnu"))</f>
        <v/>
      </c>
      <c r="I383" s="127" t="n"/>
      <c r="J383" s="130">
        <f>IF($I383="","",IFERROR(INDEX(LIV_Titre,MATCH($I383,LIV_Code,0)),"⚠ Code inconnu"))</f>
        <v/>
      </c>
      <c r="K383" s="138">
        <f>IF($F383="","",$F383+P_Duree)</f>
        <v/>
      </c>
      <c r="L383" s="134" t="n"/>
      <c r="M383" s="130">
        <f>IF(OR($F383="",$I383=""),"",IF($L383&lt;&gt;"",IF($L383&gt;$K383,"Rendu en retard","Rendu"),IF(TODAY()&gt;$K383,"En retard","En cours")))</f>
        <v/>
      </c>
      <c r="N383" s="139">
        <f>IF(OR($F383="",$I383=""),"",MAX(0,IF($L383&lt;&gt;"",$L383,TODAY())-$K383))</f>
        <v/>
      </c>
      <c r="O383" s="135">
        <f>IF(OR($F383="",$I383=""),"",$N383*P_Amende)</f>
        <v/>
      </c>
      <c r="P383" s="133" t="n"/>
      <c r="R383">
        <f>IF($M383="En retard",$N383+ROW()/100000,"")</f>
        <v/>
      </c>
      <c r="S383">
        <f>IF(OR($F383="",$I383=""),"",$F383+ROW()/100000)</f>
        <v/>
      </c>
      <c r="T383">
        <f>IF($I383="","",IFERROR(INDEX(LIV_Cat,MATCH($I383,LIV_Code,0)),""))</f>
        <v/>
      </c>
    </row>
    <row r="384" ht="21" customHeight="1">
      <c r="A384" s="1" t="n"/>
      <c r="B384" s="1" t="n"/>
      <c r="C384" s="2" t="n"/>
      <c r="E384" s="130">
        <f>IF($F384="","","EMP-"&amp;TEXT(ROW()-6,"0000"))</f>
        <v/>
      </c>
      <c r="F384" s="134" t="n"/>
      <c r="G384" s="127" t="n"/>
      <c r="H384" s="130">
        <f>IF($G384="","",IFERROR(INDEX(MEM_Nom,MATCH($G384,MEM_ID,0)),"⚠ ID inconnu"))</f>
        <v/>
      </c>
      <c r="I384" s="127" t="n"/>
      <c r="J384" s="130">
        <f>IF($I384="","",IFERROR(INDEX(LIV_Titre,MATCH($I384,LIV_Code,0)),"⚠ Code inconnu"))</f>
        <v/>
      </c>
      <c r="K384" s="138">
        <f>IF($F384="","",$F384+P_Duree)</f>
        <v/>
      </c>
      <c r="L384" s="134" t="n"/>
      <c r="M384" s="130">
        <f>IF(OR($F384="",$I384=""),"",IF($L384&lt;&gt;"",IF($L384&gt;$K384,"Rendu en retard","Rendu"),IF(TODAY()&gt;$K384,"En retard","En cours")))</f>
        <v/>
      </c>
      <c r="N384" s="139">
        <f>IF(OR($F384="",$I384=""),"",MAX(0,IF($L384&lt;&gt;"",$L384,TODAY())-$K384))</f>
        <v/>
      </c>
      <c r="O384" s="135">
        <f>IF(OR($F384="",$I384=""),"",$N384*P_Amende)</f>
        <v/>
      </c>
      <c r="P384" s="133" t="n"/>
      <c r="R384">
        <f>IF($M384="En retard",$N384+ROW()/100000,"")</f>
        <v/>
      </c>
      <c r="S384">
        <f>IF(OR($F384="",$I384=""),"",$F384+ROW()/100000)</f>
        <v/>
      </c>
      <c r="T384">
        <f>IF($I384="","",IFERROR(INDEX(LIV_Cat,MATCH($I384,LIV_Code,0)),""))</f>
        <v/>
      </c>
    </row>
    <row r="385" ht="21" customHeight="1">
      <c r="A385" s="1" t="n"/>
      <c r="B385" s="1" t="n"/>
      <c r="C385" s="2" t="n"/>
      <c r="E385" s="130">
        <f>IF($F385="","","EMP-"&amp;TEXT(ROW()-6,"0000"))</f>
        <v/>
      </c>
      <c r="F385" s="134" t="n"/>
      <c r="G385" s="127" t="n"/>
      <c r="H385" s="130">
        <f>IF($G385="","",IFERROR(INDEX(MEM_Nom,MATCH($G385,MEM_ID,0)),"⚠ ID inconnu"))</f>
        <v/>
      </c>
      <c r="I385" s="127" t="n"/>
      <c r="J385" s="130">
        <f>IF($I385="","",IFERROR(INDEX(LIV_Titre,MATCH($I385,LIV_Code,0)),"⚠ Code inconnu"))</f>
        <v/>
      </c>
      <c r="K385" s="138">
        <f>IF($F385="","",$F385+P_Duree)</f>
        <v/>
      </c>
      <c r="L385" s="134" t="n"/>
      <c r="M385" s="130">
        <f>IF(OR($F385="",$I385=""),"",IF($L385&lt;&gt;"",IF($L385&gt;$K385,"Rendu en retard","Rendu"),IF(TODAY()&gt;$K385,"En retard","En cours")))</f>
        <v/>
      </c>
      <c r="N385" s="139">
        <f>IF(OR($F385="",$I385=""),"",MAX(0,IF($L385&lt;&gt;"",$L385,TODAY())-$K385))</f>
        <v/>
      </c>
      <c r="O385" s="135">
        <f>IF(OR($F385="",$I385=""),"",$N385*P_Amende)</f>
        <v/>
      </c>
      <c r="P385" s="133" t="n"/>
      <c r="R385">
        <f>IF($M385="En retard",$N385+ROW()/100000,"")</f>
        <v/>
      </c>
      <c r="S385">
        <f>IF(OR($F385="",$I385=""),"",$F385+ROW()/100000)</f>
        <v/>
      </c>
      <c r="T385">
        <f>IF($I385="","",IFERROR(INDEX(LIV_Cat,MATCH($I385,LIV_Code,0)),""))</f>
        <v/>
      </c>
    </row>
    <row r="386" ht="21" customHeight="1">
      <c r="A386" s="1" t="n"/>
      <c r="B386" s="1" t="n"/>
      <c r="C386" s="2" t="n"/>
      <c r="E386" s="130">
        <f>IF($F386="","","EMP-"&amp;TEXT(ROW()-6,"0000"))</f>
        <v/>
      </c>
      <c r="F386" s="134" t="n"/>
      <c r="G386" s="127" t="n"/>
      <c r="H386" s="130">
        <f>IF($G386="","",IFERROR(INDEX(MEM_Nom,MATCH($G386,MEM_ID,0)),"⚠ ID inconnu"))</f>
        <v/>
      </c>
      <c r="I386" s="127" t="n"/>
      <c r="J386" s="130">
        <f>IF($I386="","",IFERROR(INDEX(LIV_Titre,MATCH($I386,LIV_Code,0)),"⚠ Code inconnu"))</f>
        <v/>
      </c>
      <c r="K386" s="138">
        <f>IF($F386="","",$F386+P_Duree)</f>
        <v/>
      </c>
      <c r="L386" s="134" t="n"/>
      <c r="M386" s="130">
        <f>IF(OR($F386="",$I386=""),"",IF($L386&lt;&gt;"",IF($L386&gt;$K386,"Rendu en retard","Rendu"),IF(TODAY()&gt;$K386,"En retard","En cours")))</f>
        <v/>
      </c>
      <c r="N386" s="139">
        <f>IF(OR($F386="",$I386=""),"",MAX(0,IF($L386&lt;&gt;"",$L386,TODAY())-$K386))</f>
        <v/>
      </c>
      <c r="O386" s="135">
        <f>IF(OR($F386="",$I386=""),"",$N386*P_Amende)</f>
        <v/>
      </c>
      <c r="P386" s="133" t="n"/>
      <c r="R386">
        <f>IF($M386="En retard",$N386+ROW()/100000,"")</f>
        <v/>
      </c>
      <c r="S386">
        <f>IF(OR($F386="",$I386=""),"",$F386+ROW()/100000)</f>
        <v/>
      </c>
      <c r="T386">
        <f>IF($I386="","",IFERROR(INDEX(LIV_Cat,MATCH($I386,LIV_Code,0)),""))</f>
        <v/>
      </c>
    </row>
    <row r="387" ht="21" customHeight="1">
      <c r="A387" s="1" t="n"/>
      <c r="B387" s="1" t="n"/>
      <c r="C387" s="2" t="n"/>
      <c r="E387" s="130">
        <f>IF($F387="","","EMP-"&amp;TEXT(ROW()-6,"0000"))</f>
        <v/>
      </c>
      <c r="F387" s="134" t="n"/>
      <c r="G387" s="127" t="n"/>
      <c r="H387" s="130">
        <f>IF($G387="","",IFERROR(INDEX(MEM_Nom,MATCH($G387,MEM_ID,0)),"⚠ ID inconnu"))</f>
        <v/>
      </c>
      <c r="I387" s="127" t="n"/>
      <c r="J387" s="130">
        <f>IF($I387="","",IFERROR(INDEX(LIV_Titre,MATCH($I387,LIV_Code,0)),"⚠ Code inconnu"))</f>
        <v/>
      </c>
      <c r="K387" s="138">
        <f>IF($F387="","",$F387+P_Duree)</f>
        <v/>
      </c>
      <c r="L387" s="134" t="n"/>
      <c r="M387" s="130">
        <f>IF(OR($F387="",$I387=""),"",IF($L387&lt;&gt;"",IF($L387&gt;$K387,"Rendu en retard","Rendu"),IF(TODAY()&gt;$K387,"En retard","En cours")))</f>
        <v/>
      </c>
      <c r="N387" s="139">
        <f>IF(OR($F387="",$I387=""),"",MAX(0,IF($L387&lt;&gt;"",$L387,TODAY())-$K387))</f>
        <v/>
      </c>
      <c r="O387" s="135">
        <f>IF(OR($F387="",$I387=""),"",$N387*P_Amende)</f>
        <v/>
      </c>
      <c r="P387" s="133" t="n"/>
      <c r="R387">
        <f>IF($M387="En retard",$N387+ROW()/100000,"")</f>
        <v/>
      </c>
      <c r="S387">
        <f>IF(OR($F387="",$I387=""),"",$F387+ROW()/100000)</f>
        <v/>
      </c>
      <c r="T387">
        <f>IF($I387="","",IFERROR(INDEX(LIV_Cat,MATCH($I387,LIV_Code,0)),""))</f>
        <v/>
      </c>
    </row>
    <row r="388" ht="21" customHeight="1">
      <c r="A388" s="1" t="n"/>
      <c r="B388" s="1" t="n"/>
      <c r="C388" s="2" t="n"/>
      <c r="E388" s="130">
        <f>IF($F388="","","EMP-"&amp;TEXT(ROW()-6,"0000"))</f>
        <v/>
      </c>
      <c r="F388" s="134" t="n"/>
      <c r="G388" s="127" t="n"/>
      <c r="H388" s="130">
        <f>IF($G388="","",IFERROR(INDEX(MEM_Nom,MATCH($G388,MEM_ID,0)),"⚠ ID inconnu"))</f>
        <v/>
      </c>
      <c r="I388" s="127" t="n"/>
      <c r="J388" s="130">
        <f>IF($I388="","",IFERROR(INDEX(LIV_Titre,MATCH($I388,LIV_Code,0)),"⚠ Code inconnu"))</f>
        <v/>
      </c>
      <c r="K388" s="138">
        <f>IF($F388="","",$F388+P_Duree)</f>
        <v/>
      </c>
      <c r="L388" s="134" t="n"/>
      <c r="M388" s="130">
        <f>IF(OR($F388="",$I388=""),"",IF($L388&lt;&gt;"",IF($L388&gt;$K388,"Rendu en retard","Rendu"),IF(TODAY()&gt;$K388,"En retard","En cours")))</f>
        <v/>
      </c>
      <c r="N388" s="139">
        <f>IF(OR($F388="",$I388=""),"",MAX(0,IF($L388&lt;&gt;"",$L388,TODAY())-$K388))</f>
        <v/>
      </c>
      <c r="O388" s="135">
        <f>IF(OR($F388="",$I388=""),"",$N388*P_Amende)</f>
        <v/>
      </c>
      <c r="P388" s="133" t="n"/>
      <c r="R388">
        <f>IF($M388="En retard",$N388+ROW()/100000,"")</f>
        <v/>
      </c>
      <c r="S388">
        <f>IF(OR($F388="",$I388=""),"",$F388+ROW()/100000)</f>
        <v/>
      </c>
      <c r="T388">
        <f>IF($I388="","",IFERROR(INDEX(LIV_Cat,MATCH($I388,LIV_Code,0)),""))</f>
        <v/>
      </c>
    </row>
    <row r="389" ht="21" customHeight="1">
      <c r="A389" s="1" t="n"/>
      <c r="B389" s="1" t="n"/>
      <c r="C389" s="2" t="n"/>
      <c r="E389" s="130">
        <f>IF($F389="","","EMP-"&amp;TEXT(ROW()-6,"0000"))</f>
        <v/>
      </c>
      <c r="F389" s="134" t="n"/>
      <c r="G389" s="127" t="n"/>
      <c r="H389" s="130">
        <f>IF($G389="","",IFERROR(INDEX(MEM_Nom,MATCH($G389,MEM_ID,0)),"⚠ ID inconnu"))</f>
        <v/>
      </c>
      <c r="I389" s="127" t="n"/>
      <c r="J389" s="130">
        <f>IF($I389="","",IFERROR(INDEX(LIV_Titre,MATCH($I389,LIV_Code,0)),"⚠ Code inconnu"))</f>
        <v/>
      </c>
      <c r="K389" s="138">
        <f>IF($F389="","",$F389+P_Duree)</f>
        <v/>
      </c>
      <c r="L389" s="134" t="n"/>
      <c r="M389" s="130">
        <f>IF(OR($F389="",$I389=""),"",IF($L389&lt;&gt;"",IF($L389&gt;$K389,"Rendu en retard","Rendu"),IF(TODAY()&gt;$K389,"En retard","En cours")))</f>
        <v/>
      </c>
      <c r="N389" s="139">
        <f>IF(OR($F389="",$I389=""),"",MAX(0,IF($L389&lt;&gt;"",$L389,TODAY())-$K389))</f>
        <v/>
      </c>
      <c r="O389" s="135">
        <f>IF(OR($F389="",$I389=""),"",$N389*P_Amende)</f>
        <v/>
      </c>
      <c r="P389" s="133" t="n"/>
      <c r="R389">
        <f>IF($M389="En retard",$N389+ROW()/100000,"")</f>
        <v/>
      </c>
      <c r="S389">
        <f>IF(OR($F389="",$I389=""),"",$F389+ROW()/100000)</f>
        <v/>
      </c>
      <c r="T389">
        <f>IF($I389="","",IFERROR(INDEX(LIV_Cat,MATCH($I389,LIV_Code,0)),""))</f>
        <v/>
      </c>
    </row>
    <row r="390" ht="21" customHeight="1">
      <c r="A390" s="1" t="n"/>
      <c r="B390" s="1" t="n"/>
      <c r="C390" s="2" t="n"/>
      <c r="E390" s="130">
        <f>IF($F390="","","EMP-"&amp;TEXT(ROW()-6,"0000"))</f>
        <v/>
      </c>
      <c r="F390" s="134" t="n"/>
      <c r="G390" s="127" t="n"/>
      <c r="H390" s="130">
        <f>IF($G390="","",IFERROR(INDEX(MEM_Nom,MATCH($G390,MEM_ID,0)),"⚠ ID inconnu"))</f>
        <v/>
      </c>
      <c r="I390" s="127" t="n"/>
      <c r="J390" s="130">
        <f>IF($I390="","",IFERROR(INDEX(LIV_Titre,MATCH($I390,LIV_Code,0)),"⚠ Code inconnu"))</f>
        <v/>
      </c>
      <c r="K390" s="138">
        <f>IF($F390="","",$F390+P_Duree)</f>
        <v/>
      </c>
      <c r="L390" s="134" t="n"/>
      <c r="M390" s="130">
        <f>IF(OR($F390="",$I390=""),"",IF($L390&lt;&gt;"",IF($L390&gt;$K390,"Rendu en retard","Rendu"),IF(TODAY()&gt;$K390,"En retard","En cours")))</f>
        <v/>
      </c>
      <c r="N390" s="139">
        <f>IF(OR($F390="",$I390=""),"",MAX(0,IF($L390&lt;&gt;"",$L390,TODAY())-$K390))</f>
        <v/>
      </c>
      <c r="O390" s="135">
        <f>IF(OR($F390="",$I390=""),"",$N390*P_Amende)</f>
        <v/>
      </c>
      <c r="P390" s="133" t="n"/>
      <c r="R390">
        <f>IF($M390="En retard",$N390+ROW()/100000,"")</f>
        <v/>
      </c>
      <c r="S390">
        <f>IF(OR($F390="",$I390=""),"",$F390+ROW()/100000)</f>
        <v/>
      </c>
      <c r="T390">
        <f>IF($I390="","",IFERROR(INDEX(LIV_Cat,MATCH($I390,LIV_Code,0)),""))</f>
        <v/>
      </c>
    </row>
    <row r="391" ht="21" customHeight="1">
      <c r="A391" s="1" t="n"/>
      <c r="B391" s="1" t="n"/>
      <c r="C391" s="2" t="n"/>
      <c r="E391" s="130">
        <f>IF($F391="","","EMP-"&amp;TEXT(ROW()-6,"0000"))</f>
        <v/>
      </c>
      <c r="F391" s="134" t="n"/>
      <c r="G391" s="127" t="n"/>
      <c r="H391" s="130">
        <f>IF($G391="","",IFERROR(INDEX(MEM_Nom,MATCH($G391,MEM_ID,0)),"⚠ ID inconnu"))</f>
        <v/>
      </c>
      <c r="I391" s="127" t="n"/>
      <c r="J391" s="130">
        <f>IF($I391="","",IFERROR(INDEX(LIV_Titre,MATCH($I391,LIV_Code,0)),"⚠ Code inconnu"))</f>
        <v/>
      </c>
      <c r="K391" s="138">
        <f>IF($F391="","",$F391+P_Duree)</f>
        <v/>
      </c>
      <c r="L391" s="134" t="n"/>
      <c r="M391" s="130">
        <f>IF(OR($F391="",$I391=""),"",IF($L391&lt;&gt;"",IF($L391&gt;$K391,"Rendu en retard","Rendu"),IF(TODAY()&gt;$K391,"En retard","En cours")))</f>
        <v/>
      </c>
      <c r="N391" s="139">
        <f>IF(OR($F391="",$I391=""),"",MAX(0,IF($L391&lt;&gt;"",$L391,TODAY())-$K391))</f>
        <v/>
      </c>
      <c r="O391" s="135">
        <f>IF(OR($F391="",$I391=""),"",$N391*P_Amende)</f>
        <v/>
      </c>
      <c r="P391" s="133" t="n"/>
      <c r="R391">
        <f>IF($M391="En retard",$N391+ROW()/100000,"")</f>
        <v/>
      </c>
      <c r="S391">
        <f>IF(OR($F391="",$I391=""),"",$F391+ROW()/100000)</f>
        <v/>
      </c>
      <c r="T391">
        <f>IF($I391="","",IFERROR(INDEX(LIV_Cat,MATCH($I391,LIV_Code,0)),""))</f>
        <v/>
      </c>
    </row>
    <row r="392" ht="21" customHeight="1">
      <c r="A392" s="1" t="n"/>
      <c r="B392" s="1" t="n"/>
      <c r="C392" s="2" t="n"/>
      <c r="E392" s="130">
        <f>IF($F392="","","EMP-"&amp;TEXT(ROW()-6,"0000"))</f>
        <v/>
      </c>
      <c r="F392" s="134" t="n"/>
      <c r="G392" s="127" t="n"/>
      <c r="H392" s="130">
        <f>IF($G392="","",IFERROR(INDEX(MEM_Nom,MATCH($G392,MEM_ID,0)),"⚠ ID inconnu"))</f>
        <v/>
      </c>
      <c r="I392" s="127" t="n"/>
      <c r="J392" s="130">
        <f>IF($I392="","",IFERROR(INDEX(LIV_Titre,MATCH($I392,LIV_Code,0)),"⚠ Code inconnu"))</f>
        <v/>
      </c>
      <c r="K392" s="138">
        <f>IF($F392="","",$F392+P_Duree)</f>
        <v/>
      </c>
      <c r="L392" s="134" t="n"/>
      <c r="M392" s="130">
        <f>IF(OR($F392="",$I392=""),"",IF($L392&lt;&gt;"",IF($L392&gt;$K392,"Rendu en retard","Rendu"),IF(TODAY()&gt;$K392,"En retard","En cours")))</f>
        <v/>
      </c>
      <c r="N392" s="139">
        <f>IF(OR($F392="",$I392=""),"",MAX(0,IF($L392&lt;&gt;"",$L392,TODAY())-$K392))</f>
        <v/>
      </c>
      <c r="O392" s="135">
        <f>IF(OR($F392="",$I392=""),"",$N392*P_Amende)</f>
        <v/>
      </c>
      <c r="P392" s="133" t="n"/>
      <c r="R392">
        <f>IF($M392="En retard",$N392+ROW()/100000,"")</f>
        <v/>
      </c>
      <c r="S392">
        <f>IF(OR($F392="",$I392=""),"",$F392+ROW()/100000)</f>
        <v/>
      </c>
      <c r="T392">
        <f>IF($I392="","",IFERROR(INDEX(LIV_Cat,MATCH($I392,LIV_Code,0)),""))</f>
        <v/>
      </c>
    </row>
    <row r="393" ht="21" customHeight="1">
      <c r="A393" s="1" t="n"/>
      <c r="B393" s="1" t="n"/>
      <c r="C393" s="2" t="n"/>
      <c r="E393" s="130">
        <f>IF($F393="","","EMP-"&amp;TEXT(ROW()-6,"0000"))</f>
        <v/>
      </c>
      <c r="F393" s="134" t="n"/>
      <c r="G393" s="127" t="n"/>
      <c r="H393" s="130">
        <f>IF($G393="","",IFERROR(INDEX(MEM_Nom,MATCH($G393,MEM_ID,0)),"⚠ ID inconnu"))</f>
        <v/>
      </c>
      <c r="I393" s="127" t="n"/>
      <c r="J393" s="130">
        <f>IF($I393="","",IFERROR(INDEX(LIV_Titre,MATCH($I393,LIV_Code,0)),"⚠ Code inconnu"))</f>
        <v/>
      </c>
      <c r="K393" s="138">
        <f>IF($F393="","",$F393+P_Duree)</f>
        <v/>
      </c>
      <c r="L393" s="134" t="n"/>
      <c r="M393" s="130">
        <f>IF(OR($F393="",$I393=""),"",IF($L393&lt;&gt;"",IF($L393&gt;$K393,"Rendu en retard","Rendu"),IF(TODAY()&gt;$K393,"En retard","En cours")))</f>
        <v/>
      </c>
      <c r="N393" s="139">
        <f>IF(OR($F393="",$I393=""),"",MAX(0,IF($L393&lt;&gt;"",$L393,TODAY())-$K393))</f>
        <v/>
      </c>
      <c r="O393" s="135">
        <f>IF(OR($F393="",$I393=""),"",$N393*P_Amende)</f>
        <v/>
      </c>
      <c r="P393" s="133" t="n"/>
      <c r="R393">
        <f>IF($M393="En retard",$N393+ROW()/100000,"")</f>
        <v/>
      </c>
      <c r="S393">
        <f>IF(OR($F393="",$I393=""),"",$F393+ROW()/100000)</f>
        <v/>
      </c>
      <c r="T393">
        <f>IF($I393="","",IFERROR(INDEX(LIV_Cat,MATCH($I393,LIV_Code,0)),""))</f>
        <v/>
      </c>
    </row>
    <row r="394" ht="21" customHeight="1">
      <c r="A394" s="1" t="n"/>
      <c r="B394" s="1" t="n"/>
      <c r="C394" s="2" t="n"/>
      <c r="E394" s="130">
        <f>IF($F394="","","EMP-"&amp;TEXT(ROW()-6,"0000"))</f>
        <v/>
      </c>
      <c r="F394" s="134" t="n"/>
      <c r="G394" s="127" t="n"/>
      <c r="H394" s="130">
        <f>IF($G394="","",IFERROR(INDEX(MEM_Nom,MATCH($G394,MEM_ID,0)),"⚠ ID inconnu"))</f>
        <v/>
      </c>
      <c r="I394" s="127" t="n"/>
      <c r="J394" s="130">
        <f>IF($I394="","",IFERROR(INDEX(LIV_Titre,MATCH($I394,LIV_Code,0)),"⚠ Code inconnu"))</f>
        <v/>
      </c>
      <c r="K394" s="138">
        <f>IF($F394="","",$F394+P_Duree)</f>
        <v/>
      </c>
      <c r="L394" s="134" t="n"/>
      <c r="M394" s="130">
        <f>IF(OR($F394="",$I394=""),"",IF($L394&lt;&gt;"",IF($L394&gt;$K394,"Rendu en retard","Rendu"),IF(TODAY()&gt;$K394,"En retard","En cours")))</f>
        <v/>
      </c>
      <c r="N394" s="139">
        <f>IF(OR($F394="",$I394=""),"",MAX(0,IF($L394&lt;&gt;"",$L394,TODAY())-$K394))</f>
        <v/>
      </c>
      <c r="O394" s="135">
        <f>IF(OR($F394="",$I394=""),"",$N394*P_Amende)</f>
        <v/>
      </c>
      <c r="P394" s="133" t="n"/>
      <c r="R394">
        <f>IF($M394="En retard",$N394+ROW()/100000,"")</f>
        <v/>
      </c>
      <c r="S394">
        <f>IF(OR($F394="",$I394=""),"",$F394+ROW()/100000)</f>
        <v/>
      </c>
      <c r="T394">
        <f>IF($I394="","",IFERROR(INDEX(LIV_Cat,MATCH($I394,LIV_Code,0)),""))</f>
        <v/>
      </c>
    </row>
    <row r="395" ht="21" customHeight="1">
      <c r="A395" s="1" t="n"/>
      <c r="B395" s="1" t="n"/>
      <c r="C395" s="2" t="n"/>
      <c r="E395" s="130">
        <f>IF($F395="","","EMP-"&amp;TEXT(ROW()-6,"0000"))</f>
        <v/>
      </c>
      <c r="F395" s="134" t="n"/>
      <c r="G395" s="127" t="n"/>
      <c r="H395" s="130">
        <f>IF($G395="","",IFERROR(INDEX(MEM_Nom,MATCH($G395,MEM_ID,0)),"⚠ ID inconnu"))</f>
        <v/>
      </c>
      <c r="I395" s="127" t="n"/>
      <c r="J395" s="130">
        <f>IF($I395="","",IFERROR(INDEX(LIV_Titre,MATCH($I395,LIV_Code,0)),"⚠ Code inconnu"))</f>
        <v/>
      </c>
      <c r="K395" s="138">
        <f>IF($F395="","",$F395+P_Duree)</f>
        <v/>
      </c>
      <c r="L395" s="134" t="n"/>
      <c r="M395" s="130">
        <f>IF(OR($F395="",$I395=""),"",IF($L395&lt;&gt;"",IF($L395&gt;$K395,"Rendu en retard","Rendu"),IF(TODAY()&gt;$K395,"En retard","En cours")))</f>
        <v/>
      </c>
      <c r="N395" s="139">
        <f>IF(OR($F395="",$I395=""),"",MAX(0,IF($L395&lt;&gt;"",$L395,TODAY())-$K395))</f>
        <v/>
      </c>
      <c r="O395" s="135">
        <f>IF(OR($F395="",$I395=""),"",$N395*P_Amende)</f>
        <v/>
      </c>
      <c r="P395" s="133" t="n"/>
      <c r="R395">
        <f>IF($M395="En retard",$N395+ROW()/100000,"")</f>
        <v/>
      </c>
      <c r="S395">
        <f>IF(OR($F395="",$I395=""),"",$F395+ROW()/100000)</f>
        <v/>
      </c>
      <c r="T395">
        <f>IF($I395="","",IFERROR(INDEX(LIV_Cat,MATCH($I395,LIV_Code,0)),""))</f>
        <v/>
      </c>
    </row>
    <row r="396" ht="21" customHeight="1">
      <c r="A396" s="1" t="n"/>
      <c r="B396" s="1" t="n"/>
      <c r="C396" s="2" t="n"/>
      <c r="E396" s="130">
        <f>IF($F396="","","EMP-"&amp;TEXT(ROW()-6,"0000"))</f>
        <v/>
      </c>
      <c r="F396" s="134" t="n"/>
      <c r="G396" s="127" t="n"/>
      <c r="H396" s="130">
        <f>IF($G396="","",IFERROR(INDEX(MEM_Nom,MATCH($G396,MEM_ID,0)),"⚠ ID inconnu"))</f>
        <v/>
      </c>
      <c r="I396" s="127" t="n"/>
      <c r="J396" s="130">
        <f>IF($I396="","",IFERROR(INDEX(LIV_Titre,MATCH($I396,LIV_Code,0)),"⚠ Code inconnu"))</f>
        <v/>
      </c>
      <c r="K396" s="138">
        <f>IF($F396="","",$F396+P_Duree)</f>
        <v/>
      </c>
      <c r="L396" s="134" t="n"/>
      <c r="M396" s="130">
        <f>IF(OR($F396="",$I396=""),"",IF($L396&lt;&gt;"",IF($L396&gt;$K396,"Rendu en retard","Rendu"),IF(TODAY()&gt;$K396,"En retard","En cours")))</f>
        <v/>
      </c>
      <c r="N396" s="139">
        <f>IF(OR($F396="",$I396=""),"",MAX(0,IF($L396&lt;&gt;"",$L396,TODAY())-$K396))</f>
        <v/>
      </c>
      <c r="O396" s="135">
        <f>IF(OR($F396="",$I396=""),"",$N396*P_Amende)</f>
        <v/>
      </c>
      <c r="P396" s="133" t="n"/>
      <c r="R396">
        <f>IF($M396="En retard",$N396+ROW()/100000,"")</f>
        <v/>
      </c>
      <c r="S396">
        <f>IF(OR($F396="",$I396=""),"",$F396+ROW()/100000)</f>
        <v/>
      </c>
      <c r="T396">
        <f>IF($I396="","",IFERROR(INDEX(LIV_Cat,MATCH($I396,LIV_Code,0)),""))</f>
        <v/>
      </c>
    </row>
    <row r="397" ht="21" customHeight="1">
      <c r="A397" s="1" t="n"/>
      <c r="B397" s="1" t="n"/>
      <c r="C397" s="2" t="n"/>
      <c r="E397" s="130">
        <f>IF($F397="","","EMP-"&amp;TEXT(ROW()-6,"0000"))</f>
        <v/>
      </c>
      <c r="F397" s="134" t="n"/>
      <c r="G397" s="127" t="n"/>
      <c r="H397" s="130">
        <f>IF($G397="","",IFERROR(INDEX(MEM_Nom,MATCH($G397,MEM_ID,0)),"⚠ ID inconnu"))</f>
        <v/>
      </c>
      <c r="I397" s="127" t="n"/>
      <c r="J397" s="130">
        <f>IF($I397="","",IFERROR(INDEX(LIV_Titre,MATCH($I397,LIV_Code,0)),"⚠ Code inconnu"))</f>
        <v/>
      </c>
      <c r="K397" s="138">
        <f>IF($F397="","",$F397+P_Duree)</f>
        <v/>
      </c>
      <c r="L397" s="134" t="n"/>
      <c r="M397" s="130">
        <f>IF(OR($F397="",$I397=""),"",IF($L397&lt;&gt;"",IF($L397&gt;$K397,"Rendu en retard","Rendu"),IF(TODAY()&gt;$K397,"En retard","En cours")))</f>
        <v/>
      </c>
      <c r="N397" s="139">
        <f>IF(OR($F397="",$I397=""),"",MAX(0,IF($L397&lt;&gt;"",$L397,TODAY())-$K397))</f>
        <v/>
      </c>
      <c r="O397" s="135">
        <f>IF(OR($F397="",$I397=""),"",$N397*P_Amende)</f>
        <v/>
      </c>
      <c r="P397" s="133" t="n"/>
      <c r="R397">
        <f>IF($M397="En retard",$N397+ROW()/100000,"")</f>
        <v/>
      </c>
      <c r="S397">
        <f>IF(OR($F397="",$I397=""),"",$F397+ROW()/100000)</f>
        <v/>
      </c>
      <c r="T397">
        <f>IF($I397="","",IFERROR(INDEX(LIV_Cat,MATCH($I397,LIV_Code,0)),""))</f>
        <v/>
      </c>
    </row>
    <row r="398" ht="21" customHeight="1">
      <c r="A398" s="1" t="n"/>
      <c r="B398" s="1" t="n"/>
      <c r="C398" s="2" t="n"/>
      <c r="E398" s="130">
        <f>IF($F398="","","EMP-"&amp;TEXT(ROW()-6,"0000"))</f>
        <v/>
      </c>
      <c r="F398" s="134" t="n"/>
      <c r="G398" s="127" t="n"/>
      <c r="H398" s="130">
        <f>IF($G398="","",IFERROR(INDEX(MEM_Nom,MATCH($G398,MEM_ID,0)),"⚠ ID inconnu"))</f>
        <v/>
      </c>
      <c r="I398" s="127" t="n"/>
      <c r="J398" s="130">
        <f>IF($I398="","",IFERROR(INDEX(LIV_Titre,MATCH($I398,LIV_Code,0)),"⚠ Code inconnu"))</f>
        <v/>
      </c>
      <c r="K398" s="138">
        <f>IF($F398="","",$F398+P_Duree)</f>
        <v/>
      </c>
      <c r="L398" s="134" t="n"/>
      <c r="M398" s="130">
        <f>IF(OR($F398="",$I398=""),"",IF($L398&lt;&gt;"",IF($L398&gt;$K398,"Rendu en retard","Rendu"),IF(TODAY()&gt;$K398,"En retard","En cours")))</f>
        <v/>
      </c>
      <c r="N398" s="139">
        <f>IF(OR($F398="",$I398=""),"",MAX(0,IF($L398&lt;&gt;"",$L398,TODAY())-$K398))</f>
        <v/>
      </c>
      <c r="O398" s="135">
        <f>IF(OR($F398="",$I398=""),"",$N398*P_Amende)</f>
        <v/>
      </c>
      <c r="P398" s="133" t="n"/>
      <c r="R398">
        <f>IF($M398="En retard",$N398+ROW()/100000,"")</f>
        <v/>
      </c>
      <c r="S398">
        <f>IF(OR($F398="",$I398=""),"",$F398+ROW()/100000)</f>
        <v/>
      </c>
      <c r="T398">
        <f>IF($I398="","",IFERROR(INDEX(LIV_Cat,MATCH($I398,LIV_Code,0)),""))</f>
        <v/>
      </c>
    </row>
    <row r="399" ht="21" customHeight="1">
      <c r="A399" s="1" t="n"/>
      <c r="B399" s="1" t="n"/>
      <c r="C399" s="2" t="n"/>
      <c r="E399" s="130">
        <f>IF($F399="","","EMP-"&amp;TEXT(ROW()-6,"0000"))</f>
        <v/>
      </c>
      <c r="F399" s="134" t="n"/>
      <c r="G399" s="127" t="n"/>
      <c r="H399" s="130">
        <f>IF($G399="","",IFERROR(INDEX(MEM_Nom,MATCH($G399,MEM_ID,0)),"⚠ ID inconnu"))</f>
        <v/>
      </c>
      <c r="I399" s="127" t="n"/>
      <c r="J399" s="130">
        <f>IF($I399="","",IFERROR(INDEX(LIV_Titre,MATCH($I399,LIV_Code,0)),"⚠ Code inconnu"))</f>
        <v/>
      </c>
      <c r="K399" s="138">
        <f>IF($F399="","",$F399+P_Duree)</f>
        <v/>
      </c>
      <c r="L399" s="134" t="n"/>
      <c r="M399" s="130">
        <f>IF(OR($F399="",$I399=""),"",IF($L399&lt;&gt;"",IF($L399&gt;$K399,"Rendu en retard","Rendu"),IF(TODAY()&gt;$K399,"En retard","En cours")))</f>
        <v/>
      </c>
      <c r="N399" s="139">
        <f>IF(OR($F399="",$I399=""),"",MAX(0,IF($L399&lt;&gt;"",$L399,TODAY())-$K399))</f>
        <v/>
      </c>
      <c r="O399" s="135">
        <f>IF(OR($F399="",$I399=""),"",$N399*P_Amende)</f>
        <v/>
      </c>
      <c r="P399" s="133" t="n"/>
      <c r="R399">
        <f>IF($M399="En retard",$N399+ROW()/100000,"")</f>
        <v/>
      </c>
      <c r="S399">
        <f>IF(OR($F399="",$I399=""),"",$F399+ROW()/100000)</f>
        <v/>
      </c>
      <c r="T399">
        <f>IF($I399="","",IFERROR(INDEX(LIV_Cat,MATCH($I399,LIV_Code,0)),""))</f>
        <v/>
      </c>
    </row>
    <row r="400" ht="21" customHeight="1">
      <c r="A400" s="1" t="n"/>
      <c r="B400" s="1" t="n"/>
      <c r="C400" s="2" t="n"/>
      <c r="E400" s="130">
        <f>IF($F400="","","EMP-"&amp;TEXT(ROW()-6,"0000"))</f>
        <v/>
      </c>
      <c r="F400" s="134" t="n"/>
      <c r="G400" s="127" t="n"/>
      <c r="H400" s="130">
        <f>IF($G400="","",IFERROR(INDEX(MEM_Nom,MATCH($G400,MEM_ID,0)),"⚠ ID inconnu"))</f>
        <v/>
      </c>
      <c r="I400" s="127" t="n"/>
      <c r="J400" s="130">
        <f>IF($I400="","",IFERROR(INDEX(LIV_Titre,MATCH($I400,LIV_Code,0)),"⚠ Code inconnu"))</f>
        <v/>
      </c>
      <c r="K400" s="138">
        <f>IF($F400="","",$F400+P_Duree)</f>
        <v/>
      </c>
      <c r="L400" s="134" t="n"/>
      <c r="M400" s="130">
        <f>IF(OR($F400="",$I400=""),"",IF($L400&lt;&gt;"",IF($L400&gt;$K400,"Rendu en retard","Rendu"),IF(TODAY()&gt;$K400,"En retard","En cours")))</f>
        <v/>
      </c>
      <c r="N400" s="139">
        <f>IF(OR($F400="",$I400=""),"",MAX(0,IF($L400&lt;&gt;"",$L400,TODAY())-$K400))</f>
        <v/>
      </c>
      <c r="O400" s="135">
        <f>IF(OR($F400="",$I400=""),"",$N400*P_Amende)</f>
        <v/>
      </c>
      <c r="P400" s="133" t="n"/>
      <c r="R400">
        <f>IF($M400="En retard",$N400+ROW()/100000,"")</f>
        <v/>
      </c>
      <c r="S400">
        <f>IF(OR($F400="",$I400=""),"",$F400+ROW()/100000)</f>
        <v/>
      </c>
      <c r="T400">
        <f>IF($I400="","",IFERROR(INDEX(LIV_Cat,MATCH($I400,LIV_Code,0)),""))</f>
        <v/>
      </c>
    </row>
    <row r="401" ht="21" customHeight="1">
      <c r="A401" s="1" t="n"/>
      <c r="B401" s="1" t="n"/>
      <c r="C401" s="2" t="n"/>
      <c r="E401" s="130">
        <f>IF($F401="","","EMP-"&amp;TEXT(ROW()-6,"0000"))</f>
        <v/>
      </c>
      <c r="F401" s="134" t="n"/>
      <c r="G401" s="127" t="n"/>
      <c r="H401" s="130">
        <f>IF($G401="","",IFERROR(INDEX(MEM_Nom,MATCH($G401,MEM_ID,0)),"⚠ ID inconnu"))</f>
        <v/>
      </c>
      <c r="I401" s="127" t="n"/>
      <c r="J401" s="130">
        <f>IF($I401="","",IFERROR(INDEX(LIV_Titre,MATCH($I401,LIV_Code,0)),"⚠ Code inconnu"))</f>
        <v/>
      </c>
      <c r="K401" s="138">
        <f>IF($F401="","",$F401+P_Duree)</f>
        <v/>
      </c>
      <c r="L401" s="134" t="n"/>
      <c r="M401" s="130">
        <f>IF(OR($F401="",$I401=""),"",IF($L401&lt;&gt;"",IF($L401&gt;$K401,"Rendu en retard","Rendu"),IF(TODAY()&gt;$K401,"En retard","En cours")))</f>
        <v/>
      </c>
      <c r="N401" s="139">
        <f>IF(OR($F401="",$I401=""),"",MAX(0,IF($L401&lt;&gt;"",$L401,TODAY())-$K401))</f>
        <v/>
      </c>
      <c r="O401" s="135">
        <f>IF(OR($F401="",$I401=""),"",$N401*P_Amende)</f>
        <v/>
      </c>
      <c r="P401" s="133" t="n"/>
      <c r="R401">
        <f>IF($M401="En retard",$N401+ROW()/100000,"")</f>
        <v/>
      </c>
      <c r="S401">
        <f>IF(OR($F401="",$I401=""),"",$F401+ROW()/100000)</f>
        <v/>
      </c>
      <c r="T401">
        <f>IF($I401="","",IFERROR(INDEX(LIV_Cat,MATCH($I401,LIV_Code,0)),""))</f>
        <v/>
      </c>
    </row>
    <row r="402" ht="21" customHeight="1">
      <c r="A402" s="1" t="n"/>
      <c r="B402" s="1" t="n"/>
      <c r="C402" s="2" t="n"/>
      <c r="E402" s="130">
        <f>IF($F402="","","EMP-"&amp;TEXT(ROW()-6,"0000"))</f>
        <v/>
      </c>
      <c r="F402" s="134" t="n"/>
      <c r="G402" s="127" t="n"/>
      <c r="H402" s="130">
        <f>IF($G402="","",IFERROR(INDEX(MEM_Nom,MATCH($G402,MEM_ID,0)),"⚠ ID inconnu"))</f>
        <v/>
      </c>
      <c r="I402" s="127" t="n"/>
      <c r="J402" s="130">
        <f>IF($I402="","",IFERROR(INDEX(LIV_Titre,MATCH($I402,LIV_Code,0)),"⚠ Code inconnu"))</f>
        <v/>
      </c>
      <c r="K402" s="138">
        <f>IF($F402="","",$F402+P_Duree)</f>
        <v/>
      </c>
      <c r="L402" s="134" t="n"/>
      <c r="M402" s="130">
        <f>IF(OR($F402="",$I402=""),"",IF($L402&lt;&gt;"",IF($L402&gt;$K402,"Rendu en retard","Rendu"),IF(TODAY()&gt;$K402,"En retard","En cours")))</f>
        <v/>
      </c>
      <c r="N402" s="139">
        <f>IF(OR($F402="",$I402=""),"",MAX(0,IF($L402&lt;&gt;"",$L402,TODAY())-$K402))</f>
        <v/>
      </c>
      <c r="O402" s="135">
        <f>IF(OR($F402="",$I402=""),"",$N402*P_Amende)</f>
        <v/>
      </c>
      <c r="P402" s="133" t="n"/>
      <c r="R402">
        <f>IF($M402="En retard",$N402+ROW()/100000,"")</f>
        <v/>
      </c>
      <c r="S402">
        <f>IF(OR($F402="",$I402=""),"",$F402+ROW()/100000)</f>
        <v/>
      </c>
      <c r="T402">
        <f>IF($I402="","",IFERROR(INDEX(LIV_Cat,MATCH($I402,LIV_Code,0)),""))</f>
        <v/>
      </c>
    </row>
    <row r="403" ht="21" customHeight="1">
      <c r="A403" s="1" t="n"/>
      <c r="B403" s="1" t="n"/>
      <c r="C403" s="2" t="n"/>
      <c r="E403" s="130">
        <f>IF($F403="","","EMP-"&amp;TEXT(ROW()-6,"0000"))</f>
        <v/>
      </c>
      <c r="F403" s="134" t="n"/>
      <c r="G403" s="127" t="n"/>
      <c r="H403" s="130">
        <f>IF($G403="","",IFERROR(INDEX(MEM_Nom,MATCH($G403,MEM_ID,0)),"⚠ ID inconnu"))</f>
        <v/>
      </c>
      <c r="I403" s="127" t="n"/>
      <c r="J403" s="130">
        <f>IF($I403="","",IFERROR(INDEX(LIV_Titre,MATCH($I403,LIV_Code,0)),"⚠ Code inconnu"))</f>
        <v/>
      </c>
      <c r="K403" s="138">
        <f>IF($F403="","",$F403+P_Duree)</f>
        <v/>
      </c>
      <c r="L403" s="134" t="n"/>
      <c r="M403" s="130">
        <f>IF(OR($F403="",$I403=""),"",IF($L403&lt;&gt;"",IF($L403&gt;$K403,"Rendu en retard","Rendu"),IF(TODAY()&gt;$K403,"En retard","En cours")))</f>
        <v/>
      </c>
      <c r="N403" s="139">
        <f>IF(OR($F403="",$I403=""),"",MAX(0,IF($L403&lt;&gt;"",$L403,TODAY())-$K403))</f>
        <v/>
      </c>
      <c r="O403" s="135">
        <f>IF(OR($F403="",$I403=""),"",$N403*P_Amende)</f>
        <v/>
      </c>
      <c r="P403" s="133" t="n"/>
      <c r="R403">
        <f>IF($M403="En retard",$N403+ROW()/100000,"")</f>
        <v/>
      </c>
      <c r="S403">
        <f>IF(OR($F403="",$I403=""),"",$F403+ROW()/100000)</f>
        <v/>
      </c>
      <c r="T403">
        <f>IF($I403="","",IFERROR(INDEX(LIV_Cat,MATCH($I403,LIV_Code,0)),""))</f>
        <v/>
      </c>
    </row>
    <row r="404" ht="21" customHeight="1">
      <c r="A404" s="1" t="n"/>
      <c r="B404" s="1" t="n"/>
      <c r="C404" s="2" t="n"/>
      <c r="E404" s="130">
        <f>IF($F404="","","EMP-"&amp;TEXT(ROW()-6,"0000"))</f>
        <v/>
      </c>
      <c r="F404" s="134" t="n"/>
      <c r="G404" s="127" t="n"/>
      <c r="H404" s="130">
        <f>IF($G404="","",IFERROR(INDEX(MEM_Nom,MATCH($G404,MEM_ID,0)),"⚠ ID inconnu"))</f>
        <v/>
      </c>
      <c r="I404" s="127" t="n"/>
      <c r="J404" s="130">
        <f>IF($I404="","",IFERROR(INDEX(LIV_Titre,MATCH($I404,LIV_Code,0)),"⚠ Code inconnu"))</f>
        <v/>
      </c>
      <c r="K404" s="138">
        <f>IF($F404="","",$F404+P_Duree)</f>
        <v/>
      </c>
      <c r="L404" s="134" t="n"/>
      <c r="M404" s="130">
        <f>IF(OR($F404="",$I404=""),"",IF($L404&lt;&gt;"",IF($L404&gt;$K404,"Rendu en retard","Rendu"),IF(TODAY()&gt;$K404,"En retard","En cours")))</f>
        <v/>
      </c>
      <c r="N404" s="139">
        <f>IF(OR($F404="",$I404=""),"",MAX(0,IF($L404&lt;&gt;"",$L404,TODAY())-$K404))</f>
        <v/>
      </c>
      <c r="O404" s="135">
        <f>IF(OR($F404="",$I404=""),"",$N404*P_Amende)</f>
        <v/>
      </c>
      <c r="P404" s="133" t="n"/>
      <c r="R404">
        <f>IF($M404="En retard",$N404+ROW()/100000,"")</f>
        <v/>
      </c>
      <c r="S404">
        <f>IF(OR($F404="",$I404=""),"",$F404+ROW()/100000)</f>
        <v/>
      </c>
      <c r="T404">
        <f>IF($I404="","",IFERROR(INDEX(LIV_Cat,MATCH($I404,LIV_Code,0)),""))</f>
        <v/>
      </c>
    </row>
    <row r="405" ht="21" customHeight="1">
      <c r="A405" s="1" t="n"/>
      <c r="B405" s="1" t="n"/>
      <c r="C405" s="2" t="n"/>
      <c r="E405" s="130">
        <f>IF($F405="","","EMP-"&amp;TEXT(ROW()-6,"0000"))</f>
        <v/>
      </c>
      <c r="F405" s="134" t="n"/>
      <c r="G405" s="127" t="n"/>
      <c r="H405" s="130">
        <f>IF($G405="","",IFERROR(INDEX(MEM_Nom,MATCH($G405,MEM_ID,0)),"⚠ ID inconnu"))</f>
        <v/>
      </c>
      <c r="I405" s="127" t="n"/>
      <c r="J405" s="130">
        <f>IF($I405="","",IFERROR(INDEX(LIV_Titre,MATCH($I405,LIV_Code,0)),"⚠ Code inconnu"))</f>
        <v/>
      </c>
      <c r="K405" s="138">
        <f>IF($F405="","",$F405+P_Duree)</f>
        <v/>
      </c>
      <c r="L405" s="134" t="n"/>
      <c r="M405" s="130">
        <f>IF(OR($F405="",$I405=""),"",IF($L405&lt;&gt;"",IF($L405&gt;$K405,"Rendu en retard","Rendu"),IF(TODAY()&gt;$K405,"En retard","En cours")))</f>
        <v/>
      </c>
      <c r="N405" s="139">
        <f>IF(OR($F405="",$I405=""),"",MAX(0,IF($L405&lt;&gt;"",$L405,TODAY())-$K405))</f>
        <v/>
      </c>
      <c r="O405" s="135">
        <f>IF(OR($F405="",$I405=""),"",$N405*P_Amende)</f>
        <v/>
      </c>
      <c r="P405" s="133" t="n"/>
      <c r="R405">
        <f>IF($M405="En retard",$N405+ROW()/100000,"")</f>
        <v/>
      </c>
      <c r="S405">
        <f>IF(OR($F405="",$I405=""),"",$F405+ROW()/100000)</f>
        <v/>
      </c>
      <c r="T405">
        <f>IF($I405="","",IFERROR(INDEX(LIV_Cat,MATCH($I405,LIV_Code,0)),""))</f>
        <v/>
      </c>
    </row>
    <row r="406" ht="21" customHeight="1">
      <c r="A406" s="1" t="n"/>
      <c r="B406" s="1" t="n"/>
      <c r="C406" s="2" t="n"/>
      <c r="E406" s="130">
        <f>IF($F406="","","EMP-"&amp;TEXT(ROW()-6,"0000"))</f>
        <v/>
      </c>
      <c r="F406" s="134" t="n"/>
      <c r="G406" s="127" t="n"/>
      <c r="H406" s="130">
        <f>IF($G406="","",IFERROR(INDEX(MEM_Nom,MATCH($G406,MEM_ID,0)),"⚠ ID inconnu"))</f>
        <v/>
      </c>
      <c r="I406" s="127" t="n"/>
      <c r="J406" s="130">
        <f>IF($I406="","",IFERROR(INDEX(LIV_Titre,MATCH($I406,LIV_Code,0)),"⚠ Code inconnu"))</f>
        <v/>
      </c>
      <c r="K406" s="138">
        <f>IF($F406="","",$F406+P_Duree)</f>
        <v/>
      </c>
      <c r="L406" s="134" t="n"/>
      <c r="M406" s="130">
        <f>IF(OR($F406="",$I406=""),"",IF($L406&lt;&gt;"",IF($L406&gt;$K406,"Rendu en retard","Rendu"),IF(TODAY()&gt;$K406,"En retard","En cours")))</f>
        <v/>
      </c>
      <c r="N406" s="139">
        <f>IF(OR($F406="",$I406=""),"",MAX(0,IF($L406&lt;&gt;"",$L406,TODAY())-$K406))</f>
        <v/>
      </c>
      <c r="O406" s="135">
        <f>IF(OR($F406="",$I406=""),"",$N406*P_Amende)</f>
        <v/>
      </c>
      <c r="P406" s="133" t="n"/>
      <c r="R406">
        <f>IF($M406="En retard",$N406+ROW()/100000,"")</f>
        <v/>
      </c>
      <c r="S406">
        <f>IF(OR($F406="",$I406=""),"",$F406+ROW()/100000)</f>
        <v/>
      </c>
      <c r="T406">
        <f>IF($I406="","",IFERROR(INDEX(LIV_Cat,MATCH($I406,LIV_Code,0)),""))</f>
        <v/>
      </c>
    </row>
    <row r="407" ht="21" customHeight="1">
      <c r="A407" s="1" t="n"/>
      <c r="B407" s="1" t="n"/>
      <c r="C407" s="2" t="n"/>
      <c r="E407" s="130">
        <f>IF($F407="","","EMP-"&amp;TEXT(ROW()-6,"0000"))</f>
        <v/>
      </c>
      <c r="F407" s="134" t="n"/>
      <c r="G407" s="127" t="n"/>
      <c r="H407" s="130">
        <f>IF($G407="","",IFERROR(INDEX(MEM_Nom,MATCH($G407,MEM_ID,0)),"⚠ ID inconnu"))</f>
        <v/>
      </c>
      <c r="I407" s="127" t="n"/>
      <c r="J407" s="130">
        <f>IF($I407="","",IFERROR(INDEX(LIV_Titre,MATCH($I407,LIV_Code,0)),"⚠ Code inconnu"))</f>
        <v/>
      </c>
      <c r="K407" s="138">
        <f>IF($F407="","",$F407+P_Duree)</f>
        <v/>
      </c>
      <c r="L407" s="134" t="n"/>
      <c r="M407" s="130">
        <f>IF(OR($F407="",$I407=""),"",IF($L407&lt;&gt;"",IF($L407&gt;$K407,"Rendu en retard","Rendu"),IF(TODAY()&gt;$K407,"En retard","En cours")))</f>
        <v/>
      </c>
      <c r="N407" s="139">
        <f>IF(OR($F407="",$I407=""),"",MAX(0,IF($L407&lt;&gt;"",$L407,TODAY())-$K407))</f>
        <v/>
      </c>
      <c r="O407" s="135">
        <f>IF(OR($F407="",$I407=""),"",$N407*P_Amende)</f>
        <v/>
      </c>
      <c r="P407" s="133" t="n"/>
      <c r="R407">
        <f>IF($M407="En retard",$N407+ROW()/100000,"")</f>
        <v/>
      </c>
      <c r="S407">
        <f>IF(OR($F407="",$I407=""),"",$F407+ROW()/100000)</f>
        <v/>
      </c>
      <c r="T407">
        <f>IF($I407="","",IFERROR(INDEX(LIV_Cat,MATCH($I407,LIV_Code,0)),""))</f>
        <v/>
      </c>
    </row>
    <row r="408" ht="21" customHeight="1">
      <c r="A408" s="1" t="n"/>
      <c r="B408" s="1" t="n"/>
      <c r="C408" s="2" t="n"/>
      <c r="E408" s="130">
        <f>IF($F408="","","EMP-"&amp;TEXT(ROW()-6,"0000"))</f>
        <v/>
      </c>
      <c r="F408" s="134" t="n"/>
      <c r="G408" s="127" t="n"/>
      <c r="H408" s="130">
        <f>IF($G408="","",IFERROR(INDEX(MEM_Nom,MATCH($G408,MEM_ID,0)),"⚠ ID inconnu"))</f>
        <v/>
      </c>
      <c r="I408" s="127" t="n"/>
      <c r="J408" s="130">
        <f>IF($I408="","",IFERROR(INDEX(LIV_Titre,MATCH($I408,LIV_Code,0)),"⚠ Code inconnu"))</f>
        <v/>
      </c>
      <c r="K408" s="138">
        <f>IF($F408="","",$F408+P_Duree)</f>
        <v/>
      </c>
      <c r="L408" s="134" t="n"/>
      <c r="M408" s="130">
        <f>IF(OR($F408="",$I408=""),"",IF($L408&lt;&gt;"",IF($L408&gt;$K408,"Rendu en retard","Rendu"),IF(TODAY()&gt;$K408,"En retard","En cours")))</f>
        <v/>
      </c>
      <c r="N408" s="139">
        <f>IF(OR($F408="",$I408=""),"",MAX(0,IF($L408&lt;&gt;"",$L408,TODAY())-$K408))</f>
        <v/>
      </c>
      <c r="O408" s="135">
        <f>IF(OR($F408="",$I408=""),"",$N408*P_Amende)</f>
        <v/>
      </c>
      <c r="P408" s="133" t="n"/>
      <c r="R408">
        <f>IF($M408="En retard",$N408+ROW()/100000,"")</f>
        <v/>
      </c>
      <c r="S408">
        <f>IF(OR($F408="",$I408=""),"",$F408+ROW()/100000)</f>
        <v/>
      </c>
      <c r="T408">
        <f>IF($I408="","",IFERROR(INDEX(LIV_Cat,MATCH($I408,LIV_Code,0)),""))</f>
        <v/>
      </c>
    </row>
    <row r="409" ht="21" customHeight="1">
      <c r="A409" s="1" t="n"/>
      <c r="B409" s="1" t="n"/>
      <c r="C409" s="2" t="n"/>
      <c r="E409" s="130">
        <f>IF($F409="","","EMP-"&amp;TEXT(ROW()-6,"0000"))</f>
        <v/>
      </c>
      <c r="F409" s="134" t="n"/>
      <c r="G409" s="127" t="n"/>
      <c r="H409" s="130">
        <f>IF($G409="","",IFERROR(INDEX(MEM_Nom,MATCH($G409,MEM_ID,0)),"⚠ ID inconnu"))</f>
        <v/>
      </c>
      <c r="I409" s="127" t="n"/>
      <c r="J409" s="130">
        <f>IF($I409="","",IFERROR(INDEX(LIV_Titre,MATCH($I409,LIV_Code,0)),"⚠ Code inconnu"))</f>
        <v/>
      </c>
      <c r="K409" s="138">
        <f>IF($F409="","",$F409+P_Duree)</f>
        <v/>
      </c>
      <c r="L409" s="134" t="n"/>
      <c r="M409" s="130">
        <f>IF(OR($F409="",$I409=""),"",IF($L409&lt;&gt;"",IF($L409&gt;$K409,"Rendu en retard","Rendu"),IF(TODAY()&gt;$K409,"En retard","En cours")))</f>
        <v/>
      </c>
      <c r="N409" s="139">
        <f>IF(OR($F409="",$I409=""),"",MAX(0,IF($L409&lt;&gt;"",$L409,TODAY())-$K409))</f>
        <v/>
      </c>
      <c r="O409" s="135">
        <f>IF(OR($F409="",$I409=""),"",$N409*P_Amende)</f>
        <v/>
      </c>
      <c r="P409" s="133" t="n"/>
      <c r="R409">
        <f>IF($M409="En retard",$N409+ROW()/100000,"")</f>
        <v/>
      </c>
      <c r="S409">
        <f>IF(OR($F409="",$I409=""),"",$F409+ROW()/100000)</f>
        <v/>
      </c>
      <c r="T409">
        <f>IF($I409="","",IFERROR(INDEX(LIV_Cat,MATCH($I409,LIV_Code,0)),""))</f>
        <v/>
      </c>
    </row>
    <row r="410" ht="21" customHeight="1">
      <c r="A410" s="1" t="n"/>
      <c r="B410" s="1" t="n"/>
      <c r="C410" s="2" t="n"/>
      <c r="E410" s="130">
        <f>IF($F410="","","EMP-"&amp;TEXT(ROW()-6,"0000"))</f>
        <v/>
      </c>
      <c r="F410" s="134" t="n"/>
      <c r="G410" s="127" t="n"/>
      <c r="H410" s="130">
        <f>IF($G410="","",IFERROR(INDEX(MEM_Nom,MATCH($G410,MEM_ID,0)),"⚠ ID inconnu"))</f>
        <v/>
      </c>
      <c r="I410" s="127" t="n"/>
      <c r="J410" s="130">
        <f>IF($I410="","",IFERROR(INDEX(LIV_Titre,MATCH($I410,LIV_Code,0)),"⚠ Code inconnu"))</f>
        <v/>
      </c>
      <c r="K410" s="138">
        <f>IF($F410="","",$F410+P_Duree)</f>
        <v/>
      </c>
      <c r="L410" s="134" t="n"/>
      <c r="M410" s="130">
        <f>IF(OR($F410="",$I410=""),"",IF($L410&lt;&gt;"",IF($L410&gt;$K410,"Rendu en retard","Rendu"),IF(TODAY()&gt;$K410,"En retard","En cours")))</f>
        <v/>
      </c>
      <c r="N410" s="139">
        <f>IF(OR($F410="",$I410=""),"",MAX(0,IF($L410&lt;&gt;"",$L410,TODAY())-$K410))</f>
        <v/>
      </c>
      <c r="O410" s="135">
        <f>IF(OR($F410="",$I410=""),"",$N410*P_Amende)</f>
        <v/>
      </c>
      <c r="P410" s="133" t="n"/>
      <c r="R410">
        <f>IF($M410="En retard",$N410+ROW()/100000,"")</f>
        <v/>
      </c>
      <c r="S410">
        <f>IF(OR($F410="",$I410=""),"",$F410+ROW()/100000)</f>
        <v/>
      </c>
      <c r="T410">
        <f>IF($I410="","",IFERROR(INDEX(LIV_Cat,MATCH($I410,LIV_Code,0)),""))</f>
        <v/>
      </c>
    </row>
    <row r="411" ht="21" customHeight="1">
      <c r="A411" s="1" t="n"/>
      <c r="B411" s="1" t="n"/>
      <c r="C411" s="2" t="n"/>
      <c r="E411" s="130">
        <f>IF($F411="","","EMP-"&amp;TEXT(ROW()-6,"0000"))</f>
        <v/>
      </c>
      <c r="F411" s="134" t="n"/>
      <c r="G411" s="127" t="n"/>
      <c r="H411" s="130">
        <f>IF($G411="","",IFERROR(INDEX(MEM_Nom,MATCH($G411,MEM_ID,0)),"⚠ ID inconnu"))</f>
        <v/>
      </c>
      <c r="I411" s="127" t="n"/>
      <c r="J411" s="130">
        <f>IF($I411="","",IFERROR(INDEX(LIV_Titre,MATCH($I411,LIV_Code,0)),"⚠ Code inconnu"))</f>
        <v/>
      </c>
      <c r="K411" s="138">
        <f>IF($F411="","",$F411+P_Duree)</f>
        <v/>
      </c>
      <c r="L411" s="134" t="n"/>
      <c r="M411" s="130">
        <f>IF(OR($F411="",$I411=""),"",IF($L411&lt;&gt;"",IF($L411&gt;$K411,"Rendu en retard","Rendu"),IF(TODAY()&gt;$K411,"En retard","En cours")))</f>
        <v/>
      </c>
      <c r="N411" s="139">
        <f>IF(OR($F411="",$I411=""),"",MAX(0,IF($L411&lt;&gt;"",$L411,TODAY())-$K411))</f>
        <v/>
      </c>
      <c r="O411" s="135">
        <f>IF(OR($F411="",$I411=""),"",$N411*P_Amende)</f>
        <v/>
      </c>
      <c r="P411" s="133" t="n"/>
      <c r="R411">
        <f>IF($M411="En retard",$N411+ROW()/100000,"")</f>
        <v/>
      </c>
      <c r="S411">
        <f>IF(OR($F411="",$I411=""),"",$F411+ROW()/100000)</f>
        <v/>
      </c>
      <c r="T411">
        <f>IF($I411="","",IFERROR(INDEX(LIV_Cat,MATCH($I411,LIV_Code,0)),""))</f>
        <v/>
      </c>
    </row>
    <row r="412" ht="21" customHeight="1">
      <c r="A412" s="1" t="n"/>
      <c r="B412" s="1" t="n"/>
      <c r="C412" s="2" t="n"/>
      <c r="E412" s="130">
        <f>IF($F412="","","EMP-"&amp;TEXT(ROW()-6,"0000"))</f>
        <v/>
      </c>
      <c r="F412" s="134" t="n"/>
      <c r="G412" s="127" t="n"/>
      <c r="H412" s="130">
        <f>IF($G412="","",IFERROR(INDEX(MEM_Nom,MATCH($G412,MEM_ID,0)),"⚠ ID inconnu"))</f>
        <v/>
      </c>
      <c r="I412" s="127" t="n"/>
      <c r="J412" s="130">
        <f>IF($I412="","",IFERROR(INDEX(LIV_Titre,MATCH($I412,LIV_Code,0)),"⚠ Code inconnu"))</f>
        <v/>
      </c>
      <c r="K412" s="138">
        <f>IF($F412="","",$F412+P_Duree)</f>
        <v/>
      </c>
      <c r="L412" s="134" t="n"/>
      <c r="M412" s="130">
        <f>IF(OR($F412="",$I412=""),"",IF($L412&lt;&gt;"",IF($L412&gt;$K412,"Rendu en retard","Rendu"),IF(TODAY()&gt;$K412,"En retard","En cours")))</f>
        <v/>
      </c>
      <c r="N412" s="139">
        <f>IF(OR($F412="",$I412=""),"",MAX(0,IF($L412&lt;&gt;"",$L412,TODAY())-$K412))</f>
        <v/>
      </c>
      <c r="O412" s="135">
        <f>IF(OR($F412="",$I412=""),"",$N412*P_Amende)</f>
        <v/>
      </c>
      <c r="P412" s="133" t="n"/>
      <c r="R412">
        <f>IF($M412="En retard",$N412+ROW()/100000,"")</f>
        <v/>
      </c>
      <c r="S412">
        <f>IF(OR($F412="",$I412=""),"",$F412+ROW()/100000)</f>
        <v/>
      </c>
      <c r="T412">
        <f>IF($I412="","",IFERROR(INDEX(LIV_Cat,MATCH($I412,LIV_Code,0)),""))</f>
        <v/>
      </c>
    </row>
    <row r="413" ht="21" customHeight="1">
      <c r="A413" s="1" t="n"/>
      <c r="B413" s="1" t="n"/>
      <c r="C413" s="2" t="n"/>
      <c r="E413" s="130">
        <f>IF($F413="","","EMP-"&amp;TEXT(ROW()-6,"0000"))</f>
        <v/>
      </c>
      <c r="F413" s="134" t="n"/>
      <c r="G413" s="127" t="n"/>
      <c r="H413" s="130">
        <f>IF($G413="","",IFERROR(INDEX(MEM_Nom,MATCH($G413,MEM_ID,0)),"⚠ ID inconnu"))</f>
        <v/>
      </c>
      <c r="I413" s="127" t="n"/>
      <c r="J413" s="130">
        <f>IF($I413="","",IFERROR(INDEX(LIV_Titre,MATCH($I413,LIV_Code,0)),"⚠ Code inconnu"))</f>
        <v/>
      </c>
      <c r="K413" s="138">
        <f>IF($F413="","",$F413+P_Duree)</f>
        <v/>
      </c>
      <c r="L413" s="134" t="n"/>
      <c r="M413" s="130">
        <f>IF(OR($F413="",$I413=""),"",IF($L413&lt;&gt;"",IF($L413&gt;$K413,"Rendu en retard","Rendu"),IF(TODAY()&gt;$K413,"En retard","En cours")))</f>
        <v/>
      </c>
      <c r="N413" s="139">
        <f>IF(OR($F413="",$I413=""),"",MAX(0,IF($L413&lt;&gt;"",$L413,TODAY())-$K413))</f>
        <v/>
      </c>
      <c r="O413" s="135">
        <f>IF(OR($F413="",$I413=""),"",$N413*P_Amende)</f>
        <v/>
      </c>
      <c r="P413" s="133" t="n"/>
      <c r="R413">
        <f>IF($M413="En retard",$N413+ROW()/100000,"")</f>
        <v/>
      </c>
      <c r="S413">
        <f>IF(OR($F413="",$I413=""),"",$F413+ROW()/100000)</f>
        <v/>
      </c>
      <c r="T413">
        <f>IF($I413="","",IFERROR(INDEX(LIV_Cat,MATCH($I413,LIV_Code,0)),""))</f>
        <v/>
      </c>
    </row>
    <row r="414" ht="21" customHeight="1">
      <c r="A414" s="1" t="n"/>
      <c r="B414" s="1" t="n"/>
      <c r="C414" s="2" t="n"/>
      <c r="E414" s="130">
        <f>IF($F414="","","EMP-"&amp;TEXT(ROW()-6,"0000"))</f>
        <v/>
      </c>
      <c r="F414" s="134" t="n"/>
      <c r="G414" s="127" t="n"/>
      <c r="H414" s="130">
        <f>IF($G414="","",IFERROR(INDEX(MEM_Nom,MATCH($G414,MEM_ID,0)),"⚠ ID inconnu"))</f>
        <v/>
      </c>
      <c r="I414" s="127" t="n"/>
      <c r="J414" s="130">
        <f>IF($I414="","",IFERROR(INDEX(LIV_Titre,MATCH($I414,LIV_Code,0)),"⚠ Code inconnu"))</f>
        <v/>
      </c>
      <c r="K414" s="138">
        <f>IF($F414="","",$F414+P_Duree)</f>
        <v/>
      </c>
      <c r="L414" s="134" t="n"/>
      <c r="M414" s="130">
        <f>IF(OR($F414="",$I414=""),"",IF($L414&lt;&gt;"",IF($L414&gt;$K414,"Rendu en retard","Rendu"),IF(TODAY()&gt;$K414,"En retard","En cours")))</f>
        <v/>
      </c>
      <c r="N414" s="139">
        <f>IF(OR($F414="",$I414=""),"",MAX(0,IF($L414&lt;&gt;"",$L414,TODAY())-$K414))</f>
        <v/>
      </c>
      <c r="O414" s="135">
        <f>IF(OR($F414="",$I414=""),"",$N414*P_Amende)</f>
        <v/>
      </c>
      <c r="P414" s="133" t="n"/>
      <c r="R414">
        <f>IF($M414="En retard",$N414+ROW()/100000,"")</f>
        <v/>
      </c>
      <c r="S414">
        <f>IF(OR($F414="",$I414=""),"",$F414+ROW()/100000)</f>
        <v/>
      </c>
      <c r="T414">
        <f>IF($I414="","",IFERROR(INDEX(LIV_Cat,MATCH($I414,LIV_Code,0)),""))</f>
        <v/>
      </c>
    </row>
    <row r="415" ht="21" customHeight="1">
      <c r="A415" s="1" t="n"/>
      <c r="B415" s="1" t="n"/>
      <c r="C415" s="2" t="n"/>
      <c r="E415" s="130">
        <f>IF($F415="","","EMP-"&amp;TEXT(ROW()-6,"0000"))</f>
        <v/>
      </c>
      <c r="F415" s="134" t="n"/>
      <c r="G415" s="127" t="n"/>
      <c r="H415" s="130">
        <f>IF($G415="","",IFERROR(INDEX(MEM_Nom,MATCH($G415,MEM_ID,0)),"⚠ ID inconnu"))</f>
        <v/>
      </c>
      <c r="I415" s="127" t="n"/>
      <c r="J415" s="130">
        <f>IF($I415="","",IFERROR(INDEX(LIV_Titre,MATCH($I415,LIV_Code,0)),"⚠ Code inconnu"))</f>
        <v/>
      </c>
      <c r="K415" s="138">
        <f>IF($F415="","",$F415+P_Duree)</f>
        <v/>
      </c>
      <c r="L415" s="134" t="n"/>
      <c r="M415" s="130">
        <f>IF(OR($F415="",$I415=""),"",IF($L415&lt;&gt;"",IF($L415&gt;$K415,"Rendu en retard","Rendu"),IF(TODAY()&gt;$K415,"En retard","En cours")))</f>
        <v/>
      </c>
      <c r="N415" s="139">
        <f>IF(OR($F415="",$I415=""),"",MAX(0,IF($L415&lt;&gt;"",$L415,TODAY())-$K415))</f>
        <v/>
      </c>
      <c r="O415" s="135">
        <f>IF(OR($F415="",$I415=""),"",$N415*P_Amende)</f>
        <v/>
      </c>
      <c r="P415" s="133" t="n"/>
      <c r="R415">
        <f>IF($M415="En retard",$N415+ROW()/100000,"")</f>
        <v/>
      </c>
      <c r="S415">
        <f>IF(OR($F415="",$I415=""),"",$F415+ROW()/100000)</f>
        <v/>
      </c>
      <c r="T415">
        <f>IF($I415="","",IFERROR(INDEX(LIV_Cat,MATCH($I415,LIV_Code,0)),""))</f>
        <v/>
      </c>
    </row>
    <row r="416" ht="21" customHeight="1">
      <c r="A416" s="1" t="n"/>
      <c r="B416" s="1" t="n"/>
      <c r="C416" s="2" t="n"/>
      <c r="E416" s="130">
        <f>IF($F416="","","EMP-"&amp;TEXT(ROW()-6,"0000"))</f>
        <v/>
      </c>
      <c r="F416" s="134" t="n"/>
      <c r="G416" s="127" t="n"/>
      <c r="H416" s="130">
        <f>IF($G416="","",IFERROR(INDEX(MEM_Nom,MATCH($G416,MEM_ID,0)),"⚠ ID inconnu"))</f>
        <v/>
      </c>
      <c r="I416" s="127" t="n"/>
      <c r="J416" s="130">
        <f>IF($I416="","",IFERROR(INDEX(LIV_Titre,MATCH($I416,LIV_Code,0)),"⚠ Code inconnu"))</f>
        <v/>
      </c>
      <c r="K416" s="138">
        <f>IF($F416="","",$F416+P_Duree)</f>
        <v/>
      </c>
      <c r="L416" s="134" t="n"/>
      <c r="M416" s="130">
        <f>IF(OR($F416="",$I416=""),"",IF($L416&lt;&gt;"",IF($L416&gt;$K416,"Rendu en retard","Rendu"),IF(TODAY()&gt;$K416,"En retard","En cours")))</f>
        <v/>
      </c>
      <c r="N416" s="139">
        <f>IF(OR($F416="",$I416=""),"",MAX(0,IF($L416&lt;&gt;"",$L416,TODAY())-$K416))</f>
        <v/>
      </c>
      <c r="O416" s="135">
        <f>IF(OR($F416="",$I416=""),"",$N416*P_Amende)</f>
        <v/>
      </c>
      <c r="P416" s="133" t="n"/>
      <c r="R416">
        <f>IF($M416="En retard",$N416+ROW()/100000,"")</f>
        <v/>
      </c>
      <c r="S416">
        <f>IF(OR($F416="",$I416=""),"",$F416+ROW()/100000)</f>
        <v/>
      </c>
      <c r="T416">
        <f>IF($I416="","",IFERROR(INDEX(LIV_Cat,MATCH($I416,LIV_Code,0)),""))</f>
        <v/>
      </c>
    </row>
    <row r="417" ht="21" customHeight="1">
      <c r="A417" s="1" t="n"/>
      <c r="B417" s="1" t="n"/>
      <c r="C417" s="2" t="n"/>
      <c r="E417" s="130">
        <f>IF($F417="","","EMP-"&amp;TEXT(ROW()-6,"0000"))</f>
        <v/>
      </c>
      <c r="F417" s="134" t="n"/>
      <c r="G417" s="127" t="n"/>
      <c r="H417" s="130">
        <f>IF($G417="","",IFERROR(INDEX(MEM_Nom,MATCH($G417,MEM_ID,0)),"⚠ ID inconnu"))</f>
        <v/>
      </c>
      <c r="I417" s="127" t="n"/>
      <c r="J417" s="130">
        <f>IF($I417="","",IFERROR(INDEX(LIV_Titre,MATCH($I417,LIV_Code,0)),"⚠ Code inconnu"))</f>
        <v/>
      </c>
      <c r="K417" s="138">
        <f>IF($F417="","",$F417+P_Duree)</f>
        <v/>
      </c>
      <c r="L417" s="134" t="n"/>
      <c r="M417" s="130">
        <f>IF(OR($F417="",$I417=""),"",IF($L417&lt;&gt;"",IF($L417&gt;$K417,"Rendu en retard","Rendu"),IF(TODAY()&gt;$K417,"En retard","En cours")))</f>
        <v/>
      </c>
      <c r="N417" s="139">
        <f>IF(OR($F417="",$I417=""),"",MAX(0,IF($L417&lt;&gt;"",$L417,TODAY())-$K417))</f>
        <v/>
      </c>
      <c r="O417" s="135">
        <f>IF(OR($F417="",$I417=""),"",$N417*P_Amende)</f>
        <v/>
      </c>
      <c r="P417" s="133" t="n"/>
      <c r="R417">
        <f>IF($M417="En retard",$N417+ROW()/100000,"")</f>
        <v/>
      </c>
      <c r="S417">
        <f>IF(OR($F417="",$I417=""),"",$F417+ROW()/100000)</f>
        <v/>
      </c>
      <c r="T417">
        <f>IF($I417="","",IFERROR(INDEX(LIV_Cat,MATCH($I417,LIV_Code,0)),""))</f>
        <v/>
      </c>
    </row>
    <row r="418" ht="21" customHeight="1">
      <c r="A418" s="1" t="n"/>
      <c r="B418" s="1" t="n"/>
      <c r="C418" s="2" t="n"/>
      <c r="E418" s="130">
        <f>IF($F418="","","EMP-"&amp;TEXT(ROW()-6,"0000"))</f>
        <v/>
      </c>
      <c r="F418" s="134" t="n"/>
      <c r="G418" s="127" t="n"/>
      <c r="H418" s="130">
        <f>IF($G418="","",IFERROR(INDEX(MEM_Nom,MATCH($G418,MEM_ID,0)),"⚠ ID inconnu"))</f>
        <v/>
      </c>
      <c r="I418" s="127" t="n"/>
      <c r="J418" s="130">
        <f>IF($I418="","",IFERROR(INDEX(LIV_Titre,MATCH($I418,LIV_Code,0)),"⚠ Code inconnu"))</f>
        <v/>
      </c>
      <c r="K418" s="138">
        <f>IF($F418="","",$F418+P_Duree)</f>
        <v/>
      </c>
      <c r="L418" s="134" t="n"/>
      <c r="M418" s="130">
        <f>IF(OR($F418="",$I418=""),"",IF($L418&lt;&gt;"",IF($L418&gt;$K418,"Rendu en retard","Rendu"),IF(TODAY()&gt;$K418,"En retard","En cours")))</f>
        <v/>
      </c>
      <c r="N418" s="139">
        <f>IF(OR($F418="",$I418=""),"",MAX(0,IF($L418&lt;&gt;"",$L418,TODAY())-$K418))</f>
        <v/>
      </c>
      <c r="O418" s="135">
        <f>IF(OR($F418="",$I418=""),"",$N418*P_Amende)</f>
        <v/>
      </c>
      <c r="P418" s="133" t="n"/>
      <c r="R418">
        <f>IF($M418="En retard",$N418+ROW()/100000,"")</f>
        <v/>
      </c>
      <c r="S418">
        <f>IF(OR($F418="",$I418=""),"",$F418+ROW()/100000)</f>
        <v/>
      </c>
      <c r="T418">
        <f>IF($I418="","",IFERROR(INDEX(LIV_Cat,MATCH($I418,LIV_Code,0)),""))</f>
        <v/>
      </c>
    </row>
    <row r="419" ht="21" customHeight="1">
      <c r="A419" s="1" t="n"/>
      <c r="B419" s="1" t="n"/>
      <c r="C419" s="2" t="n"/>
      <c r="E419" s="130">
        <f>IF($F419="","","EMP-"&amp;TEXT(ROW()-6,"0000"))</f>
        <v/>
      </c>
      <c r="F419" s="134" t="n"/>
      <c r="G419" s="127" t="n"/>
      <c r="H419" s="130">
        <f>IF($G419="","",IFERROR(INDEX(MEM_Nom,MATCH($G419,MEM_ID,0)),"⚠ ID inconnu"))</f>
        <v/>
      </c>
      <c r="I419" s="127" t="n"/>
      <c r="J419" s="130">
        <f>IF($I419="","",IFERROR(INDEX(LIV_Titre,MATCH($I419,LIV_Code,0)),"⚠ Code inconnu"))</f>
        <v/>
      </c>
      <c r="K419" s="138">
        <f>IF($F419="","",$F419+P_Duree)</f>
        <v/>
      </c>
      <c r="L419" s="134" t="n"/>
      <c r="M419" s="130">
        <f>IF(OR($F419="",$I419=""),"",IF($L419&lt;&gt;"",IF($L419&gt;$K419,"Rendu en retard","Rendu"),IF(TODAY()&gt;$K419,"En retard","En cours")))</f>
        <v/>
      </c>
      <c r="N419" s="139">
        <f>IF(OR($F419="",$I419=""),"",MAX(0,IF($L419&lt;&gt;"",$L419,TODAY())-$K419))</f>
        <v/>
      </c>
      <c r="O419" s="135">
        <f>IF(OR($F419="",$I419=""),"",$N419*P_Amende)</f>
        <v/>
      </c>
      <c r="P419" s="133" t="n"/>
      <c r="R419">
        <f>IF($M419="En retard",$N419+ROW()/100000,"")</f>
        <v/>
      </c>
      <c r="S419">
        <f>IF(OR($F419="",$I419=""),"",$F419+ROW()/100000)</f>
        <v/>
      </c>
      <c r="T419">
        <f>IF($I419="","",IFERROR(INDEX(LIV_Cat,MATCH($I419,LIV_Code,0)),""))</f>
        <v/>
      </c>
    </row>
    <row r="420" ht="21" customHeight="1">
      <c r="A420" s="1" t="n"/>
      <c r="B420" s="1" t="n"/>
      <c r="C420" s="2" t="n"/>
      <c r="E420" s="130">
        <f>IF($F420="","","EMP-"&amp;TEXT(ROW()-6,"0000"))</f>
        <v/>
      </c>
      <c r="F420" s="134" t="n"/>
      <c r="G420" s="127" t="n"/>
      <c r="H420" s="130">
        <f>IF($G420="","",IFERROR(INDEX(MEM_Nom,MATCH($G420,MEM_ID,0)),"⚠ ID inconnu"))</f>
        <v/>
      </c>
      <c r="I420" s="127" t="n"/>
      <c r="J420" s="130">
        <f>IF($I420="","",IFERROR(INDEX(LIV_Titre,MATCH($I420,LIV_Code,0)),"⚠ Code inconnu"))</f>
        <v/>
      </c>
      <c r="K420" s="138">
        <f>IF($F420="","",$F420+P_Duree)</f>
        <v/>
      </c>
      <c r="L420" s="134" t="n"/>
      <c r="M420" s="130">
        <f>IF(OR($F420="",$I420=""),"",IF($L420&lt;&gt;"",IF($L420&gt;$K420,"Rendu en retard","Rendu"),IF(TODAY()&gt;$K420,"En retard","En cours")))</f>
        <v/>
      </c>
      <c r="N420" s="139">
        <f>IF(OR($F420="",$I420=""),"",MAX(0,IF($L420&lt;&gt;"",$L420,TODAY())-$K420))</f>
        <v/>
      </c>
      <c r="O420" s="135">
        <f>IF(OR($F420="",$I420=""),"",$N420*P_Amende)</f>
        <v/>
      </c>
      <c r="P420" s="133" t="n"/>
      <c r="R420">
        <f>IF($M420="En retard",$N420+ROW()/100000,"")</f>
        <v/>
      </c>
      <c r="S420">
        <f>IF(OR($F420="",$I420=""),"",$F420+ROW()/100000)</f>
        <v/>
      </c>
      <c r="T420">
        <f>IF($I420="","",IFERROR(INDEX(LIV_Cat,MATCH($I420,LIV_Code,0)),""))</f>
        <v/>
      </c>
    </row>
    <row r="421" ht="21" customHeight="1">
      <c r="A421" s="1" t="n"/>
      <c r="B421" s="1" t="n"/>
      <c r="C421" s="2" t="n"/>
      <c r="E421" s="130">
        <f>IF($F421="","","EMP-"&amp;TEXT(ROW()-6,"0000"))</f>
        <v/>
      </c>
      <c r="F421" s="134" t="n"/>
      <c r="G421" s="127" t="n"/>
      <c r="H421" s="130">
        <f>IF($G421="","",IFERROR(INDEX(MEM_Nom,MATCH($G421,MEM_ID,0)),"⚠ ID inconnu"))</f>
        <v/>
      </c>
      <c r="I421" s="127" t="n"/>
      <c r="J421" s="130">
        <f>IF($I421="","",IFERROR(INDEX(LIV_Titre,MATCH($I421,LIV_Code,0)),"⚠ Code inconnu"))</f>
        <v/>
      </c>
      <c r="K421" s="138">
        <f>IF($F421="","",$F421+P_Duree)</f>
        <v/>
      </c>
      <c r="L421" s="134" t="n"/>
      <c r="M421" s="130">
        <f>IF(OR($F421="",$I421=""),"",IF($L421&lt;&gt;"",IF($L421&gt;$K421,"Rendu en retard","Rendu"),IF(TODAY()&gt;$K421,"En retard","En cours")))</f>
        <v/>
      </c>
      <c r="N421" s="139">
        <f>IF(OR($F421="",$I421=""),"",MAX(0,IF($L421&lt;&gt;"",$L421,TODAY())-$K421))</f>
        <v/>
      </c>
      <c r="O421" s="135">
        <f>IF(OR($F421="",$I421=""),"",$N421*P_Amende)</f>
        <v/>
      </c>
      <c r="P421" s="133" t="n"/>
      <c r="R421">
        <f>IF($M421="En retard",$N421+ROW()/100000,"")</f>
        <v/>
      </c>
      <c r="S421">
        <f>IF(OR($F421="",$I421=""),"",$F421+ROW()/100000)</f>
        <v/>
      </c>
      <c r="T421">
        <f>IF($I421="","",IFERROR(INDEX(LIV_Cat,MATCH($I421,LIV_Code,0)),""))</f>
        <v/>
      </c>
    </row>
    <row r="422" ht="21" customHeight="1">
      <c r="A422" s="1" t="n"/>
      <c r="B422" s="1" t="n"/>
      <c r="C422" s="2" t="n"/>
      <c r="E422" s="130">
        <f>IF($F422="","","EMP-"&amp;TEXT(ROW()-6,"0000"))</f>
        <v/>
      </c>
      <c r="F422" s="134" t="n"/>
      <c r="G422" s="127" t="n"/>
      <c r="H422" s="130">
        <f>IF($G422="","",IFERROR(INDEX(MEM_Nom,MATCH($G422,MEM_ID,0)),"⚠ ID inconnu"))</f>
        <v/>
      </c>
      <c r="I422" s="127" t="n"/>
      <c r="J422" s="130">
        <f>IF($I422="","",IFERROR(INDEX(LIV_Titre,MATCH($I422,LIV_Code,0)),"⚠ Code inconnu"))</f>
        <v/>
      </c>
      <c r="K422" s="138">
        <f>IF($F422="","",$F422+P_Duree)</f>
        <v/>
      </c>
      <c r="L422" s="134" t="n"/>
      <c r="M422" s="130">
        <f>IF(OR($F422="",$I422=""),"",IF($L422&lt;&gt;"",IF($L422&gt;$K422,"Rendu en retard","Rendu"),IF(TODAY()&gt;$K422,"En retard","En cours")))</f>
        <v/>
      </c>
      <c r="N422" s="139">
        <f>IF(OR($F422="",$I422=""),"",MAX(0,IF($L422&lt;&gt;"",$L422,TODAY())-$K422))</f>
        <v/>
      </c>
      <c r="O422" s="135">
        <f>IF(OR($F422="",$I422=""),"",$N422*P_Amende)</f>
        <v/>
      </c>
      <c r="P422" s="133" t="n"/>
      <c r="R422">
        <f>IF($M422="En retard",$N422+ROW()/100000,"")</f>
        <v/>
      </c>
      <c r="S422">
        <f>IF(OR($F422="",$I422=""),"",$F422+ROW()/100000)</f>
        <v/>
      </c>
      <c r="T422">
        <f>IF($I422="","",IFERROR(INDEX(LIV_Cat,MATCH($I422,LIV_Code,0)),""))</f>
        <v/>
      </c>
    </row>
    <row r="423" ht="21" customHeight="1">
      <c r="A423" s="1" t="n"/>
      <c r="B423" s="1" t="n"/>
      <c r="C423" s="2" t="n"/>
      <c r="E423" s="130">
        <f>IF($F423="","","EMP-"&amp;TEXT(ROW()-6,"0000"))</f>
        <v/>
      </c>
      <c r="F423" s="134" t="n"/>
      <c r="G423" s="127" t="n"/>
      <c r="H423" s="130">
        <f>IF($G423="","",IFERROR(INDEX(MEM_Nom,MATCH($G423,MEM_ID,0)),"⚠ ID inconnu"))</f>
        <v/>
      </c>
      <c r="I423" s="127" t="n"/>
      <c r="J423" s="130">
        <f>IF($I423="","",IFERROR(INDEX(LIV_Titre,MATCH($I423,LIV_Code,0)),"⚠ Code inconnu"))</f>
        <v/>
      </c>
      <c r="K423" s="138">
        <f>IF($F423="","",$F423+P_Duree)</f>
        <v/>
      </c>
      <c r="L423" s="134" t="n"/>
      <c r="M423" s="130">
        <f>IF(OR($F423="",$I423=""),"",IF($L423&lt;&gt;"",IF($L423&gt;$K423,"Rendu en retard","Rendu"),IF(TODAY()&gt;$K423,"En retard","En cours")))</f>
        <v/>
      </c>
      <c r="N423" s="139">
        <f>IF(OR($F423="",$I423=""),"",MAX(0,IF($L423&lt;&gt;"",$L423,TODAY())-$K423))</f>
        <v/>
      </c>
      <c r="O423" s="135">
        <f>IF(OR($F423="",$I423=""),"",$N423*P_Amende)</f>
        <v/>
      </c>
      <c r="P423" s="133" t="n"/>
      <c r="R423">
        <f>IF($M423="En retard",$N423+ROW()/100000,"")</f>
        <v/>
      </c>
      <c r="S423">
        <f>IF(OR($F423="",$I423=""),"",$F423+ROW()/100000)</f>
        <v/>
      </c>
      <c r="T423">
        <f>IF($I423="","",IFERROR(INDEX(LIV_Cat,MATCH($I423,LIV_Code,0)),""))</f>
        <v/>
      </c>
    </row>
    <row r="424" ht="21" customHeight="1">
      <c r="A424" s="1" t="n"/>
      <c r="B424" s="1" t="n"/>
      <c r="C424" s="2" t="n"/>
      <c r="E424" s="130">
        <f>IF($F424="","","EMP-"&amp;TEXT(ROW()-6,"0000"))</f>
        <v/>
      </c>
      <c r="F424" s="134" t="n"/>
      <c r="G424" s="127" t="n"/>
      <c r="H424" s="130">
        <f>IF($G424="","",IFERROR(INDEX(MEM_Nom,MATCH($G424,MEM_ID,0)),"⚠ ID inconnu"))</f>
        <v/>
      </c>
      <c r="I424" s="127" t="n"/>
      <c r="J424" s="130">
        <f>IF($I424="","",IFERROR(INDEX(LIV_Titre,MATCH($I424,LIV_Code,0)),"⚠ Code inconnu"))</f>
        <v/>
      </c>
      <c r="K424" s="138">
        <f>IF($F424="","",$F424+P_Duree)</f>
        <v/>
      </c>
      <c r="L424" s="134" t="n"/>
      <c r="M424" s="130">
        <f>IF(OR($F424="",$I424=""),"",IF($L424&lt;&gt;"",IF($L424&gt;$K424,"Rendu en retard","Rendu"),IF(TODAY()&gt;$K424,"En retard","En cours")))</f>
        <v/>
      </c>
      <c r="N424" s="139">
        <f>IF(OR($F424="",$I424=""),"",MAX(0,IF($L424&lt;&gt;"",$L424,TODAY())-$K424))</f>
        <v/>
      </c>
      <c r="O424" s="135">
        <f>IF(OR($F424="",$I424=""),"",$N424*P_Amende)</f>
        <v/>
      </c>
      <c r="P424" s="133" t="n"/>
      <c r="R424">
        <f>IF($M424="En retard",$N424+ROW()/100000,"")</f>
        <v/>
      </c>
      <c r="S424">
        <f>IF(OR($F424="",$I424=""),"",$F424+ROW()/100000)</f>
        <v/>
      </c>
      <c r="T424">
        <f>IF($I424="","",IFERROR(INDEX(LIV_Cat,MATCH($I424,LIV_Code,0)),""))</f>
        <v/>
      </c>
    </row>
    <row r="425" ht="21" customHeight="1">
      <c r="A425" s="1" t="n"/>
      <c r="B425" s="1" t="n"/>
      <c r="C425" s="2" t="n"/>
      <c r="E425" s="130">
        <f>IF($F425="","","EMP-"&amp;TEXT(ROW()-6,"0000"))</f>
        <v/>
      </c>
      <c r="F425" s="134" t="n"/>
      <c r="G425" s="127" t="n"/>
      <c r="H425" s="130">
        <f>IF($G425="","",IFERROR(INDEX(MEM_Nom,MATCH($G425,MEM_ID,0)),"⚠ ID inconnu"))</f>
        <v/>
      </c>
      <c r="I425" s="127" t="n"/>
      <c r="J425" s="130">
        <f>IF($I425="","",IFERROR(INDEX(LIV_Titre,MATCH($I425,LIV_Code,0)),"⚠ Code inconnu"))</f>
        <v/>
      </c>
      <c r="K425" s="138">
        <f>IF($F425="","",$F425+P_Duree)</f>
        <v/>
      </c>
      <c r="L425" s="134" t="n"/>
      <c r="M425" s="130">
        <f>IF(OR($F425="",$I425=""),"",IF($L425&lt;&gt;"",IF($L425&gt;$K425,"Rendu en retard","Rendu"),IF(TODAY()&gt;$K425,"En retard","En cours")))</f>
        <v/>
      </c>
      <c r="N425" s="139">
        <f>IF(OR($F425="",$I425=""),"",MAX(0,IF($L425&lt;&gt;"",$L425,TODAY())-$K425))</f>
        <v/>
      </c>
      <c r="O425" s="135">
        <f>IF(OR($F425="",$I425=""),"",$N425*P_Amende)</f>
        <v/>
      </c>
      <c r="P425" s="133" t="n"/>
      <c r="R425">
        <f>IF($M425="En retard",$N425+ROW()/100000,"")</f>
        <v/>
      </c>
      <c r="S425">
        <f>IF(OR($F425="",$I425=""),"",$F425+ROW()/100000)</f>
        <v/>
      </c>
      <c r="T425">
        <f>IF($I425="","",IFERROR(INDEX(LIV_Cat,MATCH($I425,LIV_Code,0)),""))</f>
        <v/>
      </c>
    </row>
    <row r="426" ht="21" customHeight="1">
      <c r="A426" s="1" t="n"/>
      <c r="B426" s="1" t="n"/>
      <c r="C426" s="2" t="n"/>
      <c r="E426" s="130">
        <f>IF($F426="","","EMP-"&amp;TEXT(ROW()-6,"0000"))</f>
        <v/>
      </c>
      <c r="F426" s="134" t="n"/>
      <c r="G426" s="127" t="n"/>
      <c r="H426" s="130">
        <f>IF($G426="","",IFERROR(INDEX(MEM_Nom,MATCH($G426,MEM_ID,0)),"⚠ ID inconnu"))</f>
        <v/>
      </c>
      <c r="I426" s="127" t="n"/>
      <c r="J426" s="130">
        <f>IF($I426="","",IFERROR(INDEX(LIV_Titre,MATCH($I426,LIV_Code,0)),"⚠ Code inconnu"))</f>
        <v/>
      </c>
      <c r="K426" s="138">
        <f>IF($F426="","",$F426+P_Duree)</f>
        <v/>
      </c>
      <c r="L426" s="134" t="n"/>
      <c r="M426" s="130">
        <f>IF(OR($F426="",$I426=""),"",IF($L426&lt;&gt;"",IF($L426&gt;$K426,"Rendu en retard","Rendu"),IF(TODAY()&gt;$K426,"En retard","En cours")))</f>
        <v/>
      </c>
      <c r="N426" s="139">
        <f>IF(OR($F426="",$I426=""),"",MAX(0,IF($L426&lt;&gt;"",$L426,TODAY())-$K426))</f>
        <v/>
      </c>
      <c r="O426" s="135">
        <f>IF(OR($F426="",$I426=""),"",$N426*P_Amende)</f>
        <v/>
      </c>
      <c r="P426" s="133" t="n"/>
      <c r="R426">
        <f>IF($M426="En retard",$N426+ROW()/100000,"")</f>
        <v/>
      </c>
      <c r="S426">
        <f>IF(OR($F426="",$I426=""),"",$F426+ROW()/100000)</f>
        <v/>
      </c>
      <c r="T426">
        <f>IF($I426="","",IFERROR(INDEX(LIV_Cat,MATCH($I426,LIV_Code,0)),""))</f>
        <v/>
      </c>
    </row>
    <row r="427" ht="21" customHeight="1">
      <c r="A427" s="1" t="n"/>
      <c r="B427" s="1" t="n"/>
      <c r="C427" s="2" t="n"/>
      <c r="E427" s="130">
        <f>IF($F427="","","EMP-"&amp;TEXT(ROW()-6,"0000"))</f>
        <v/>
      </c>
      <c r="F427" s="134" t="n"/>
      <c r="G427" s="127" t="n"/>
      <c r="H427" s="130">
        <f>IF($G427="","",IFERROR(INDEX(MEM_Nom,MATCH($G427,MEM_ID,0)),"⚠ ID inconnu"))</f>
        <v/>
      </c>
      <c r="I427" s="127" t="n"/>
      <c r="J427" s="130">
        <f>IF($I427="","",IFERROR(INDEX(LIV_Titre,MATCH($I427,LIV_Code,0)),"⚠ Code inconnu"))</f>
        <v/>
      </c>
      <c r="K427" s="138">
        <f>IF($F427="","",$F427+P_Duree)</f>
        <v/>
      </c>
      <c r="L427" s="134" t="n"/>
      <c r="M427" s="130">
        <f>IF(OR($F427="",$I427=""),"",IF($L427&lt;&gt;"",IF($L427&gt;$K427,"Rendu en retard","Rendu"),IF(TODAY()&gt;$K427,"En retard","En cours")))</f>
        <v/>
      </c>
      <c r="N427" s="139">
        <f>IF(OR($F427="",$I427=""),"",MAX(0,IF($L427&lt;&gt;"",$L427,TODAY())-$K427))</f>
        <v/>
      </c>
      <c r="O427" s="135">
        <f>IF(OR($F427="",$I427=""),"",$N427*P_Amende)</f>
        <v/>
      </c>
      <c r="P427" s="133" t="n"/>
      <c r="R427">
        <f>IF($M427="En retard",$N427+ROW()/100000,"")</f>
        <v/>
      </c>
      <c r="S427">
        <f>IF(OR($F427="",$I427=""),"",$F427+ROW()/100000)</f>
        <v/>
      </c>
      <c r="T427">
        <f>IF($I427="","",IFERROR(INDEX(LIV_Cat,MATCH($I427,LIV_Code,0)),""))</f>
        <v/>
      </c>
    </row>
    <row r="428" ht="21" customHeight="1">
      <c r="A428" s="1" t="n"/>
      <c r="B428" s="1" t="n"/>
      <c r="C428" s="2" t="n"/>
      <c r="E428" s="130">
        <f>IF($F428="","","EMP-"&amp;TEXT(ROW()-6,"0000"))</f>
        <v/>
      </c>
      <c r="F428" s="134" t="n"/>
      <c r="G428" s="127" t="n"/>
      <c r="H428" s="130">
        <f>IF($G428="","",IFERROR(INDEX(MEM_Nom,MATCH($G428,MEM_ID,0)),"⚠ ID inconnu"))</f>
        <v/>
      </c>
      <c r="I428" s="127" t="n"/>
      <c r="J428" s="130">
        <f>IF($I428="","",IFERROR(INDEX(LIV_Titre,MATCH($I428,LIV_Code,0)),"⚠ Code inconnu"))</f>
        <v/>
      </c>
      <c r="K428" s="138">
        <f>IF($F428="","",$F428+P_Duree)</f>
        <v/>
      </c>
      <c r="L428" s="134" t="n"/>
      <c r="M428" s="130">
        <f>IF(OR($F428="",$I428=""),"",IF($L428&lt;&gt;"",IF($L428&gt;$K428,"Rendu en retard","Rendu"),IF(TODAY()&gt;$K428,"En retard","En cours")))</f>
        <v/>
      </c>
      <c r="N428" s="139">
        <f>IF(OR($F428="",$I428=""),"",MAX(0,IF($L428&lt;&gt;"",$L428,TODAY())-$K428))</f>
        <v/>
      </c>
      <c r="O428" s="135">
        <f>IF(OR($F428="",$I428=""),"",$N428*P_Amende)</f>
        <v/>
      </c>
      <c r="P428" s="133" t="n"/>
      <c r="R428">
        <f>IF($M428="En retard",$N428+ROW()/100000,"")</f>
        <v/>
      </c>
      <c r="S428">
        <f>IF(OR($F428="",$I428=""),"",$F428+ROW()/100000)</f>
        <v/>
      </c>
      <c r="T428">
        <f>IF($I428="","",IFERROR(INDEX(LIV_Cat,MATCH($I428,LIV_Code,0)),""))</f>
        <v/>
      </c>
    </row>
    <row r="429" ht="21" customHeight="1">
      <c r="A429" s="1" t="n"/>
      <c r="B429" s="1" t="n"/>
      <c r="C429" s="2" t="n"/>
      <c r="E429" s="130">
        <f>IF($F429="","","EMP-"&amp;TEXT(ROW()-6,"0000"))</f>
        <v/>
      </c>
      <c r="F429" s="134" t="n"/>
      <c r="G429" s="127" t="n"/>
      <c r="H429" s="130">
        <f>IF($G429="","",IFERROR(INDEX(MEM_Nom,MATCH($G429,MEM_ID,0)),"⚠ ID inconnu"))</f>
        <v/>
      </c>
      <c r="I429" s="127" t="n"/>
      <c r="J429" s="130">
        <f>IF($I429="","",IFERROR(INDEX(LIV_Titre,MATCH($I429,LIV_Code,0)),"⚠ Code inconnu"))</f>
        <v/>
      </c>
      <c r="K429" s="138">
        <f>IF($F429="","",$F429+P_Duree)</f>
        <v/>
      </c>
      <c r="L429" s="134" t="n"/>
      <c r="M429" s="130">
        <f>IF(OR($F429="",$I429=""),"",IF($L429&lt;&gt;"",IF($L429&gt;$K429,"Rendu en retard","Rendu"),IF(TODAY()&gt;$K429,"En retard","En cours")))</f>
        <v/>
      </c>
      <c r="N429" s="139">
        <f>IF(OR($F429="",$I429=""),"",MAX(0,IF($L429&lt;&gt;"",$L429,TODAY())-$K429))</f>
        <v/>
      </c>
      <c r="O429" s="135">
        <f>IF(OR($F429="",$I429=""),"",$N429*P_Amende)</f>
        <v/>
      </c>
      <c r="P429" s="133" t="n"/>
      <c r="R429">
        <f>IF($M429="En retard",$N429+ROW()/100000,"")</f>
        <v/>
      </c>
      <c r="S429">
        <f>IF(OR($F429="",$I429=""),"",$F429+ROW()/100000)</f>
        <v/>
      </c>
      <c r="T429">
        <f>IF($I429="","",IFERROR(INDEX(LIV_Cat,MATCH($I429,LIV_Code,0)),""))</f>
        <v/>
      </c>
    </row>
    <row r="430" ht="21" customHeight="1">
      <c r="A430" s="1" t="n"/>
      <c r="B430" s="1" t="n"/>
      <c r="C430" s="2" t="n"/>
      <c r="E430" s="130">
        <f>IF($F430="","","EMP-"&amp;TEXT(ROW()-6,"0000"))</f>
        <v/>
      </c>
      <c r="F430" s="134" t="n"/>
      <c r="G430" s="127" t="n"/>
      <c r="H430" s="130">
        <f>IF($G430="","",IFERROR(INDEX(MEM_Nom,MATCH($G430,MEM_ID,0)),"⚠ ID inconnu"))</f>
        <v/>
      </c>
      <c r="I430" s="127" t="n"/>
      <c r="J430" s="130">
        <f>IF($I430="","",IFERROR(INDEX(LIV_Titre,MATCH($I430,LIV_Code,0)),"⚠ Code inconnu"))</f>
        <v/>
      </c>
      <c r="K430" s="138">
        <f>IF($F430="","",$F430+P_Duree)</f>
        <v/>
      </c>
      <c r="L430" s="134" t="n"/>
      <c r="M430" s="130">
        <f>IF(OR($F430="",$I430=""),"",IF($L430&lt;&gt;"",IF($L430&gt;$K430,"Rendu en retard","Rendu"),IF(TODAY()&gt;$K430,"En retard","En cours")))</f>
        <v/>
      </c>
      <c r="N430" s="139">
        <f>IF(OR($F430="",$I430=""),"",MAX(0,IF($L430&lt;&gt;"",$L430,TODAY())-$K430))</f>
        <v/>
      </c>
      <c r="O430" s="135">
        <f>IF(OR($F430="",$I430=""),"",$N430*P_Amende)</f>
        <v/>
      </c>
      <c r="P430" s="133" t="n"/>
      <c r="R430">
        <f>IF($M430="En retard",$N430+ROW()/100000,"")</f>
        <v/>
      </c>
      <c r="S430">
        <f>IF(OR($F430="",$I430=""),"",$F430+ROW()/100000)</f>
        <v/>
      </c>
      <c r="T430">
        <f>IF($I430="","",IFERROR(INDEX(LIV_Cat,MATCH($I430,LIV_Code,0)),""))</f>
        <v/>
      </c>
    </row>
    <row r="431" ht="21" customHeight="1">
      <c r="A431" s="1" t="n"/>
      <c r="B431" s="1" t="n"/>
      <c r="C431" s="2" t="n"/>
      <c r="E431" s="130">
        <f>IF($F431="","","EMP-"&amp;TEXT(ROW()-6,"0000"))</f>
        <v/>
      </c>
      <c r="F431" s="134" t="n"/>
      <c r="G431" s="127" t="n"/>
      <c r="H431" s="130">
        <f>IF($G431="","",IFERROR(INDEX(MEM_Nom,MATCH($G431,MEM_ID,0)),"⚠ ID inconnu"))</f>
        <v/>
      </c>
      <c r="I431" s="127" t="n"/>
      <c r="J431" s="130">
        <f>IF($I431="","",IFERROR(INDEX(LIV_Titre,MATCH($I431,LIV_Code,0)),"⚠ Code inconnu"))</f>
        <v/>
      </c>
      <c r="K431" s="138">
        <f>IF($F431="","",$F431+P_Duree)</f>
        <v/>
      </c>
      <c r="L431" s="134" t="n"/>
      <c r="M431" s="130">
        <f>IF(OR($F431="",$I431=""),"",IF($L431&lt;&gt;"",IF($L431&gt;$K431,"Rendu en retard","Rendu"),IF(TODAY()&gt;$K431,"En retard","En cours")))</f>
        <v/>
      </c>
      <c r="N431" s="139">
        <f>IF(OR($F431="",$I431=""),"",MAX(0,IF($L431&lt;&gt;"",$L431,TODAY())-$K431))</f>
        <v/>
      </c>
      <c r="O431" s="135">
        <f>IF(OR($F431="",$I431=""),"",$N431*P_Amende)</f>
        <v/>
      </c>
      <c r="P431" s="133" t="n"/>
      <c r="R431">
        <f>IF($M431="En retard",$N431+ROW()/100000,"")</f>
        <v/>
      </c>
      <c r="S431">
        <f>IF(OR($F431="",$I431=""),"",$F431+ROW()/100000)</f>
        <v/>
      </c>
      <c r="T431">
        <f>IF($I431="","",IFERROR(INDEX(LIV_Cat,MATCH($I431,LIV_Code,0)),""))</f>
        <v/>
      </c>
    </row>
    <row r="432" ht="21" customHeight="1">
      <c r="A432" s="1" t="n"/>
      <c r="B432" s="1" t="n"/>
      <c r="C432" s="2" t="n"/>
      <c r="E432" s="130">
        <f>IF($F432="","","EMP-"&amp;TEXT(ROW()-6,"0000"))</f>
        <v/>
      </c>
      <c r="F432" s="134" t="n"/>
      <c r="G432" s="127" t="n"/>
      <c r="H432" s="130">
        <f>IF($G432="","",IFERROR(INDEX(MEM_Nom,MATCH($G432,MEM_ID,0)),"⚠ ID inconnu"))</f>
        <v/>
      </c>
      <c r="I432" s="127" t="n"/>
      <c r="J432" s="130">
        <f>IF($I432="","",IFERROR(INDEX(LIV_Titre,MATCH($I432,LIV_Code,0)),"⚠ Code inconnu"))</f>
        <v/>
      </c>
      <c r="K432" s="138">
        <f>IF($F432="","",$F432+P_Duree)</f>
        <v/>
      </c>
      <c r="L432" s="134" t="n"/>
      <c r="M432" s="130">
        <f>IF(OR($F432="",$I432=""),"",IF($L432&lt;&gt;"",IF($L432&gt;$K432,"Rendu en retard","Rendu"),IF(TODAY()&gt;$K432,"En retard","En cours")))</f>
        <v/>
      </c>
      <c r="N432" s="139">
        <f>IF(OR($F432="",$I432=""),"",MAX(0,IF($L432&lt;&gt;"",$L432,TODAY())-$K432))</f>
        <v/>
      </c>
      <c r="O432" s="135">
        <f>IF(OR($F432="",$I432=""),"",$N432*P_Amende)</f>
        <v/>
      </c>
      <c r="P432" s="133" t="n"/>
      <c r="R432">
        <f>IF($M432="En retard",$N432+ROW()/100000,"")</f>
        <v/>
      </c>
      <c r="S432">
        <f>IF(OR($F432="",$I432=""),"",$F432+ROW()/100000)</f>
        <v/>
      </c>
      <c r="T432">
        <f>IF($I432="","",IFERROR(INDEX(LIV_Cat,MATCH($I432,LIV_Code,0)),""))</f>
        <v/>
      </c>
    </row>
    <row r="433" ht="21" customHeight="1">
      <c r="A433" s="1" t="n"/>
      <c r="B433" s="1" t="n"/>
      <c r="C433" s="2" t="n"/>
      <c r="E433" s="130">
        <f>IF($F433="","","EMP-"&amp;TEXT(ROW()-6,"0000"))</f>
        <v/>
      </c>
      <c r="F433" s="134" t="n"/>
      <c r="G433" s="127" t="n"/>
      <c r="H433" s="130">
        <f>IF($G433="","",IFERROR(INDEX(MEM_Nom,MATCH($G433,MEM_ID,0)),"⚠ ID inconnu"))</f>
        <v/>
      </c>
      <c r="I433" s="127" t="n"/>
      <c r="J433" s="130">
        <f>IF($I433="","",IFERROR(INDEX(LIV_Titre,MATCH($I433,LIV_Code,0)),"⚠ Code inconnu"))</f>
        <v/>
      </c>
      <c r="K433" s="138">
        <f>IF($F433="","",$F433+P_Duree)</f>
        <v/>
      </c>
      <c r="L433" s="134" t="n"/>
      <c r="M433" s="130">
        <f>IF(OR($F433="",$I433=""),"",IF($L433&lt;&gt;"",IF($L433&gt;$K433,"Rendu en retard","Rendu"),IF(TODAY()&gt;$K433,"En retard","En cours")))</f>
        <v/>
      </c>
      <c r="N433" s="139">
        <f>IF(OR($F433="",$I433=""),"",MAX(0,IF($L433&lt;&gt;"",$L433,TODAY())-$K433))</f>
        <v/>
      </c>
      <c r="O433" s="135">
        <f>IF(OR($F433="",$I433=""),"",$N433*P_Amende)</f>
        <v/>
      </c>
      <c r="P433" s="133" t="n"/>
      <c r="R433">
        <f>IF($M433="En retard",$N433+ROW()/100000,"")</f>
        <v/>
      </c>
      <c r="S433">
        <f>IF(OR($F433="",$I433=""),"",$F433+ROW()/100000)</f>
        <v/>
      </c>
      <c r="T433">
        <f>IF($I433="","",IFERROR(INDEX(LIV_Cat,MATCH($I433,LIV_Code,0)),""))</f>
        <v/>
      </c>
    </row>
    <row r="434" ht="21" customHeight="1">
      <c r="A434" s="1" t="n"/>
      <c r="B434" s="1" t="n"/>
      <c r="C434" s="2" t="n"/>
      <c r="E434" s="130">
        <f>IF($F434="","","EMP-"&amp;TEXT(ROW()-6,"0000"))</f>
        <v/>
      </c>
      <c r="F434" s="134" t="n"/>
      <c r="G434" s="127" t="n"/>
      <c r="H434" s="130">
        <f>IF($G434="","",IFERROR(INDEX(MEM_Nom,MATCH($G434,MEM_ID,0)),"⚠ ID inconnu"))</f>
        <v/>
      </c>
      <c r="I434" s="127" t="n"/>
      <c r="J434" s="130">
        <f>IF($I434="","",IFERROR(INDEX(LIV_Titre,MATCH($I434,LIV_Code,0)),"⚠ Code inconnu"))</f>
        <v/>
      </c>
      <c r="K434" s="138">
        <f>IF($F434="","",$F434+P_Duree)</f>
        <v/>
      </c>
      <c r="L434" s="134" t="n"/>
      <c r="M434" s="130">
        <f>IF(OR($F434="",$I434=""),"",IF($L434&lt;&gt;"",IF($L434&gt;$K434,"Rendu en retard","Rendu"),IF(TODAY()&gt;$K434,"En retard","En cours")))</f>
        <v/>
      </c>
      <c r="N434" s="139">
        <f>IF(OR($F434="",$I434=""),"",MAX(0,IF($L434&lt;&gt;"",$L434,TODAY())-$K434))</f>
        <v/>
      </c>
      <c r="O434" s="135">
        <f>IF(OR($F434="",$I434=""),"",$N434*P_Amende)</f>
        <v/>
      </c>
      <c r="P434" s="133" t="n"/>
      <c r="R434">
        <f>IF($M434="En retard",$N434+ROW()/100000,"")</f>
        <v/>
      </c>
      <c r="S434">
        <f>IF(OR($F434="",$I434=""),"",$F434+ROW()/100000)</f>
        <v/>
      </c>
      <c r="T434">
        <f>IF($I434="","",IFERROR(INDEX(LIV_Cat,MATCH($I434,LIV_Code,0)),""))</f>
        <v/>
      </c>
    </row>
    <row r="435" ht="21" customHeight="1">
      <c r="A435" s="1" t="n"/>
      <c r="B435" s="1" t="n"/>
      <c r="C435" s="2" t="n"/>
      <c r="E435" s="130">
        <f>IF($F435="","","EMP-"&amp;TEXT(ROW()-6,"0000"))</f>
        <v/>
      </c>
      <c r="F435" s="134" t="n"/>
      <c r="G435" s="127" t="n"/>
      <c r="H435" s="130">
        <f>IF($G435="","",IFERROR(INDEX(MEM_Nom,MATCH($G435,MEM_ID,0)),"⚠ ID inconnu"))</f>
        <v/>
      </c>
      <c r="I435" s="127" t="n"/>
      <c r="J435" s="130">
        <f>IF($I435="","",IFERROR(INDEX(LIV_Titre,MATCH($I435,LIV_Code,0)),"⚠ Code inconnu"))</f>
        <v/>
      </c>
      <c r="K435" s="138">
        <f>IF($F435="","",$F435+P_Duree)</f>
        <v/>
      </c>
      <c r="L435" s="134" t="n"/>
      <c r="M435" s="130">
        <f>IF(OR($F435="",$I435=""),"",IF($L435&lt;&gt;"",IF($L435&gt;$K435,"Rendu en retard","Rendu"),IF(TODAY()&gt;$K435,"En retard","En cours")))</f>
        <v/>
      </c>
      <c r="N435" s="139">
        <f>IF(OR($F435="",$I435=""),"",MAX(0,IF($L435&lt;&gt;"",$L435,TODAY())-$K435))</f>
        <v/>
      </c>
      <c r="O435" s="135">
        <f>IF(OR($F435="",$I435=""),"",$N435*P_Amende)</f>
        <v/>
      </c>
      <c r="P435" s="133" t="n"/>
      <c r="R435">
        <f>IF($M435="En retard",$N435+ROW()/100000,"")</f>
        <v/>
      </c>
      <c r="S435">
        <f>IF(OR($F435="",$I435=""),"",$F435+ROW()/100000)</f>
        <v/>
      </c>
      <c r="T435">
        <f>IF($I435="","",IFERROR(INDEX(LIV_Cat,MATCH($I435,LIV_Code,0)),""))</f>
        <v/>
      </c>
    </row>
    <row r="436" ht="21" customHeight="1">
      <c r="A436" s="1" t="n"/>
      <c r="B436" s="1" t="n"/>
      <c r="C436" s="2" t="n"/>
      <c r="E436" s="130">
        <f>IF($F436="","","EMP-"&amp;TEXT(ROW()-6,"0000"))</f>
        <v/>
      </c>
      <c r="F436" s="134" t="n"/>
      <c r="G436" s="127" t="n"/>
      <c r="H436" s="130">
        <f>IF($G436="","",IFERROR(INDEX(MEM_Nom,MATCH($G436,MEM_ID,0)),"⚠ ID inconnu"))</f>
        <v/>
      </c>
      <c r="I436" s="127" t="n"/>
      <c r="J436" s="130">
        <f>IF($I436="","",IFERROR(INDEX(LIV_Titre,MATCH($I436,LIV_Code,0)),"⚠ Code inconnu"))</f>
        <v/>
      </c>
      <c r="K436" s="138">
        <f>IF($F436="","",$F436+P_Duree)</f>
        <v/>
      </c>
      <c r="L436" s="134" t="n"/>
      <c r="M436" s="130">
        <f>IF(OR($F436="",$I436=""),"",IF($L436&lt;&gt;"",IF($L436&gt;$K436,"Rendu en retard","Rendu"),IF(TODAY()&gt;$K436,"En retard","En cours")))</f>
        <v/>
      </c>
      <c r="N436" s="139">
        <f>IF(OR($F436="",$I436=""),"",MAX(0,IF($L436&lt;&gt;"",$L436,TODAY())-$K436))</f>
        <v/>
      </c>
      <c r="O436" s="135">
        <f>IF(OR($F436="",$I436=""),"",$N436*P_Amende)</f>
        <v/>
      </c>
      <c r="P436" s="133" t="n"/>
      <c r="R436">
        <f>IF($M436="En retard",$N436+ROW()/100000,"")</f>
        <v/>
      </c>
      <c r="S436">
        <f>IF(OR($F436="",$I436=""),"",$F436+ROW()/100000)</f>
        <v/>
      </c>
      <c r="T436">
        <f>IF($I436="","",IFERROR(INDEX(LIV_Cat,MATCH($I436,LIV_Code,0)),""))</f>
        <v/>
      </c>
    </row>
    <row r="437" ht="21" customHeight="1">
      <c r="A437" s="1" t="n"/>
      <c r="B437" s="1" t="n"/>
      <c r="C437" s="2" t="n"/>
      <c r="E437" s="130">
        <f>IF($F437="","","EMP-"&amp;TEXT(ROW()-6,"0000"))</f>
        <v/>
      </c>
      <c r="F437" s="134" t="n"/>
      <c r="G437" s="127" t="n"/>
      <c r="H437" s="130">
        <f>IF($G437="","",IFERROR(INDEX(MEM_Nom,MATCH($G437,MEM_ID,0)),"⚠ ID inconnu"))</f>
        <v/>
      </c>
      <c r="I437" s="127" t="n"/>
      <c r="J437" s="130">
        <f>IF($I437="","",IFERROR(INDEX(LIV_Titre,MATCH($I437,LIV_Code,0)),"⚠ Code inconnu"))</f>
        <v/>
      </c>
      <c r="K437" s="138">
        <f>IF($F437="","",$F437+P_Duree)</f>
        <v/>
      </c>
      <c r="L437" s="134" t="n"/>
      <c r="M437" s="130">
        <f>IF(OR($F437="",$I437=""),"",IF($L437&lt;&gt;"",IF($L437&gt;$K437,"Rendu en retard","Rendu"),IF(TODAY()&gt;$K437,"En retard","En cours")))</f>
        <v/>
      </c>
      <c r="N437" s="139">
        <f>IF(OR($F437="",$I437=""),"",MAX(0,IF($L437&lt;&gt;"",$L437,TODAY())-$K437))</f>
        <v/>
      </c>
      <c r="O437" s="135">
        <f>IF(OR($F437="",$I437=""),"",$N437*P_Amende)</f>
        <v/>
      </c>
      <c r="P437" s="133" t="n"/>
      <c r="R437">
        <f>IF($M437="En retard",$N437+ROW()/100000,"")</f>
        <v/>
      </c>
      <c r="S437">
        <f>IF(OR($F437="",$I437=""),"",$F437+ROW()/100000)</f>
        <v/>
      </c>
      <c r="T437">
        <f>IF($I437="","",IFERROR(INDEX(LIV_Cat,MATCH($I437,LIV_Code,0)),""))</f>
        <v/>
      </c>
    </row>
    <row r="438" ht="21" customHeight="1">
      <c r="A438" s="1" t="n"/>
      <c r="B438" s="1" t="n"/>
      <c r="C438" s="2" t="n"/>
      <c r="E438" s="130">
        <f>IF($F438="","","EMP-"&amp;TEXT(ROW()-6,"0000"))</f>
        <v/>
      </c>
      <c r="F438" s="134" t="n"/>
      <c r="G438" s="127" t="n"/>
      <c r="H438" s="130">
        <f>IF($G438="","",IFERROR(INDEX(MEM_Nom,MATCH($G438,MEM_ID,0)),"⚠ ID inconnu"))</f>
        <v/>
      </c>
      <c r="I438" s="127" t="n"/>
      <c r="J438" s="130">
        <f>IF($I438="","",IFERROR(INDEX(LIV_Titre,MATCH($I438,LIV_Code,0)),"⚠ Code inconnu"))</f>
        <v/>
      </c>
      <c r="K438" s="138">
        <f>IF($F438="","",$F438+P_Duree)</f>
        <v/>
      </c>
      <c r="L438" s="134" t="n"/>
      <c r="M438" s="130">
        <f>IF(OR($F438="",$I438=""),"",IF($L438&lt;&gt;"",IF($L438&gt;$K438,"Rendu en retard","Rendu"),IF(TODAY()&gt;$K438,"En retard","En cours")))</f>
        <v/>
      </c>
      <c r="N438" s="139">
        <f>IF(OR($F438="",$I438=""),"",MAX(0,IF($L438&lt;&gt;"",$L438,TODAY())-$K438))</f>
        <v/>
      </c>
      <c r="O438" s="135">
        <f>IF(OR($F438="",$I438=""),"",$N438*P_Amende)</f>
        <v/>
      </c>
      <c r="P438" s="133" t="n"/>
      <c r="R438">
        <f>IF($M438="En retard",$N438+ROW()/100000,"")</f>
        <v/>
      </c>
      <c r="S438">
        <f>IF(OR($F438="",$I438=""),"",$F438+ROW()/100000)</f>
        <v/>
      </c>
      <c r="T438">
        <f>IF($I438="","",IFERROR(INDEX(LIV_Cat,MATCH($I438,LIV_Code,0)),""))</f>
        <v/>
      </c>
    </row>
    <row r="439" ht="21" customHeight="1">
      <c r="A439" s="1" t="n"/>
      <c r="B439" s="1" t="n"/>
      <c r="C439" s="2" t="n"/>
      <c r="E439" s="130">
        <f>IF($F439="","","EMP-"&amp;TEXT(ROW()-6,"0000"))</f>
        <v/>
      </c>
      <c r="F439" s="134" t="n"/>
      <c r="G439" s="127" t="n"/>
      <c r="H439" s="130">
        <f>IF($G439="","",IFERROR(INDEX(MEM_Nom,MATCH($G439,MEM_ID,0)),"⚠ ID inconnu"))</f>
        <v/>
      </c>
      <c r="I439" s="127" t="n"/>
      <c r="J439" s="130">
        <f>IF($I439="","",IFERROR(INDEX(LIV_Titre,MATCH($I439,LIV_Code,0)),"⚠ Code inconnu"))</f>
        <v/>
      </c>
      <c r="K439" s="138">
        <f>IF($F439="","",$F439+P_Duree)</f>
        <v/>
      </c>
      <c r="L439" s="134" t="n"/>
      <c r="M439" s="130">
        <f>IF(OR($F439="",$I439=""),"",IF($L439&lt;&gt;"",IF($L439&gt;$K439,"Rendu en retard","Rendu"),IF(TODAY()&gt;$K439,"En retard","En cours")))</f>
        <v/>
      </c>
      <c r="N439" s="139">
        <f>IF(OR($F439="",$I439=""),"",MAX(0,IF($L439&lt;&gt;"",$L439,TODAY())-$K439))</f>
        <v/>
      </c>
      <c r="O439" s="135">
        <f>IF(OR($F439="",$I439=""),"",$N439*P_Amende)</f>
        <v/>
      </c>
      <c r="P439" s="133" t="n"/>
      <c r="R439">
        <f>IF($M439="En retard",$N439+ROW()/100000,"")</f>
        <v/>
      </c>
      <c r="S439">
        <f>IF(OR($F439="",$I439=""),"",$F439+ROW()/100000)</f>
        <v/>
      </c>
      <c r="T439">
        <f>IF($I439="","",IFERROR(INDEX(LIV_Cat,MATCH($I439,LIV_Code,0)),""))</f>
        <v/>
      </c>
    </row>
    <row r="440" ht="21" customHeight="1">
      <c r="A440" s="1" t="n"/>
      <c r="B440" s="1" t="n"/>
      <c r="C440" s="2" t="n"/>
      <c r="E440" s="130">
        <f>IF($F440="","","EMP-"&amp;TEXT(ROW()-6,"0000"))</f>
        <v/>
      </c>
      <c r="F440" s="134" t="n"/>
      <c r="G440" s="127" t="n"/>
      <c r="H440" s="130">
        <f>IF($G440="","",IFERROR(INDEX(MEM_Nom,MATCH($G440,MEM_ID,0)),"⚠ ID inconnu"))</f>
        <v/>
      </c>
      <c r="I440" s="127" t="n"/>
      <c r="J440" s="130">
        <f>IF($I440="","",IFERROR(INDEX(LIV_Titre,MATCH($I440,LIV_Code,0)),"⚠ Code inconnu"))</f>
        <v/>
      </c>
      <c r="K440" s="138">
        <f>IF($F440="","",$F440+P_Duree)</f>
        <v/>
      </c>
      <c r="L440" s="134" t="n"/>
      <c r="M440" s="130">
        <f>IF(OR($F440="",$I440=""),"",IF($L440&lt;&gt;"",IF($L440&gt;$K440,"Rendu en retard","Rendu"),IF(TODAY()&gt;$K440,"En retard","En cours")))</f>
        <v/>
      </c>
      <c r="N440" s="139">
        <f>IF(OR($F440="",$I440=""),"",MAX(0,IF($L440&lt;&gt;"",$L440,TODAY())-$K440))</f>
        <v/>
      </c>
      <c r="O440" s="135">
        <f>IF(OR($F440="",$I440=""),"",$N440*P_Amende)</f>
        <v/>
      </c>
      <c r="P440" s="133" t="n"/>
      <c r="R440">
        <f>IF($M440="En retard",$N440+ROW()/100000,"")</f>
        <v/>
      </c>
      <c r="S440">
        <f>IF(OR($F440="",$I440=""),"",$F440+ROW()/100000)</f>
        <v/>
      </c>
      <c r="T440">
        <f>IF($I440="","",IFERROR(INDEX(LIV_Cat,MATCH($I440,LIV_Code,0)),""))</f>
        <v/>
      </c>
    </row>
    <row r="441" ht="21" customHeight="1">
      <c r="A441" s="1" t="n"/>
      <c r="B441" s="1" t="n"/>
      <c r="C441" s="2" t="n"/>
      <c r="E441" s="130">
        <f>IF($F441="","","EMP-"&amp;TEXT(ROW()-6,"0000"))</f>
        <v/>
      </c>
      <c r="F441" s="134" t="n"/>
      <c r="G441" s="127" t="n"/>
      <c r="H441" s="130">
        <f>IF($G441="","",IFERROR(INDEX(MEM_Nom,MATCH($G441,MEM_ID,0)),"⚠ ID inconnu"))</f>
        <v/>
      </c>
      <c r="I441" s="127" t="n"/>
      <c r="J441" s="130">
        <f>IF($I441="","",IFERROR(INDEX(LIV_Titre,MATCH($I441,LIV_Code,0)),"⚠ Code inconnu"))</f>
        <v/>
      </c>
      <c r="K441" s="138">
        <f>IF($F441="","",$F441+P_Duree)</f>
        <v/>
      </c>
      <c r="L441" s="134" t="n"/>
      <c r="M441" s="130">
        <f>IF(OR($F441="",$I441=""),"",IF($L441&lt;&gt;"",IF($L441&gt;$K441,"Rendu en retard","Rendu"),IF(TODAY()&gt;$K441,"En retard","En cours")))</f>
        <v/>
      </c>
      <c r="N441" s="139">
        <f>IF(OR($F441="",$I441=""),"",MAX(0,IF($L441&lt;&gt;"",$L441,TODAY())-$K441))</f>
        <v/>
      </c>
      <c r="O441" s="135">
        <f>IF(OR($F441="",$I441=""),"",$N441*P_Amende)</f>
        <v/>
      </c>
      <c r="P441" s="133" t="n"/>
      <c r="R441">
        <f>IF($M441="En retard",$N441+ROW()/100000,"")</f>
        <v/>
      </c>
      <c r="S441">
        <f>IF(OR($F441="",$I441=""),"",$F441+ROW()/100000)</f>
        <v/>
      </c>
      <c r="T441">
        <f>IF($I441="","",IFERROR(INDEX(LIV_Cat,MATCH($I441,LIV_Code,0)),""))</f>
        <v/>
      </c>
    </row>
    <row r="442" ht="21" customHeight="1">
      <c r="A442" s="1" t="n"/>
      <c r="B442" s="1" t="n"/>
      <c r="C442" s="2" t="n"/>
      <c r="E442" s="130">
        <f>IF($F442="","","EMP-"&amp;TEXT(ROW()-6,"0000"))</f>
        <v/>
      </c>
      <c r="F442" s="134" t="n"/>
      <c r="G442" s="127" t="n"/>
      <c r="H442" s="130">
        <f>IF($G442="","",IFERROR(INDEX(MEM_Nom,MATCH($G442,MEM_ID,0)),"⚠ ID inconnu"))</f>
        <v/>
      </c>
      <c r="I442" s="127" t="n"/>
      <c r="J442" s="130">
        <f>IF($I442="","",IFERROR(INDEX(LIV_Titre,MATCH($I442,LIV_Code,0)),"⚠ Code inconnu"))</f>
        <v/>
      </c>
      <c r="K442" s="138">
        <f>IF($F442="","",$F442+P_Duree)</f>
        <v/>
      </c>
      <c r="L442" s="134" t="n"/>
      <c r="M442" s="130">
        <f>IF(OR($F442="",$I442=""),"",IF($L442&lt;&gt;"",IF($L442&gt;$K442,"Rendu en retard","Rendu"),IF(TODAY()&gt;$K442,"En retard","En cours")))</f>
        <v/>
      </c>
      <c r="N442" s="139">
        <f>IF(OR($F442="",$I442=""),"",MAX(0,IF($L442&lt;&gt;"",$L442,TODAY())-$K442))</f>
        <v/>
      </c>
      <c r="O442" s="135">
        <f>IF(OR($F442="",$I442=""),"",$N442*P_Amende)</f>
        <v/>
      </c>
      <c r="P442" s="133" t="n"/>
      <c r="R442">
        <f>IF($M442="En retard",$N442+ROW()/100000,"")</f>
        <v/>
      </c>
      <c r="S442">
        <f>IF(OR($F442="",$I442=""),"",$F442+ROW()/100000)</f>
        <v/>
      </c>
      <c r="T442">
        <f>IF($I442="","",IFERROR(INDEX(LIV_Cat,MATCH($I442,LIV_Code,0)),""))</f>
        <v/>
      </c>
    </row>
    <row r="443" ht="21" customHeight="1">
      <c r="A443" s="1" t="n"/>
      <c r="B443" s="1" t="n"/>
      <c r="C443" s="2" t="n"/>
      <c r="E443" s="130">
        <f>IF($F443="","","EMP-"&amp;TEXT(ROW()-6,"0000"))</f>
        <v/>
      </c>
      <c r="F443" s="134" t="n"/>
      <c r="G443" s="127" t="n"/>
      <c r="H443" s="130">
        <f>IF($G443="","",IFERROR(INDEX(MEM_Nom,MATCH($G443,MEM_ID,0)),"⚠ ID inconnu"))</f>
        <v/>
      </c>
      <c r="I443" s="127" t="n"/>
      <c r="J443" s="130">
        <f>IF($I443="","",IFERROR(INDEX(LIV_Titre,MATCH($I443,LIV_Code,0)),"⚠ Code inconnu"))</f>
        <v/>
      </c>
      <c r="K443" s="138">
        <f>IF($F443="","",$F443+P_Duree)</f>
        <v/>
      </c>
      <c r="L443" s="134" t="n"/>
      <c r="M443" s="130">
        <f>IF(OR($F443="",$I443=""),"",IF($L443&lt;&gt;"",IF($L443&gt;$K443,"Rendu en retard","Rendu"),IF(TODAY()&gt;$K443,"En retard","En cours")))</f>
        <v/>
      </c>
      <c r="N443" s="139">
        <f>IF(OR($F443="",$I443=""),"",MAX(0,IF($L443&lt;&gt;"",$L443,TODAY())-$K443))</f>
        <v/>
      </c>
      <c r="O443" s="135">
        <f>IF(OR($F443="",$I443=""),"",$N443*P_Amende)</f>
        <v/>
      </c>
      <c r="P443" s="133" t="n"/>
      <c r="R443">
        <f>IF($M443="En retard",$N443+ROW()/100000,"")</f>
        <v/>
      </c>
      <c r="S443">
        <f>IF(OR($F443="",$I443=""),"",$F443+ROW()/100000)</f>
        <v/>
      </c>
      <c r="T443">
        <f>IF($I443="","",IFERROR(INDEX(LIV_Cat,MATCH($I443,LIV_Code,0)),""))</f>
        <v/>
      </c>
    </row>
    <row r="444" ht="21" customHeight="1">
      <c r="A444" s="1" t="n"/>
      <c r="B444" s="1" t="n"/>
      <c r="C444" s="2" t="n"/>
      <c r="E444" s="130">
        <f>IF($F444="","","EMP-"&amp;TEXT(ROW()-6,"0000"))</f>
        <v/>
      </c>
      <c r="F444" s="134" t="n"/>
      <c r="G444" s="127" t="n"/>
      <c r="H444" s="130">
        <f>IF($G444="","",IFERROR(INDEX(MEM_Nom,MATCH($G444,MEM_ID,0)),"⚠ ID inconnu"))</f>
        <v/>
      </c>
      <c r="I444" s="127" t="n"/>
      <c r="J444" s="130">
        <f>IF($I444="","",IFERROR(INDEX(LIV_Titre,MATCH($I444,LIV_Code,0)),"⚠ Code inconnu"))</f>
        <v/>
      </c>
      <c r="K444" s="138">
        <f>IF($F444="","",$F444+P_Duree)</f>
        <v/>
      </c>
      <c r="L444" s="134" t="n"/>
      <c r="M444" s="130">
        <f>IF(OR($F444="",$I444=""),"",IF($L444&lt;&gt;"",IF($L444&gt;$K444,"Rendu en retard","Rendu"),IF(TODAY()&gt;$K444,"En retard","En cours")))</f>
        <v/>
      </c>
      <c r="N444" s="139">
        <f>IF(OR($F444="",$I444=""),"",MAX(0,IF($L444&lt;&gt;"",$L444,TODAY())-$K444))</f>
        <v/>
      </c>
      <c r="O444" s="135">
        <f>IF(OR($F444="",$I444=""),"",$N444*P_Amende)</f>
        <v/>
      </c>
      <c r="P444" s="133" t="n"/>
      <c r="R444">
        <f>IF($M444="En retard",$N444+ROW()/100000,"")</f>
        <v/>
      </c>
      <c r="S444">
        <f>IF(OR($F444="",$I444=""),"",$F444+ROW()/100000)</f>
        <v/>
      </c>
      <c r="T444">
        <f>IF($I444="","",IFERROR(INDEX(LIV_Cat,MATCH($I444,LIV_Code,0)),""))</f>
        <v/>
      </c>
    </row>
    <row r="445" ht="21" customHeight="1">
      <c r="A445" s="1" t="n"/>
      <c r="B445" s="1" t="n"/>
      <c r="C445" s="2" t="n"/>
      <c r="E445" s="130">
        <f>IF($F445="","","EMP-"&amp;TEXT(ROW()-6,"0000"))</f>
        <v/>
      </c>
      <c r="F445" s="134" t="n"/>
      <c r="G445" s="127" t="n"/>
      <c r="H445" s="130">
        <f>IF($G445="","",IFERROR(INDEX(MEM_Nom,MATCH($G445,MEM_ID,0)),"⚠ ID inconnu"))</f>
        <v/>
      </c>
      <c r="I445" s="127" t="n"/>
      <c r="J445" s="130">
        <f>IF($I445="","",IFERROR(INDEX(LIV_Titre,MATCH($I445,LIV_Code,0)),"⚠ Code inconnu"))</f>
        <v/>
      </c>
      <c r="K445" s="138">
        <f>IF($F445="","",$F445+P_Duree)</f>
        <v/>
      </c>
      <c r="L445" s="134" t="n"/>
      <c r="M445" s="130">
        <f>IF(OR($F445="",$I445=""),"",IF($L445&lt;&gt;"",IF($L445&gt;$K445,"Rendu en retard","Rendu"),IF(TODAY()&gt;$K445,"En retard","En cours")))</f>
        <v/>
      </c>
      <c r="N445" s="139">
        <f>IF(OR($F445="",$I445=""),"",MAX(0,IF($L445&lt;&gt;"",$L445,TODAY())-$K445))</f>
        <v/>
      </c>
      <c r="O445" s="135">
        <f>IF(OR($F445="",$I445=""),"",$N445*P_Amende)</f>
        <v/>
      </c>
      <c r="P445" s="133" t="n"/>
      <c r="R445">
        <f>IF($M445="En retard",$N445+ROW()/100000,"")</f>
        <v/>
      </c>
      <c r="S445">
        <f>IF(OR($F445="",$I445=""),"",$F445+ROW()/100000)</f>
        <v/>
      </c>
      <c r="T445">
        <f>IF($I445="","",IFERROR(INDEX(LIV_Cat,MATCH($I445,LIV_Code,0)),""))</f>
        <v/>
      </c>
    </row>
    <row r="446" ht="21" customHeight="1">
      <c r="A446" s="1" t="n"/>
      <c r="B446" s="1" t="n"/>
      <c r="C446" s="2" t="n"/>
      <c r="E446" s="130">
        <f>IF($F446="","","EMP-"&amp;TEXT(ROW()-6,"0000"))</f>
        <v/>
      </c>
      <c r="F446" s="134" t="n"/>
      <c r="G446" s="127" t="n"/>
      <c r="H446" s="130">
        <f>IF($G446="","",IFERROR(INDEX(MEM_Nom,MATCH($G446,MEM_ID,0)),"⚠ ID inconnu"))</f>
        <v/>
      </c>
      <c r="I446" s="127" t="n"/>
      <c r="J446" s="130">
        <f>IF($I446="","",IFERROR(INDEX(LIV_Titre,MATCH($I446,LIV_Code,0)),"⚠ Code inconnu"))</f>
        <v/>
      </c>
      <c r="K446" s="138">
        <f>IF($F446="","",$F446+P_Duree)</f>
        <v/>
      </c>
      <c r="L446" s="134" t="n"/>
      <c r="M446" s="130">
        <f>IF(OR($F446="",$I446=""),"",IF($L446&lt;&gt;"",IF($L446&gt;$K446,"Rendu en retard","Rendu"),IF(TODAY()&gt;$K446,"En retard","En cours")))</f>
        <v/>
      </c>
      <c r="N446" s="139">
        <f>IF(OR($F446="",$I446=""),"",MAX(0,IF($L446&lt;&gt;"",$L446,TODAY())-$K446))</f>
        <v/>
      </c>
      <c r="O446" s="135">
        <f>IF(OR($F446="",$I446=""),"",$N446*P_Amende)</f>
        <v/>
      </c>
      <c r="P446" s="133" t="n"/>
      <c r="R446">
        <f>IF($M446="En retard",$N446+ROW()/100000,"")</f>
        <v/>
      </c>
      <c r="S446">
        <f>IF(OR($F446="",$I446=""),"",$F446+ROW()/100000)</f>
        <v/>
      </c>
      <c r="T446">
        <f>IF($I446="","",IFERROR(INDEX(LIV_Cat,MATCH($I446,LIV_Code,0)),""))</f>
        <v/>
      </c>
    </row>
    <row r="447" ht="21" customHeight="1">
      <c r="A447" s="1" t="n"/>
      <c r="B447" s="1" t="n"/>
      <c r="C447" s="2" t="n"/>
      <c r="E447" s="130">
        <f>IF($F447="","","EMP-"&amp;TEXT(ROW()-6,"0000"))</f>
        <v/>
      </c>
      <c r="F447" s="134" t="n"/>
      <c r="G447" s="127" t="n"/>
      <c r="H447" s="130">
        <f>IF($G447="","",IFERROR(INDEX(MEM_Nom,MATCH($G447,MEM_ID,0)),"⚠ ID inconnu"))</f>
        <v/>
      </c>
      <c r="I447" s="127" t="n"/>
      <c r="J447" s="130">
        <f>IF($I447="","",IFERROR(INDEX(LIV_Titre,MATCH($I447,LIV_Code,0)),"⚠ Code inconnu"))</f>
        <v/>
      </c>
      <c r="K447" s="138">
        <f>IF($F447="","",$F447+P_Duree)</f>
        <v/>
      </c>
      <c r="L447" s="134" t="n"/>
      <c r="M447" s="130">
        <f>IF(OR($F447="",$I447=""),"",IF($L447&lt;&gt;"",IF($L447&gt;$K447,"Rendu en retard","Rendu"),IF(TODAY()&gt;$K447,"En retard","En cours")))</f>
        <v/>
      </c>
      <c r="N447" s="139">
        <f>IF(OR($F447="",$I447=""),"",MAX(0,IF($L447&lt;&gt;"",$L447,TODAY())-$K447))</f>
        <v/>
      </c>
      <c r="O447" s="135">
        <f>IF(OR($F447="",$I447=""),"",$N447*P_Amende)</f>
        <v/>
      </c>
      <c r="P447" s="133" t="n"/>
      <c r="R447">
        <f>IF($M447="En retard",$N447+ROW()/100000,"")</f>
        <v/>
      </c>
      <c r="S447">
        <f>IF(OR($F447="",$I447=""),"",$F447+ROW()/100000)</f>
        <v/>
      </c>
      <c r="T447">
        <f>IF($I447="","",IFERROR(INDEX(LIV_Cat,MATCH($I447,LIV_Code,0)),""))</f>
        <v/>
      </c>
    </row>
    <row r="448" ht="21" customHeight="1">
      <c r="A448" s="1" t="n"/>
      <c r="B448" s="1" t="n"/>
      <c r="C448" s="2" t="n"/>
      <c r="E448" s="130">
        <f>IF($F448="","","EMP-"&amp;TEXT(ROW()-6,"0000"))</f>
        <v/>
      </c>
      <c r="F448" s="134" t="n"/>
      <c r="G448" s="127" t="n"/>
      <c r="H448" s="130">
        <f>IF($G448="","",IFERROR(INDEX(MEM_Nom,MATCH($G448,MEM_ID,0)),"⚠ ID inconnu"))</f>
        <v/>
      </c>
      <c r="I448" s="127" t="n"/>
      <c r="J448" s="130">
        <f>IF($I448="","",IFERROR(INDEX(LIV_Titre,MATCH($I448,LIV_Code,0)),"⚠ Code inconnu"))</f>
        <v/>
      </c>
      <c r="K448" s="138">
        <f>IF($F448="","",$F448+P_Duree)</f>
        <v/>
      </c>
      <c r="L448" s="134" t="n"/>
      <c r="M448" s="130">
        <f>IF(OR($F448="",$I448=""),"",IF($L448&lt;&gt;"",IF($L448&gt;$K448,"Rendu en retard","Rendu"),IF(TODAY()&gt;$K448,"En retard","En cours")))</f>
        <v/>
      </c>
      <c r="N448" s="139">
        <f>IF(OR($F448="",$I448=""),"",MAX(0,IF($L448&lt;&gt;"",$L448,TODAY())-$K448))</f>
        <v/>
      </c>
      <c r="O448" s="135">
        <f>IF(OR($F448="",$I448=""),"",$N448*P_Amende)</f>
        <v/>
      </c>
      <c r="P448" s="133" t="n"/>
      <c r="R448">
        <f>IF($M448="En retard",$N448+ROW()/100000,"")</f>
        <v/>
      </c>
      <c r="S448">
        <f>IF(OR($F448="",$I448=""),"",$F448+ROW()/100000)</f>
        <v/>
      </c>
      <c r="T448">
        <f>IF($I448="","",IFERROR(INDEX(LIV_Cat,MATCH($I448,LIV_Code,0)),""))</f>
        <v/>
      </c>
    </row>
    <row r="449" ht="21" customHeight="1">
      <c r="A449" s="1" t="n"/>
      <c r="B449" s="1" t="n"/>
      <c r="C449" s="2" t="n"/>
      <c r="E449" s="130">
        <f>IF($F449="","","EMP-"&amp;TEXT(ROW()-6,"0000"))</f>
        <v/>
      </c>
      <c r="F449" s="134" t="n"/>
      <c r="G449" s="127" t="n"/>
      <c r="H449" s="130">
        <f>IF($G449="","",IFERROR(INDEX(MEM_Nom,MATCH($G449,MEM_ID,0)),"⚠ ID inconnu"))</f>
        <v/>
      </c>
      <c r="I449" s="127" t="n"/>
      <c r="J449" s="130">
        <f>IF($I449="","",IFERROR(INDEX(LIV_Titre,MATCH($I449,LIV_Code,0)),"⚠ Code inconnu"))</f>
        <v/>
      </c>
      <c r="K449" s="138">
        <f>IF($F449="","",$F449+P_Duree)</f>
        <v/>
      </c>
      <c r="L449" s="134" t="n"/>
      <c r="M449" s="130">
        <f>IF(OR($F449="",$I449=""),"",IF($L449&lt;&gt;"",IF($L449&gt;$K449,"Rendu en retard","Rendu"),IF(TODAY()&gt;$K449,"En retard","En cours")))</f>
        <v/>
      </c>
      <c r="N449" s="139">
        <f>IF(OR($F449="",$I449=""),"",MAX(0,IF($L449&lt;&gt;"",$L449,TODAY())-$K449))</f>
        <v/>
      </c>
      <c r="O449" s="135">
        <f>IF(OR($F449="",$I449=""),"",$N449*P_Amende)</f>
        <v/>
      </c>
      <c r="P449" s="133" t="n"/>
      <c r="R449">
        <f>IF($M449="En retard",$N449+ROW()/100000,"")</f>
        <v/>
      </c>
      <c r="S449">
        <f>IF(OR($F449="",$I449=""),"",$F449+ROW()/100000)</f>
        <v/>
      </c>
      <c r="T449">
        <f>IF($I449="","",IFERROR(INDEX(LIV_Cat,MATCH($I449,LIV_Code,0)),""))</f>
        <v/>
      </c>
    </row>
    <row r="450" ht="21" customHeight="1">
      <c r="A450" s="1" t="n"/>
      <c r="B450" s="1" t="n"/>
      <c r="C450" s="2" t="n"/>
      <c r="E450" s="130">
        <f>IF($F450="","","EMP-"&amp;TEXT(ROW()-6,"0000"))</f>
        <v/>
      </c>
      <c r="F450" s="134" t="n"/>
      <c r="G450" s="127" t="n"/>
      <c r="H450" s="130">
        <f>IF($G450="","",IFERROR(INDEX(MEM_Nom,MATCH($G450,MEM_ID,0)),"⚠ ID inconnu"))</f>
        <v/>
      </c>
      <c r="I450" s="127" t="n"/>
      <c r="J450" s="130">
        <f>IF($I450="","",IFERROR(INDEX(LIV_Titre,MATCH($I450,LIV_Code,0)),"⚠ Code inconnu"))</f>
        <v/>
      </c>
      <c r="K450" s="138">
        <f>IF($F450="","",$F450+P_Duree)</f>
        <v/>
      </c>
      <c r="L450" s="134" t="n"/>
      <c r="M450" s="130">
        <f>IF(OR($F450="",$I450=""),"",IF($L450&lt;&gt;"",IF($L450&gt;$K450,"Rendu en retard","Rendu"),IF(TODAY()&gt;$K450,"En retard","En cours")))</f>
        <v/>
      </c>
      <c r="N450" s="139">
        <f>IF(OR($F450="",$I450=""),"",MAX(0,IF($L450&lt;&gt;"",$L450,TODAY())-$K450))</f>
        <v/>
      </c>
      <c r="O450" s="135">
        <f>IF(OR($F450="",$I450=""),"",$N450*P_Amende)</f>
        <v/>
      </c>
      <c r="P450" s="133" t="n"/>
      <c r="R450">
        <f>IF($M450="En retard",$N450+ROW()/100000,"")</f>
        <v/>
      </c>
      <c r="S450">
        <f>IF(OR($F450="",$I450=""),"",$F450+ROW()/100000)</f>
        <v/>
      </c>
      <c r="T450">
        <f>IF($I450="","",IFERROR(INDEX(LIV_Cat,MATCH($I450,LIV_Code,0)),""))</f>
        <v/>
      </c>
    </row>
    <row r="451" ht="21" customHeight="1">
      <c r="A451" s="1" t="n"/>
      <c r="B451" s="1" t="n"/>
      <c r="C451" s="2" t="n"/>
      <c r="E451" s="130">
        <f>IF($F451="","","EMP-"&amp;TEXT(ROW()-6,"0000"))</f>
        <v/>
      </c>
      <c r="F451" s="134" t="n"/>
      <c r="G451" s="127" t="n"/>
      <c r="H451" s="130">
        <f>IF($G451="","",IFERROR(INDEX(MEM_Nom,MATCH($G451,MEM_ID,0)),"⚠ ID inconnu"))</f>
        <v/>
      </c>
      <c r="I451" s="127" t="n"/>
      <c r="J451" s="130">
        <f>IF($I451="","",IFERROR(INDEX(LIV_Titre,MATCH($I451,LIV_Code,0)),"⚠ Code inconnu"))</f>
        <v/>
      </c>
      <c r="K451" s="138">
        <f>IF($F451="","",$F451+P_Duree)</f>
        <v/>
      </c>
      <c r="L451" s="134" t="n"/>
      <c r="M451" s="130">
        <f>IF(OR($F451="",$I451=""),"",IF($L451&lt;&gt;"",IF($L451&gt;$K451,"Rendu en retard","Rendu"),IF(TODAY()&gt;$K451,"En retard","En cours")))</f>
        <v/>
      </c>
      <c r="N451" s="139">
        <f>IF(OR($F451="",$I451=""),"",MAX(0,IF($L451&lt;&gt;"",$L451,TODAY())-$K451))</f>
        <v/>
      </c>
      <c r="O451" s="135">
        <f>IF(OR($F451="",$I451=""),"",$N451*P_Amende)</f>
        <v/>
      </c>
      <c r="P451" s="133" t="n"/>
      <c r="R451">
        <f>IF($M451="En retard",$N451+ROW()/100000,"")</f>
        <v/>
      </c>
      <c r="S451">
        <f>IF(OR($F451="",$I451=""),"",$F451+ROW()/100000)</f>
        <v/>
      </c>
      <c r="T451">
        <f>IF($I451="","",IFERROR(INDEX(LIV_Cat,MATCH($I451,LIV_Code,0)),""))</f>
        <v/>
      </c>
    </row>
    <row r="452" ht="21" customHeight="1">
      <c r="A452" s="1" t="n"/>
      <c r="B452" s="1" t="n"/>
      <c r="C452" s="2" t="n"/>
      <c r="E452" s="130">
        <f>IF($F452="","","EMP-"&amp;TEXT(ROW()-6,"0000"))</f>
        <v/>
      </c>
      <c r="F452" s="134" t="n"/>
      <c r="G452" s="127" t="n"/>
      <c r="H452" s="130">
        <f>IF($G452="","",IFERROR(INDEX(MEM_Nom,MATCH($G452,MEM_ID,0)),"⚠ ID inconnu"))</f>
        <v/>
      </c>
      <c r="I452" s="127" t="n"/>
      <c r="J452" s="130">
        <f>IF($I452="","",IFERROR(INDEX(LIV_Titre,MATCH($I452,LIV_Code,0)),"⚠ Code inconnu"))</f>
        <v/>
      </c>
      <c r="K452" s="138">
        <f>IF($F452="","",$F452+P_Duree)</f>
        <v/>
      </c>
      <c r="L452" s="134" t="n"/>
      <c r="M452" s="130">
        <f>IF(OR($F452="",$I452=""),"",IF($L452&lt;&gt;"",IF($L452&gt;$K452,"Rendu en retard","Rendu"),IF(TODAY()&gt;$K452,"En retard","En cours")))</f>
        <v/>
      </c>
      <c r="N452" s="139">
        <f>IF(OR($F452="",$I452=""),"",MAX(0,IF($L452&lt;&gt;"",$L452,TODAY())-$K452))</f>
        <v/>
      </c>
      <c r="O452" s="135">
        <f>IF(OR($F452="",$I452=""),"",$N452*P_Amende)</f>
        <v/>
      </c>
      <c r="P452" s="133" t="n"/>
      <c r="R452">
        <f>IF($M452="En retard",$N452+ROW()/100000,"")</f>
        <v/>
      </c>
      <c r="S452">
        <f>IF(OR($F452="",$I452=""),"",$F452+ROW()/100000)</f>
        <v/>
      </c>
      <c r="T452">
        <f>IF($I452="","",IFERROR(INDEX(LIV_Cat,MATCH($I452,LIV_Code,0)),""))</f>
        <v/>
      </c>
    </row>
    <row r="453" ht="21" customHeight="1">
      <c r="A453" s="1" t="n"/>
      <c r="B453" s="1" t="n"/>
      <c r="C453" s="2" t="n"/>
      <c r="E453" s="130">
        <f>IF($F453="","","EMP-"&amp;TEXT(ROW()-6,"0000"))</f>
        <v/>
      </c>
      <c r="F453" s="134" t="n"/>
      <c r="G453" s="127" t="n"/>
      <c r="H453" s="130">
        <f>IF($G453="","",IFERROR(INDEX(MEM_Nom,MATCH($G453,MEM_ID,0)),"⚠ ID inconnu"))</f>
        <v/>
      </c>
      <c r="I453" s="127" t="n"/>
      <c r="J453" s="130">
        <f>IF($I453="","",IFERROR(INDEX(LIV_Titre,MATCH($I453,LIV_Code,0)),"⚠ Code inconnu"))</f>
        <v/>
      </c>
      <c r="K453" s="138">
        <f>IF($F453="","",$F453+P_Duree)</f>
        <v/>
      </c>
      <c r="L453" s="134" t="n"/>
      <c r="M453" s="130">
        <f>IF(OR($F453="",$I453=""),"",IF($L453&lt;&gt;"",IF($L453&gt;$K453,"Rendu en retard","Rendu"),IF(TODAY()&gt;$K453,"En retard","En cours")))</f>
        <v/>
      </c>
      <c r="N453" s="139">
        <f>IF(OR($F453="",$I453=""),"",MAX(0,IF($L453&lt;&gt;"",$L453,TODAY())-$K453))</f>
        <v/>
      </c>
      <c r="O453" s="135">
        <f>IF(OR($F453="",$I453=""),"",$N453*P_Amende)</f>
        <v/>
      </c>
      <c r="P453" s="133" t="n"/>
      <c r="R453">
        <f>IF($M453="En retard",$N453+ROW()/100000,"")</f>
        <v/>
      </c>
      <c r="S453">
        <f>IF(OR($F453="",$I453=""),"",$F453+ROW()/100000)</f>
        <v/>
      </c>
      <c r="T453">
        <f>IF($I453="","",IFERROR(INDEX(LIV_Cat,MATCH($I453,LIV_Code,0)),""))</f>
        <v/>
      </c>
    </row>
    <row r="454" ht="21" customHeight="1">
      <c r="A454" s="1" t="n"/>
      <c r="B454" s="1" t="n"/>
      <c r="C454" s="2" t="n"/>
      <c r="E454" s="130">
        <f>IF($F454="","","EMP-"&amp;TEXT(ROW()-6,"0000"))</f>
        <v/>
      </c>
      <c r="F454" s="134" t="n"/>
      <c r="G454" s="127" t="n"/>
      <c r="H454" s="130">
        <f>IF($G454="","",IFERROR(INDEX(MEM_Nom,MATCH($G454,MEM_ID,0)),"⚠ ID inconnu"))</f>
        <v/>
      </c>
      <c r="I454" s="127" t="n"/>
      <c r="J454" s="130">
        <f>IF($I454="","",IFERROR(INDEX(LIV_Titre,MATCH($I454,LIV_Code,0)),"⚠ Code inconnu"))</f>
        <v/>
      </c>
      <c r="K454" s="138">
        <f>IF($F454="","",$F454+P_Duree)</f>
        <v/>
      </c>
      <c r="L454" s="134" t="n"/>
      <c r="M454" s="130">
        <f>IF(OR($F454="",$I454=""),"",IF($L454&lt;&gt;"",IF($L454&gt;$K454,"Rendu en retard","Rendu"),IF(TODAY()&gt;$K454,"En retard","En cours")))</f>
        <v/>
      </c>
      <c r="N454" s="139">
        <f>IF(OR($F454="",$I454=""),"",MAX(0,IF($L454&lt;&gt;"",$L454,TODAY())-$K454))</f>
        <v/>
      </c>
      <c r="O454" s="135">
        <f>IF(OR($F454="",$I454=""),"",$N454*P_Amende)</f>
        <v/>
      </c>
      <c r="P454" s="133" t="n"/>
      <c r="R454">
        <f>IF($M454="En retard",$N454+ROW()/100000,"")</f>
        <v/>
      </c>
      <c r="S454">
        <f>IF(OR($F454="",$I454=""),"",$F454+ROW()/100000)</f>
        <v/>
      </c>
      <c r="T454">
        <f>IF($I454="","",IFERROR(INDEX(LIV_Cat,MATCH($I454,LIV_Code,0)),""))</f>
        <v/>
      </c>
    </row>
    <row r="455" ht="21" customHeight="1">
      <c r="A455" s="1" t="n"/>
      <c r="B455" s="1" t="n"/>
      <c r="C455" s="2" t="n"/>
      <c r="E455" s="130">
        <f>IF($F455="","","EMP-"&amp;TEXT(ROW()-6,"0000"))</f>
        <v/>
      </c>
      <c r="F455" s="134" t="n"/>
      <c r="G455" s="127" t="n"/>
      <c r="H455" s="130">
        <f>IF($G455="","",IFERROR(INDEX(MEM_Nom,MATCH($G455,MEM_ID,0)),"⚠ ID inconnu"))</f>
        <v/>
      </c>
      <c r="I455" s="127" t="n"/>
      <c r="J455" s="130">
        <f>IF($I455="","",IFERROR(INDEX(LIV_Titre,MATCH($I455,LIV_Code,0)),"⚠ Code inconnu"))</f>
        <v/>
      </c>
      <c r="K455" s="138">
        <f>IF($F455="","",$F455+P_Duree)</f>
        <v/>
      </c>
      <c r="L455" s="134" t="n"/>
      <c r="M455" s="130">
        <f>IF(OR($F455="",$I455=""),"",IF($L455&lt;&gt;"",IF($L455&gt;$K455,"Rendu en retard","Rendu"),IF(TODAY()&gt;$K455,"En retard","En cours")))</f>
        <v/>
      </c>
      <c r="N455" s="139">
        <f>IF(OR($F455="",$I455=""),"",MAX(0,IF($L455&lt;&gt;"",$L455,TODAY())-$K455))</f>
        <v/>
      </c>
      <c r="O455" s="135">
        <f>IF(OR($F455="",$I455=""),"",$N455*P_Amende)</f>
        <v/>
      </c>
      <c r="P455" s="133" t="n"/>
      <c r="R455">
        <f>IF($M455="En retard",$N455+ROW()/100000,"")</f>
        <v/>
      </c>
      <c r="S455">
        <f>IF(OR($F455="",$I455=""),"",$F455+ROW()/100000)</f>
        <v/>
      </c>
      <c r="T455">
        <f>IF($I455="","",IFERROR(INDEX(LIV_Cat,MATCH($I455,LIV_Code,0)),""))</f>
        <v/>
      </c>
    </row>
    <row r="456" ht="21" customHeight="1">
      <c r="A456" s="1" t="n"/>
      <c r="B456" s="1" t="n"/>
      <c r="C456" s="2" t="n"/>
      <c r="E456" s="130">
        <f>IF($F456="","","EMP-"&amp;TEXT(ROW()-6,"0000"))</f>
        <v/>
      </c>
      <c r="F456" s="134" t="n"/>
      <c r="G456" s="127" t="n"/>
      <c r="H456" s="130">
        <f>IF($G456="","",IFERROR(INDEX(MEM_Nom,MATCH($G456,MEM_ID,0)),"⚠ ID inconnu"))</f>
        <v/>
      </c>
      <c r="I456" s="127" t="n"/>
      <c r="J456" s="130">
        <f>IF($I456="","",IFERROR(INDEX(LIV_Titre,MATCH($I456,LIV_Code,0)),"⚠ Code inconnu"))</f>
        <v/>
      </c>
      <c r="K456" s="138">
        <f>IF($F456="","",$F456+P_Duree)</f>
        <v/>
      </c>
      <c r="L456" s="134" t="n"/>
      <c r="M456" s="130">
        <f>IF(OR($F456="",$I456=""),"",IF($L456&lt;&gt;"",IF($L456&gt;$K456,"Rendu en retard","Rendu"),IF(TODAY()&gt;$K456,"En retard","En cours")))</f>
        <v/>
      </c>
      <c r="N456" s="139">
        <f>IF(OR($F456="",$I456=""),"",MAX(0,IF($L456&lt;&gt;"",$L456,TODAY())-$K456))</f>
        <v/>
      </c>
      <c r="O456" s="135">
        <f>IF(OR($F456="",$I456=""),"",$N456*P_Amende)</f>
        <v/>
      </c>
      <c r="P456" s="133" t="n"/>
      <c r="R456">
        <f>IF($M456="En retard",$N456+ROW()/100000,"")</f>
        <v/>
      </c>
      <c r="S456">
        <f>IF(OR($F456="",$I456=""),"",$F456+ROW()/100000)</f>
        <v/>
      </c>
      <c r="T456">
        <f>IF($I456="","",IFERROR(INDEX(LIV_Cat,MATCH($I456,LIV_Code,0)),""))</f>
        <v/>
      </c>
    </row>
    <row r="457" ht="21" customHeight="1">
      <c r="A457" s="1" t="n"/>
      <c r="B457" s="1" t="n"/>
      <c r="C457" s="2" t="n"/>
      <c r="E457" s="130">
        <f>IF($F457="","","EMP-"&amp;TEXT(ROW()-6,"0000"))</f>
        <v/>
      </c>
      <c r="F457" s="134" t="n"/>
      <c r="G457" s="127" t="n"/>
      <c r="H457" s="130">
        <f>IF($G457="","",IFERROR(INDEX(MEM_Nom,MATCH($G457,MEM_ID,0)),"⚠ ID inconnu"))</f>
        <v/>
      </c>
      <c r="I457" s="127" t="n"/>
      <c r="J457" s="130">
        <f>IF($I457="","",IFERROR(INDEX(LIV_Titre,MATCH($I457,LIV_Code,0)),"⚠ Code inconnu"))</f>
        <v/>
      </c>
      <c r="K457" s="138">
        <f>IF($F457="","",$F457+P_Duree)</f>
        <v/>
      </c>
      <c r="L457" s="134" t="n"/>
      <c r="M457" s="130">
        <f>IF(OR($F457="",$I457=""),"",IF($L457&lt;&gt;"",IF($L457&gt;$K457,"Rendu en retard","Rendu"),IF(TODAY()&gt;$K457,"En retard","En cours")))</f>
        <v/>
      </c>
      <c r="N457" s="139">
        <f>IF(OR($F457="",$I457=""),"",MAX(0,IF($L457&lt;&gt;"",$L457,TODAY())-$K457))</f>
        <v/>
      </c>
      <c r="O457" s="135">
        <f>IF(OR($F457="",$I457=""),"",$N457*P_Amende)</f>
        <v/>
      </c>
      <c r="P457" s="133" t="n"/>
      <c r="R457">
        <f>IF($M457="En retard",$N457+ROW()/100000,"")</f>
        <v/>
      </c>
      <c r="S457">
        <f>IF(OR($F457="",$I457=""),"",$F457+ROW()/100000)</f>
        <v/>
      </c>
      <c r="T457">
        <f>IF($I457="","",IFERROR(INDEX(LIV_Cat,MATCH($I457,LIV_Code,0)),""))</f>
        <v/>
      </c>
    </row>
    <row r="458" ht="21" customHeight="1">
      <c r="A458" s="1" t="n"/>
      <c r="B458" s="1" t="n"/>
      <c r="C458" s="2" t="n"/>
      <c r="E458" s="130">
        <f>IF($F458="","","EMP-"&amp;TEXT(ROW()-6,"0000"))</f>
        <v/>
      </c>
      <c r="F458" s="134" t="n"/>
      <c r="G458" s="127" t="n"/>
      <c r="H458" s="130">
        <f>IF($G458="","",IFERROR(INDEX(MEM_Nom,MATCH($G458,MEM_ID,0)),"⚠ ID inconnu"))</f>
        <v/>
      </c>
      <c r="I458" s="127" t="n"/>
      <c r="J458" s="130">
        <f>IF($I458="","",IFERROR(INDEX(LIV_Titre,MATCH($I458,LIV_Code,0)),"⚠ Code inconnu"))</f>
        <v/>
      </c>
      <c r="K458" s="138">
        <f>IF($F458="","",$F458+P_Duree)</f>
        <v/>
      </c>
      <c r="L458" s="134" t="n"/>
      <c r="M458" s="130">
        <f>IF(OR($F458="",$I458=""),"",IF($L458&lt;&gt;"",IF($L458&gt;$K458,"Rendu en retard","Rendu"),IF(TODAY()&gt;$K458,"En retard","En cours")))</f>
        <v/>
      </c>
      <c r="N458" s="139">
        <f>IF(OR($F458="",$I458=""),"",MAX(0,IF($L458&lt;&gt;"",$L458,TODAY())-$K458))</f>
        <v/>
      </c>
      <c r="O458" s="135">
        <f>IF(OR($F458="",$I458=""),"",$N458*P_Amende)</f>
        <v/>
      </c>
      <c r="P458" s="133" t="n"/>
      <c r="R458">
        <f>IF($M458="En retard",$N458+ROW()/100000,"")</f>
        <v/>
      </c>
      <c r="S458">
        <f>IF(OR($F458="",$I458=""),"",$F458+ROW()/100000)</f>
        <v/>
      </c>
      <c r="T458">
        <f>IF($I458="","",IFERROR(INDEX(LIV_Cat,MATCH($I458,LIV_Code,0)),""))</f>
        <v/>
      </c>
    </row>
    <row r="459" ht="21" customHeight="1">
      <c r="A459" s="1" t="n"/>
      <c r="B459" s="1" t="n"/>
      <c r="C459" s="2" t="n"/>
      <c r="E459" s="130">
        <f>IF($F459="","","EMP-"&amp;TEXT(ROW()-6,"0000"))</f>
        <v/>
      </c>
      <c r="F459" s="134" t="n"/>
      <c r="G459" s="127" t="n"/>
      <c r="H459" s="130">
        <f>IF($G459="","",IFERROR(INDEX(MEM_Nom,MATCH($G459,MEM_ID,0)),"⚠ ID inconnu"))</f>
        <v/>
      </c>
      <c r="I459" s="127" t="n"/>
      <c r="J459" s="130">
        <f>IF($I459="","",IFERROR(INDEX(LIV_Titre,MATCH($I459,LIV_Code,0)),"⚠ Code inconnu"))</f>
        <v/>
      </c>
      <c r="K459" s="138">
        <f>IF($F459="","",$F459+P_Duree)</f>
        <v/>
      </c>
      <c r="L459" s="134" t="n"/>
      <c r="M459" s="130">
        <f>IF(OR($F459="",$I459=""),"",IF($L459&lt;&gt;"",IF($L459&gt;$K459,"Rendu en retard","Rendu"),IF(TODAY()&gt;$K459,"En retard","En cours")))</f>
        <v/>
      </c>
      <c r="N459" s="139">
        <f>IF(OR($F459="",$I459=""),"",MAX(0,IF($L459&lt;&gt;"",$L459,TODAY())-$K459))</f>
        <v/>
      </c>
      <c r="O459" s="135">
        <f>IF(OR($F459="",$I459=""),"",$N459*P_Amende)</f>
        <v/>
      </c>
      <c r="P459" s="133" t="n"/>
      <c r="R459">
        <f>IF($M459="En retard",$N459+ROW()/100000,"")</f>
        <v/>
      </c>
      <c r="S459">
        <f>IF(OR($F459="",$I459=""),"",$F459+ROW()/100000)</f>
        <v/>
      </c>
      <c r="T459">
        <f>IF($I459="","",IFERROR(INDEX(LIV_Cat,MATCH($I459,LIV_Code,0)),""))</f>
        <v/>
      </c>
    </row>
    <row r="460" ht="21" customHeight="1">
      <c r="A460" s="1" t="n"/>
      <c r="B460" s="1" t="n"/>
      <c r="C460" s="2" t="n"/>
      <c r="E460" s="130">
        <f>IF($F460="","","EMP-"&amp;TEXT(ROW()-6,"0000"))</f>
        <v/>
      </c>
      <c r="F460" s="134" t="n"/>
      <c r="G460" s="127" t="n"/>
      <c r="H460" s="130">
        <f>IF($G460="","",IFERROR(INDEX(MEM_Nom,MATCH($G460,MEM_ID,0)),"⚠ ID inconnu"))</f>
        <v/>
      </c>
      <c r="I460" s="127" t="n"/>
      <c r="J460" s="130">
        <f>IF($I460="","",IFERROR(INDEX(LIV_Titre,MATCH($I460,LIV_Code,0)),"⚠ Code inconnu"))</f>
        <v/>
      </c>
      <c r="K460" s="138">
        <f>IF($F460="","",$F460+P_Duree)</f>
        <v/>
      </c>
      <c r="L460" s="134" t="n"/>
      <c r="M460" s="130">
        <f>IF(OR($F460="",$I460=""),"",IF($L460&lt;&gt;"",IF($L460&gt;$K460,"Rendu en retard","Rendu"),IF(TODAY()&gt;$K460,"En retard","En cours")))</f>
        <v/>
      </c>
      <c r="N460" s="139">
        <f>IF(OR($F460="",$I460=""),"",MAX(0,IF($L460&lt;&gt;"",$L460,TODAY())-$K460))</f>
        <v/>
      </c>
      <c r="O460" s="135">
        <f>IF(OR($F460="",$I460=""),"",$N460*P_Amende)</f>
        <v/>
      </c>
      <c r="P460" s="133" t="n"/>
      <c r="R460">
        <f>IF($M460="En retard",$N460+ROW()/100000,"")</f>
        <v/>
      </c>
      <c r="S460">
        <f>IF(OR($F460="",$I460=""),"",$F460+ROW()/100000)</f>
        <v/>
      </c>
      <c r="T460">
        <f>IF($I460="","",IFERROR(INDEX(LIV_Cat,MATCH($I460,LIV_Code,0)),""))</f>
        <v/>
      </c>
    </row>
    <row r="461" ht="21" customHeight="1">
      <c r="A461" s="1" t="n"/>
      <c r="B461" s="1" t="n"/>
      <c r="C461" s="2" t="n"/>
      <c r="E461" s="130">
        <f>IF($F461="","","EMP-"&amp;TEXT(ROW()-6,"0000"))</f>
        <v/>
      </c>
      <c r="F461" s="134" t="n"/>
      <c r="G461" s="127" t="n"/>
      <c r="H461" s="130">
        <f>IF($G461="","",IFERROR(INDEX(MEM_Nom,MATCH($G461,MEM_ID,0)),"⚠ ID inconnu"))</f>
        <v/>
      </c>
      <c r="I461" s="127" t="n"/>
      <c r="J461" s="130">
        <f>IF($I461="","",IFERROR(INDEX(LIV_Titre,MATCH($I461,LIV_Code,0)),"⚠ Code inconnu"))</f>
        <v/>
      </c>
      <c r="K461" s="138">
        <f>IF($F461="","",$F461+P_Duree)</f>
        <v/>
      </c>
      <c r="L461" s="134" t="n"/>
      <c r="M461" s="130">
        <f>IF(OR($F461="",$I461=""),"",IF($L461&lt;&gt;"",IF($L461&gt;$K461,"Rendu en retard","Rendu"),IF(TODAY()&gt;$K461,"En retard","En cours")))</f>
        <v/>
      </c>
      <c r="N461" s="139">
        <f>IF(OR($F461="",$I461=""),"",MAX(0,IF($L461&lt;&gt;"",$L461,TODAY())-$K461))</f>
        <v/>
      </c>
      <c r="O461" s="135">
        <f>IF(OR($F461="",$I461=""),"",$N461*P_Amende)</f>
        <v/>
      </c>
      <c r="P461" s="133" t="n"/>
      <c r="R461">
        <f>IF($M461="En retard",$N461+ROW()/100000,"")</f>
        <v/>
      </c>
      <c r="S461">
        <f>IF(OR($F461="",$I461=""),"",$F461+ROW()/100000)</f>
        <v/>
      </c>
      <c r="T461">
        <f>IF($I461="","",IFERROR(INDEX(LIV_Cat,MATCH($I461,LIV_Code,0)),""))</f>
        <v/>
      </c>
    </row>
    <row r="462" ht="21" customHeight="1">
      <c r="A462" s="1" t="n"/>
      <c r="B462" s="1" t="n"/>
      <c r="C462" s="2" t="n"/>
      <c r="E462" s="130">
        <f>IF($F462="","","EMP-"&amp;TEXT(ROW()-6,"0000"))</f>
        <v/>
      </c>
      <c r="F462" s="134" t="n"/>
      <c r="G462" s="127" t="n"/>
      <c r="H462" s="130">
        <f>IF($G462="","",IFERROR(INDEX(MEM_Nom,MATCH($G462,MEM_ID,0)),"⚠ ID inconnu"))</f>
        <v/>
      </c>
      <c r="I462" s="127" t="n"/>
      <c r="J462" s="130">
        <f>IF($I462="","",IFERROR(INDEX(LIV_Titre,MATCH($I462,LIV_Code,0)),"⚠ Code inconnu"))</f>
        <v/>
      </c>
      <c r="K462" s="138">
        <f>IF($F462="","",$F462+P_Duree)</f>
        <v/>
      </c>
      <c r="L462" s="134" t="n"/>
      <c r="M462" s="130">
        <f>IF(OR($F462="",$I462=""),"",IF($L462&lt;&gt;"",IF($L462&gt;$K462,"Rendu en retard","Rendu"),IF(TODAY()&gt;$K462,"En retard","En cours")))</f>
        <v/>
      </c>
      <c r="N462" s="139">
        <f>IF(OR($F462="",$I462=""),"",MAX(0,IF($L462&lt;&gt;"",$L462,TODAY())-$K462))</f>
        <v/>
      </c>
      <c r="O462" s="135">
        <f>IF(OR($F462="",$I462=""),"",$N462*P_Amende)</f>
        <v/>
      </c>
      <c r="P462" s="133" t="n"/>
      <c r="R462">
        <f>IF($M462="En retard",$N462+ROW()/100000,"")</f>
        <v/>
      </c>
      <c r="S462">
        <f>IF(OR($F462="",$I462=""),"",$F462+ROW()/100000)</f>
        <v/>
      </c>
      <c r="T462">
        <f>IF($I462="","",IFERROR(INDEX(LIV_Cat,MATCH($I462,LIV_Code,0)),""))</f>
        <v/>
      </c>
    </row>
    <row r="463" ht="21" customHeight="1">
      <c r="A463" s="1" t="n"/>
      <c r="B463" s="1" t="n"/>
      <c r="C463" s="2" t="n"/>
      <c r="E463" s="130">
        <f>IF($F463="","","EMP-"&amp;TEXT(ROW()-6,"0000"))</f>
        <v/>
      </c>
      <c r="F463" s="134" t="n"/>
      <c r="G463" s="127" t="n"/>
      <c r="H463" s="130">
        <f>IF($G463="","",IFERROR(INDEX(MEM_Nom,MATCH($G463,MEM_ID,0)),"⚠ ID inconnu"))</f>
        <v/>
      </c>
      <c r="I463" s="127" t="n"/>
      <c r="J463" s="130">
        <f>IF($I463="","",IFERROR(INDEX(LIV_Titre,MATCH($I463,LIV_Code,0)),"⚠ Code inconnu"))</f>
        <v/>
      </c>
      <c r="K463" s="138">
        <f>IF($F463="","",$F463+P_Duree)</f>
        <v/>
      </c>
      <c r="L463" s="134" t="n"/>
      <c r="M463" s="130">
        <f>IF(OR($F463="",$I463=""),"",IF($L463&lt;&gt;"",IF($L463&gt;$K463,"Rendu en retard","Rendu"),IF(TODAY()&gt;$K463,"En retard","En cours")))</f>
        <v/>
      </c>
      <c r="N463" s="139">
        <f>IF(OR($F463="",$I463=""),"",MAX(0,IF($L463&lt;&gt;"",$L463,TODAY())-$K463))</f>
        <v/>
      </c>
      <c r="O463" s="135">
        <f>IF(OR($F463="",$I463=""),"",$N463*P_Amende)</f>
        <v/>
      </c>
      <c r="P463" s="133" t="n"/>
      <c r="R463">
        <f>IF($M463="En retard",$N463+ROW()/100000,"")</f>
        <v/>
      </c>
      <c r="S463">
        <f>IF(OR($F463="",$I463=""),"",$F463+ROW()/100000)</f>
        <v/>
      </c>
      <c r="T463">
        <f>IF($I463="","",IFERROR(INDEX(LIV_Cat,MATCH($I463,LIV_Code,0)),""))</f>
        <v/>
      </c>
    </row>
    <row r="464" ht="21" customHeight="1">
      <c r="A464" s="1" t="n"/>
      <c r="B464" s="1" t="n"/>
      <c r="C464" s="2" t="n"/>
      <c r="E464" s="130">
        <f>IF($F464="","","EMP-"&amp;TEXT(ROW()-6,"0000"))</f>
        <v/>
      </c>
      <c r="F464" s="134" t="n"/>
      <c r="G464" s="127" t="n"/>
      <c r="H464" s="130">
        <f>IF($G464="","",IFERROR(INDEX(MEM_Nom,MATCH($G464,MEM_ID,0)),"⚠ ID inconnu"))</f>
        <v/>
      </c>
      <c r="I464" s="127" t="n"/>
      <c r="J464" s="130">
        <f>IF($I464="","",IFERROR(INDEX(LIV_Titre,MATCH($I464,LIV_Code,0)),"⚠ Code inconnu"))</f>
        <v/>
      </c>
      <c r="K464" s="138">
        <f>IF($F464="","",$F464+P_Duree)</f>
        <v/>
      </c>
      <c r="L464" s="134" t="n"/>
      <c r="M464" s="130">
        <f>IF(OR($F464="",$I464=""),"",IF($L464&lt;&gt;"",IF($L464&gt;$K464,"Rendu en retard","Rendu"),IF(TODAY()&gt;$K464,"En retard","En cours")))</f>
        <v/>
      </c>
      <c r="N464" s="139">
        <f>IF(OR($F464="",$I464=""),"",MAX(0,IF($L464&lt;&gt;"",$L464,TODAY())-$K464))</f>
        <v/>
      </c>
      <c r="O464" s="135">
        <f>IF(OR($F464="",$I464=""),"",$N464*P_Amende)</f>
        <v/>
      </c>
      <c r="P464" s="133" t="n"/>
      <c r="R464">
        <f>IF($M464="En retard",$N464+ROW()/100000,"")</f>
        <v/>
      </c>
      <c r="S464">
        <f>IF(OR($F464="",$I464=""),"",$F464+ROW()/100000)</f>
        <v/>
      </c>
      <c r="T464">
        <f>IF($I464="","",IFERROR(INDEX(LIV_Cat,MATCH($I464,LIV_Code,0)),""))</f>
        <v/>
      </c>
    </row>
    <row r="465" ht="21" customHeight="1">
      <c r="A465" s="1" t="n"/>
      <c r="B465" s="1" t="n"/>
      <c r="C465" s="2" t="n"/>
      <c r="E465" s="130">
        <f>IF($F465="","","EMP-"&amp;TEXT(ROW()-6,"0000"))</f>
        <v/>
      </c>
      <c r="F465" s="134" t="n"/>
      <c r="G465" s="127" t="n"/>
      <c r="H465" s="130">
        <f>IF($G465="","",IFERROR(INDEX(MEM_Nom,MATCH($G465,MEM_ID,0)),"⚠ ID inconnu"))</f>
        <v/>
      </c>
      <c r="I465" s="127" t="n"/>
      <c r="J465" s="130">
        <f>IF($I465="","",IFERROR(INDEX(LIV_Titre,MATCH($I465,LIV_Code,0)),"⚠ Code inconnu"))</f>
        <v/>
      </c>
      <c r="K465" s="138">
        <f>IF($F465="","",$F465+P_Duree)</f>
        <v/>
      </c>
      <c r="L465" s="134" t="n"/>
      <c r="M465" s="130">
        <f>IF(OR($F465="",$I465=""),"",IF($L465&lt;&gt;"",IF($L465&gt;$K465,"Rendu en retard","Rendu"),IF(TODAY()&gt;$K465,"En retard","En cours")))</f>
        <v/>
      </c>
      <c r="N465" s="139">
        <f>IF(OR($F465="",$I465=""),"",MAX(0,IF($L465&lt;&gt;"",$L465,TODAY())-$K465))</f>
        <v/>
      </c>
      <c r="O465" s="135">
        <f>IF(OR($F465="",$I465=""),"",$N465*P_Amende)</f>
        <v/>
      </c>
      <c r="P465" s="133" t="n"/>
      <c r="R465">
        <f>IF($M465="En retard",$N465+ROW()/100000,"")</f>
        <v/>
      </c>
      <c r="S465">
        <f>IF(OR($F465="",$I465=""),"",$F465+ROW()/100000)</f>
        <v/>
      </c>
      <c r="T465">
        <f>IF($I465="","",IFERROR(INDEX(LIV_Cat,MATCH($I465,LIV_Code,0)),""))</f>
        <v/>
      </c>
    </row>
    <row r="466" ht="21" customHeight="1">
      <c r="A466" s="1" t="n"/>
      <c r="B466" s="1" t="n"/>
      <c r="C466" s="2" t="n"/>
      <c r="E466" s="130">
        <f>IF($F466="","","EMP-"&amp;TEXT(ROW()-6,"0000"))</f>
        <v/>
      </c>
      <c r="F466" s="134" t="n"/>
      <c r="G466" s="127" t="n"/>
      <c r="H466" s="130">
        <f>IF($G466="","",IFERROR(INDEX(MEM_Nom,MATCH($G466,MEM_ID,0)),"⚠ ID inconnu"))</f>
        <v/>
      </c>
      <c r="I466" s="127" t="n"/>
      <c r="J466" s="130">
        <f>IF($I466="","",IFERROR(INDEX(LIV_Titre,MATCH($I466,LIV_Code,0)),"⚠ Code inconnu"))</f>
        <v/>
      </c>
      <c r="K466" s="138">
        <f>IF($F466="","",$F466+P_Duree)</f>
        <v/>
      </c>
      <c r="L466" s="134" t="n"/>
      <c r="M466" s="130">
        <f>IF(OR($F466="",$I466=""),"",IF($L466&lt;&gt;"",IF($L466&gt;$K466,"Rendu en retard","Rendu"),IF(TODAY()&gt;$K466,"En retard","En cours")))</f>
        <v/>
      </c>
      <c r="N466" s="139">
        <f>IF(OR($F466="",$I466=""),"",MAX(0,IF($L466&lt;&gt;"",$L466,TODAY())-$K466))</f>
        <v/>
      </c>
      <c r="O466" s="135">
        <f>IF(OR($F466="",$I466=""),"",$N466*P_Amende)</f>
        <v/>
      </c>
      <c r="P466" s="133" t="n"/>
      <c r="R466">
        <f>IF($M466="En retard",$N466+ROW()/100000,"")</f>
        <v/>
      </c>
      <c r="S466">
        <f>IF(OR($F466="",$I466=""),"",$F466+ROW()/100000)</f>
        <v/>
      </c>
      <c r="T466">
        <f>IF($I466="","",IFERROR(INDEX(LIV_Cat,MATCH($I466,LIV_Code,0)),""))</f>
        <v/>
      </c>
    </row>
    <row r="467" ht="21" customHeight="1">
      <c r="A467" s="1" t="n"/>
      <c r="B467" s="1" t="n"/>
      <c r="C467" s="2" t="n"/>
      <c r="E467" s="130">
        <f>IF($F467="","","EMP-"&amp;TEXT(ROW()-6,"0000"))</f>
        <v/>
      </c>
      <c r="F467" s="134" t="n"/>
      <c r="G467" s="127" t="n"/>
      <c r="H467" s="130">
        <f>IF($G467="","",IFERROR(INDEX(MEM_Nom,MATCH($G467,MEM_ID,0)),"⚠ ID inconnu"))</f>
        <v/>
      </c>
      <c r="I467" s="127" t="n"/>
      <c r="J467" s="130">
        <f>IF($I467="","",IFERROR(INDEX(LIV_Titre,MATCH($I467,LIV_Code,0)),"⚠ Code inconnu"))</f>
        <v/>
      </c>
      <c r="K467" s="138">
        <f>IF($F467="","",$F467+P_Duree)</f>
        <v/>
      </c>
      <c r="L467" s="134" t="n"/>
      <c r="M467" s="130">
        <f>IF(OR($F467="",$I467=""),"",IF($L467&lt;&gt;"",IF($L467&gt;$K467,"Rendu en retard","Rendu"),IF(TODAY()&gt;$K467,"En retard","En cours")))</f>
        <v/>
      </c>
      <c r="N467" s="139">
        <f>IF(OR($F467="",$I467=""),"",MAX(0,IF($L467&lt;&gt;"",$L467,TODAY())-$K467))</f>
        <v/>
      </c>
      <c r="O467" s="135">
        <f>IF(OR($F467="",$I467=""),"",$N467*P_Amende)</f>
        <v/>
      </c>
      <c r="P467" s="133" t="n"/>
      <c r="R467">
        <f>IF($M467="En retard",$N467+ROW()/100000,"")</f>
        <v/>
      </c>
      <c r="S467">
        <f>IF(OR($F467="",$I467=""),"",$F467+ROW()/100000)</f>
        <v/>
      </c>
      <c r="T467">
        <f>IF($I467="","",IFERROR(INDEX(LIV_Cat,MATCH($I467,LIV_Code,0)),""))</f>
        <v/>
      </c>
    </row>
    <row r="468" ht="21" customHeight="1">
      <c r="A468" s="1" t="n"/>
      <c r="B468" s="1" t="n"/>
      <c r="C468" s="2" t="n"/>
      <c r="E468" s="130">
        <f>IF($F468="","","EMP-"&amp;TEXT(ROW()-6,"0000"))</f>
        <v/>
      </c>
      <c r="F468" s="134" t="n"/>
      <c r="G468" s="127" t="n"/>
      <c r="H468" s="130">
        <f>IF($G468="","",IFERROR(INDEX(MEM_Nom,MATCH($G468,MEM_ID,0)),"⚠ ID inconnu"))</f>
        <v/>
      </c>
      <c r="I468" s="127" t="n"/>
      <c r="J468" s="130">
        <f>IF($I468="","",IFERROR(INDEX(LIV_Titre,MATCH($I468,LIV_Code,0)),"⚠ Code inconnu"))</f>
        <v/>
      </c>
      <c r="K468" s="138">
        <f>IF($F468="","",$F468+P_Duree)</f>
        <v/>
      </c>
      <c r="L468" s="134" t="n"/>
      <c r="M468" s="130">
        <f>IF(OR($F468="",$I468=""),"",IF($L468&lt;&gt;"",IF($L468&gt;$K468,"Rendu en retard","Rendu"),IF(TODAY()&gt;$K468,"En retard","En cours")))</f>
        <v/>
      </c>
      <c r="N468" s="139">
        <f>IF(OR($F468="",$I468=""),"",MAX(0,IF($L468&lt;&gt;"",$L468,TODAY())-$K468))</f>
        <v/>
      </c>
      <c r="O468" s="135">
        <f>IF(OR($F468="",$I468=""),"",$N468*P_Amende)</f>
        <v/>
      </c>
      <c r="P468" s="133" t="n"/>
      <c r="R468">
        <f>IF($M468="En retard",$N468+ROW()/100000,"")</f>
        <v/>
      </c>
      <c r="S468">
        <f>IF(OR($F468="",$I468=""),"",$F468+ROW()/100000)</f>
        <v/>
      </c>
      <c r="T468">
        <f>IF($I468="","",IFERROR(INDEX(LIV_Cat,MATCH($I468,LIV_Code,0)),""))</f>
        <v/>
      </c>
    </row>
    <row r="469" ht="21" customHeight="1">
      <c r="A469" s="1" t="n"/>
      <c r="B469" s="1" t="n"/>
      <c r="C469" s="2" t="n"/>
      <c r="E469" s="130">
        <f>IF($F469="","","EMP-"&amp;TEXT(ROW()-6,"0000"))</f>
        <v/>
      </c>
      <c r="F469" s="134" t="n"/>
      <c r="G469" s="127" t="n"/>
      <c r="H469" s="130">
        <f>IF($G469="","",IFERROR(INDEX(MEM_Nom,MATCH($G469,MEM_ID,0)),"⚠ ID inconnu"))</f>
        <v/>
      </c>
      <c r="I469" s="127" t="n"/>
      <c r="J469" s="130">
        <f>IF($I469="","",IFERROR(INDEX(LIV_Titre,MATCH($I469,LIV_Code,0)),"⚠ Code inconnu"))</f>
        <v/>
      </c>
      <c r="K469" s="138">
        <f>IF($F469="","",$F469+P_Duree)</f>
        <v/>
      </c>
      <c r="L469" s="134" t="n"/>
      <c r="M469" s="130">
        <f>IF(OR($F469="",$I469=""),"",IF($L469&lt;&gt;"",IF($L469&gt;$K469,"Rendu en retard","Rendu"),IF(TODAY()&gt;$K469,"En retard","En cours")))</f>
        <v/>
      </c>
      <c r="N469" s="139">
        <f>IF(OR($F469="",$I469=""),"",MAX(0,IF($L469&lt;&gt;"",$L469,TODAY())-$K469))</f>
        <v/>
      </c>
      <c r="O469" s="135">
        <f>IF(OR($F469="",$I469=""),"",$N469*P_Amende)</f>
        <v/>
      </c>
      <c r="P469" s="133" t="n"/>
      <c r="R469">
        <f>IF($M469="En retard",$N469+ROW()/100000,"")</f>
        <v/>
      </c>
      <c r="S469">
        <f>IF(OR($F469="",$I469=""),"",$F469+ROW()/100000)</f>
        <v/>
      </c>
      <c r="T469">
        <f>IF($I469="","",IFERROR(INDEX(LIV_Cat,MATCH($I469,LIV_Code,0)),""))</f>
        <v/>
      </c>
    </row>
    <row r="470" ht="21" customHeight="1">
      <c r="A470" s="1" t="n"/>
      <c r="B470" s="1" t="n"/>
      <c r="C470" s="2" t="n"/>
      <c r="E470" s="130">
        <f>IF($F470="","","EMP-"&amp;TEXT(ROW()-6,"0000"))</f>
        <v/>
      </c>
      <c r="F470" s="134" t="n"/>
      <c r="G470" s="127" t="n"/>
      <c r="H470" s="130">
        <f>IF($G470="","",IFERROR(INDEX(MEM_Nom,MATCH($G470,MEM_ID,0)),"⚠ ID inconnu"))</f>
        <v/>
      </c>
      <c r="I470" s="127" t="n"/>
      <c r="J470" s="130">
        <f>IF($I470="","",IFERROR(INDEX(LIV_Titre,MATCH($I470,LIV_Code,0)),"⚠ Code inconnu"))</f>
        <v/>
      </c>
      <c r="K470" s="138">
        <f>IF($F470="","",$F470+P_Duree)</f>
        <v/>
      </c>
      <c r="L470" s="134" t="n"/>
      <c r="M470" s="130">
        <f>IF(OR($F470="",$I470=""),"",IF($L470&lt;&gt;"",IF($L470&gt;$K470,"Rendu en retard","Rendu"),IF(TODAY()&gt;$K470,"En retard","En cours")))</f>
        <v/>
      </c>
      <c r="N470" s="139">
        <f>IF(OR($F470="",$I470=""),"",MAX(0,IF($L470&lt;&gt;"",$L470,TODAY())-$K470))</f>
        <v/>
      </c>
      <c r="O470" s="135">
        <f>IF(OR($F470="",$I470=""),"",$N470*P_Amende)</f>
        <v/>
      </c>
      <c r="P470" s="133" t="n"/>
      <c r="R470">
        <f>IF($M470="En retard",$N470+ROW()/100000,"")</f>
        <v/>
      </c>
      <c r="S470">
        <f>IF(OR($F470="",$I470=""),"",$F470+ROW()/100000)</f>
        <v/>
      </c>
      <c r="T470">
        <f>IF($I470="","",IFERROR(INDEX(LIV_Cat,MATCH($I470,LIV_Code,0)),""))</f>
        <v/>
      </c>
    </row>
    <row r="471" ht="21" customHeight="1">
      <c r="A471" s="1" t="n"/>
      <c r="B471" s="1" t="n"/>
      <c r="C471" s="2" t="n"/>
      <c r="E471" s="130">
        <f>IF($F471="","","EMP-"&amp;TEXT(ROW()-6,"0000"))</f>
        <v/>
      </c>
      <c r="F471" s="134" t="n"/>
      <c r="G471" s="127" t="n"/>
      <c r="H471" s="130">
        <f>IF($G471="","",IFERROR(INDEX(MEM_Nom,MATCH($G471,MEM_ID,0)),"⚠ ID inconnu"))</f>
        <v/>
      </c>
      <c r="I471" s="127" t="n"/>
      <c r="J471" s="130">
        <f>IF($I471="","",IFERROR(INDEX(LIV_Titre,MATCH($I471,LIV_Code,0)),"⚠ Code inconnu"))</f>
        <v/>
      </c>
      <c r="K471" s="138">
        <f>IF($F471="","",$F471+P_Duree)</f>
        <v/>
      </c>
      <c r="L471" s="134" t="n"/>
      <c r="M471" s="130">
        <f>IF(OR($F471="",$I471=""),"",IF($L471&lt;&gt;"",IF($L471&gt;$K471,"Rendu en retard","Rendu"),IF(TODAY()&gt;$K471,"En retard","En cours")))</f>
        <v/>
      </c>
      <c r="N471" s="139">
        <f>IF(OR($F471="",$I471=""),"",MAX(0,IF($L471&lt;&gt;"",$L471,TODAY())-$K471))</f>
        <v/>
      </c>
      <c r="O471" s="135">
        <f>IF(OR($F471="",$I471=""),"",$N471*P_Amende)</f>
        <v/>
      </c>
      <c r="P471" s="133" t="n"/>
      <c r="R471">
        <f>IF($M471="En retard",$N471+ROW()/100000,"")</f>
        <v/>
      </c>
      <c r="S471">
        <f>IF(OR($F471="",$I471=""),"",$F471+ROW()/100000)</f>
        <v/>
      </c>
      <c r="T471">
        <f>IF($I471="","",IFERROR(INDEX(LIV_Cat,MATCH($I471,LIV_Code,0)),""))</f>
        <v/>
      </c>
    </row>
    <row r="472" ht="21" customHeight="1">
      <c r="A472" s="1" t="n"/>
      <c r="B472" s="1" t="n"/>
      <c r="C472" s="2" t="n"/>
      <c r="E472" s="130">
        <f>IF($F472="","","EMP-"&amp;TEXT(ROW()-6,"0000"))</f>
        <v/>
      </c>
      <c r="F472" s="134" t="n"/>
      <c r="G472" s="127" t="n"/>
      <c r="H472" s="130">
        <f>IF($G472="","",IFERROR(INDEX(MEM_Nom,MATCH($G472,MEM_ID,0)),"⚠ ID inconnu"))</f>
        <v/>
      </c>
      <c r="I472" s="127" t="n"/>
      <c r="J472" s="130">
        <f>IF($I472="","",IFERROR(INDEX(LIV_Titre,MATCH($I472,LIV_Code,0)),"⚠ Code inconnu"))</f>
        <v/>
      </c>
      <c r="K472" s="138">
        <f>IF($F472="","",$F472+P_Duree)</f>
        <v/>
      </c>
      <c r="L472" s="134" t="n"/>
      <c r="M472" s="130">
        <f>IF(OR($F472="",$I472=""),"",IF($L472&lt;&gt;"",IF($L472&gt;$K472,"Rendu en retard","Rendu"),IF(TODAY()&gt;$K472,"En retard","En cours")))</f>
        <v/>
      </c>
      <c r="N472" s="139">
        <f>IF(OR($F472="",$I472=""),"",MAX(0,IF($L472&lt;&gt;"",$L472,TODAY())-$K472))</f>
        <v/>
      </c>
      <c r="O472" s="135">
        <f>IF(OR($F472="",$I472=""),"",$N472*P_Amende)</f>
        <v/>
      </c>
      <c r="P472" s="133" t="n"/>
      <c r="R472">
        <f>IF($M472="En retard",$N472+ROW()/100000,"")</f>
        <v/>
      </c>
      <c r="S472">
        <f>IF(OR($F472="",$I472=""),"",$F472+ROW()/100000)</f>
        <v/>
      </c>
      <c r="T472">
        <f>IF($I472="","",IFERROR(INDEX(LIV_Cat,MATCH($I472,LIV_Code,0)),""))</f>
        <v/>
      </c>
    </row>
    <row r="473" ht="21" customHeight="1">
      <c r="A473" s="1" t="n"/>
      <c r="B473" s="1" t="n"/>
      <c r="C473" s="2" t="n"/>
      <c r="E473" s="130">
        <f>IF($F473="","","EMP-"&amp;TEXT(ROW()-6,"0000"))</f>
        <v/>
      </c>
      <c r="F473" s="134" t="n"/>
      <c r="G473" s="127" t="n"/>
      <c r="H473" s="130">
        <f>IF($G473="","",IFERROR(INDEX(MEM_Nom,MATCH($G473,MEM_ID,0)),"⚠ ID inconnu"))</f>
        <v/>
      </c>
      <c r="I473" s="127" t="n"/>
      <c r="J473" s="130">
        <f>IF($I473="","",IFERROR(INDEX(LIV_Titre,MATCH($I473,LIV_Code,0)),"⚠ Code inconnu"))</f>
        <v/>
      </c>
      <c r="K473" s="138">
        <f>IF($F473="","",$F473+P_Duree)</f>
        <v/>
      </c>
      <c r="L473" s="134" t="n"/>
      <c r="M473" s="130">
        <f>IF(OR($F473="",$I473=""),"",IF($L473&lt;&gt;"",IF($L473&gt;$K473,"Rendu en retard","Rendu"),IF(TODAY()&gt;$K473,"En retard","En cours")))</f>
        <v/>
      </c>
      <c r="N473" s="139">
        <f>IF(OR($F473="",$I473=""),"",MAX(0,IF($L473&lt;&gt;"",$L473,TODAY())-$K473))</f>
        <v/>
      </c>
      <c r="O473" s="135">
        <f>IF(OR($F473="",$I473=""),"",$N473*P_Amende)</f>
        <v/>
      </c>
      <c r="P473" s="133" t="n"/>
      <c r="R473">
        <f>IF($M473="En retard",$N473+ROW()/100000,"")</f>
        <v/>
      </c>
      <c r="S473">
        <f>IF(OR($F473="",$I473=""),"",$F473+ROW()/100000)</f>
        <v/>
      </c>
      <c r="T473">
        <f>IF($I473="","",IFERROR(INDEX(LIV_Cat,MATCH($I473,LIV_Code,0)),""))</f>
        <v/>
      </c>
    </row>
    <row r="474" ht="21" customHeight="1">
      <c r="A474" s="1" t="n"/>
      <c r="B474" s="1" t="n"/>
      <c r="C474" s="2" t="n"/>
      <c r="E474" s="130">
        <f>IF($F474="","","EMP-"&amp;TEXT(ROW()-6,"0000"))</f>
        <v/>
      </c>
      <c r="F474" s="134" t="n"/>
      <c r="G474" s="127" t="n"/>
      <c r="H474" s="130">
        <f>IF($G474="","",IFERROR(INDEX(MEM_Nom,MATCH($G474,MEM_ID,0)),"⚠ ID inconnu"))</f>
        <v/>
      </c>
      <c r="I474" s="127" t="n"/>
      <c r="J474" s="130">
        <f>IF($I474="","",IFERROR(INDEX(LIV_Titre,MATCH($I474,LIV_Code,0)),"⚠ Code inconnu"))</f>
        <v/>
      </c>
      <c r="K474" s="138">
        <f>IF($F474="","",$F474+P_Duree)</f>
        <v/>
      </c>
      <c r="L474" s="134" t="n"/>
      <c r="M474" s="130">
        <f>IF(OR($F474="",$I474=""),"",IF($L474&lt;&gt;"",IF($L474&gt;$K474,"Rendu en retard","Rendu"),IF(TODAY()&gt;$K474,"En retard","En cours")))</f>
        <v/>
      </c>
      <c r="N474" s="139">
        <f>IF(OR($F474="",$I474=""),"",MAX(0,IF($L474&lt;&gt;"",$L474,TODAY())-$K474))</f>
        <v/>
      </c>
      <c r="O474" s="135">
        <f>IF(OR($F474="",$I474=""),"",$N474*P_Amende)</f>
        <v/>
      </c>
      <c r="P474" s="133" t="n"/>
      <c r="R474">
        <f>IF($M474="En retard",$N474+ROW()/100000,"")</f>
        <v/>
      </c>
      <c r="S474">
        <f>IF(OR($F474="",$I474=""),"",$F474+ROW()/100000)</f>
        <v/>
      </c>
      <c r="T474">
        <f>IF($I474="","",IFERROR(INDEX(LIV_Cat,MATCH($I474,LIV_Code,0)),""))</f>
        <v/>
      </c>
    </row>
    <row r="475" ht="21" customHeight="1">
      <c r="A475" s="1" t="n"/>
      <c r="B475" s="1" t="n"/>
      <c r="C475" s="2" t="n"/>
      <c r="E475" s="130">
        <f>IF($F475="","","EMP-"&amp;TEXT(ROW()-6,"0000"))</f>
        <v/>
      </c>
      <c r="F475" s="134" t="n"/>
      <c r="G475" s="127" t="n"/>
      <c r="H475" s="130">
        <f>IF($G475="","",IFERROR(INDEX(MEM_Nom,MATCH($G475,MEM_ID,0)),"⚠ ID inconnu"))</f>
        <v/>
      </c>
      <c r="I475" s="127" t="n"/>
      <c r="J475" s="130">
        <f>IF($I475="","",IFERROR(INDEX(LIV_Titre,MATCH($I475,LIV_Code,0)),"⚠ Code inconnu"))</f>
        <v/>
      </c>
      <c r="K475" s="138">
        <f>IF($F475="","",$F475+P_Duree)</f>
        <v/>
      </c>
      <c r="L475" s="134" t="n"/>
      <c r="M475" s="130">
        <f>IF(OR($F475="",$I475=""),"",IF($L475&lt;&gt;"",IF($L475&gt;$K475,"Rendu en retard","Rendu"),IF(TODAY()&gt;$K475,"En retard","En cours")))</f>
        <v/>
      </c>
      <c r="N475" s="139">
        <f>IF(OR($F475="",$I475=""),"",MAX(0,IF($L475&lt;&gt;"",$L475,TODAY())-$K475))</f>
        <v/>
      </c>
      <c r="O475" s="135">
        <f>IF(OR($F475="",$I475=""),"",$N475*P_Amende)</f>
        <v/>
      </c>
      <c r="P475" s="133" t="n"/>
      <c r="R475">
        <f>IF($M475="En retard",$N475+ROW()/100000,"")</f>
        <v/>
      </c>
      <c r="S475">
        <f>IF(OR($F475="",$I475=""),"",$F475+ROW()/100000)</f>
        <v/>
      </c>
      <c r="T475">
        <f>IF($I475="","",IFERROR(INDEX(LIV_Cat,MATCH($I475,LIV_Code,0)),""))</f>
        <v/>
      </c>
    </row>
    <row r="476" ht="21" customHeight="1">
      <c r="A476" s="1" t="n"/>
      <c r="B476" s="1" t="n"/>
      <c r="C476" s="2" t="n"/>
      <c r="E476" s="130">
        <f>IF($F476="","","EMP-"&amp;TEXT(ROW()-6,"0000"))</f>
        <v/>
      </c>
      <c r="F476" s="134" t="n"/>
      <c r="G476" s="127" t="n"/>
      <c r="H476" s="130">
        <f>IF($G476="","",IFERROR(INDEX(MEM_Nom,MATCH($G476,MEM_ID,0)),"⚠ ID inconnu"))</f>
        <v/>
      </c>
      <c r="I476" s="127" t="n"/>
      <c r="J476" s="130">
        <f>IF($I476="","",IFERROR(INDEX(LIV_Titre,MATCH($I476,LIV_Code,0)),"⚠ Code inconnu"))</f>
        <v/>
      </c>
      <c r="K476" s="138">
        <f>IF($F476="","",$F476+P_Duree)</f>
        <v/>
      </c>
      <c r="L476" s="134" t="n"/>
      <c r="M476" s="130">
        <f>IF(OR($F476="",$I476=""),"",IF($L476&lt;&gt;"",IF($L476&gt;$K476,"Rendu en retard","Rendu"),IF(TODAY()&gt;$K476,"En retard","En cours")))</f>
        <v/>
      </c>
      <c r="N476" s="139">
        <f>IF(OR($F476="",$I476=""),"",MAX(0,IF($L476&lt;&gt;"",$L476,TODAY())-$K476))</f>
        <v/>
      </c>
      <c r="O476" s="135">
        <f>IF(OR($F476="",$I476=""),"",$N476*P_Amende)</f>
        <v/>
      </c>
      <c r="P476" s="133" t="n"/>
      <c r="R476">
        <f>IF($M476="En retard",$N476+ROW()/100000,"")</f>
        <v/>
      </c>
      <c r="S476">
        <f>IF(OR($F476="",$I476=""),"",$F476+ROW()/100000)</f>
        <v/>
      </c>
      <c r="T476">
        <f>IF($I476="","",IFERROR(INDEX(LIV_Cat,MATCH($I476,LIV_Code,0)),""))</f>
        <v/>
      </c>
    </row>
    <row r="477" ht="21" customHeight="1">
      <c r="A477" s="1" t="n"/>
      <c r="B477" s="1" t="n"/>
      <c r="C477" s="2" t="n"/>
      <c r="E477" s="130">
        <f>IF($F477="","","EMP-"&amp;TEXT(ROW()-6,"0000"))</f>
        <v/>
      </c>
      <c r="F477" s="134" t="n"/>
      <c r="G477" s="127" t="n"/>
      <c r="H477" s="130">
        <f>IF($G477="","",IFERROR(INDEX(MEM_Nom,MATCH($G477,MEM_ID,0)),"⚠ ID inconnu"))</f>
        <v/>
      </c>
      <c r="I477" s="127" t="n"/>
      <c r="J477" s="130">
        <f>IF($I477="","",IFERROR(INDEX(LIV_Titre,MATCH($I477,LIV_Code,0)),"⚠ Code inconnu"))</f>
        <v/>
      </c>
      <c r="K477" s="138">
        <f>IF($F477="","",$F477+P_Duree)</f>
        <v/>
      </c>
      <c r="L477" s="134" t="n"/>
      <c r="M477" s="130">
        <f>IF(OR($F477="",$I477=""),"",IF($L477&lt;&gt;"",IF($L477&gt;$K477,"Rendu en retard","Rendu"),IF(TODAY()&gt;$K477,"En retard","En cours")))</f>
        <v/>
      </c>
      <c r="N477" s="139">
        <f>IF(OR($F477="",$I477=""),"",MAX(0,IF($L477&lt;&gt;"",$L477,TODAY())-$K477))</f>
        <v/>
      </c>
      <c r="O477" s="135">
        <f>IF(OR($F477="",$I477=""),"",$N477*P_Amende)</f>
        <v/>
      </c>
      <c r="P477" s="133" t="n"/>
      <c r="R477">
        <f>IF($M477="En retard",$N477+ROW()/100000,"")</f>
        <v/>
      </c>
      <c r="S477">
        <f>IF(OR($F477="",$I477=""),"",$F477+ROW()/100000)</f>
        <v/>
      </c>
      <c r="T477">
        <f>IF($I477="","",IFERROR(INDEX(LIV_Cat,MATCH($I477,LIV_Code,0)),""))</f>
        <v/>
      </c>
    </row>
    <row r="478" ht="21" customHeight="1">
      <c r="A478" s="1" t="n"/>
      <c r="B478" s="1" t="n"/>
      <c r="C478" s="2" t="n"/>
      <c r="E478" s="130">
        <f>IF($F478="","","EMP-"&amp;TEXT(ROW()-6,"0000"))</f>
        <v/>
      </c>
      <c r="F478" s="134" t="n"/>
      <c r="G478" s="127" t="n"/>
      <c r="H478" s="130">
        <f>IF($G478="","",IFERROR(INDEX(MEM_Nom,MATCH($G478,MEM_ID,0)),"⚠ ID inconnu"))</f>
        <v/>
      </c>
      <c r="I478" s="127" t="n"/>
      <c r="J478" s="130">
        <f>IF($I478="","",IFERROR(INDEX(LIV_Titre,MATCH($I478,LIV_Code,0)),"⚠ Code inconnu"))</f>
        <v/>
      </c>
      <c r="K478" s="138">
        <f>IF($F478="","",$F478+P_Duree)</f>
        <v/>
      </c>
      <c r="L478" s="134" t="n"/>
      <c r="M478" s="130">
        <f>IF(OR($F478="",$I478=""),"",IF($L478&lt;&gt;"",IF($L478&gt;$K478,"Rendu en retard","Rendu"),IF(TODAY()&gt;$K478,"En retard","En cours")))</f>
        <v/>
      </c>
      <c r="N478" s="139">
        <f>IF(OR($F478="",$I478=""),"",MAX(0,IF($L478&lt;&gt;"",$L478,TODAY())-$K478))</f>
        <v/>
      </c>
      <c r="O478" s="135">
        <f>IF(OR($F478="",$I478=""),"",$N478*P_Amende)</f>
        <v/>
      </c>
      <c r="P478" s="133" t="n"/>
      <c r="R478">
        <f>IF($M478="En retard",$N478+ROW()/100000,"")</f>
        <v/>
      </c>
      <c r="S478">
        <f>IF(OR($F478="",$I478=""),"",$F478+ROW()/100000)</f>
        <v/>
      </c>
      <c r="T478">
        <f>IF($I478="","",IFERROR(INDEX(LIV_Cat,MATCH($I478,LIV_Code,0)),""))</f>
        <v/>
      </c>
    </row>
    <row r="479" ht="21" customHeight="1">
      <c r="A479" s="1" t="n"/>
      <c r="B479" s="1" t="n"/>
      <c r="C479" s="2" t="n"/>
      <c r="E479" s="130">
        <f>IF($F479="","","EMP-"&amp;TEXT(ROW()-6,"0000"))</f>
        <v/>
      </c>
      <c r="F479" s="134" t="n"/>
      <c r="G479" s="127" t="n"/>
      <c r="H479" s="130">
        <f>IF($G479="","",IFERROR(INDEX(MEM_Nom,MATCH($G479,MEM_ID,0)),"⚠ ID inconnu"))</f>
        <v/>
      </c>
      <c r="I479" s="127" t="n"/>
      <c r="J479" s="130">
        <f>IF($I479="","",IFERROR(INDEX(LIV_Titre,MATCH($I479,LIV_Code,0)),"⚠ Code inconnu"))</f>
        <v/>
      </c>
      <c r="K479" s="138">
        <f>IF($F479="","",$F479+P_Duree)</f>
        <v/>
      </c>
      <c r="L479" s="134" t="n"/>
      <c r="M479" s="130">
        <f>IF(OR($F479="",$I479=""),"",IF($L479&lt;&gt;"",IF($L479&gt;$K479,"Rendu en retard","Rendu"),IF(TODAY()&gt;$K479,"En retard","En cours")))</f>
        <v/>
      </c>
      <c r="N479" s="139">
        <f>IF(OR($F479="",$I479=""),"",MAX(0,IF($L479&lt;&gt;"",$L479,TODAY())-$K479))</f>
        <v/>
      </c>
      <c r="O479" s="135">
        <f>IF(OR($F479="",$I479=""),"",$N479*P_Amende)</f>
        <v/>
      </c>
      <c r="P479" s="133" t="n"/>
      <c r="R479">
        <f>IF($M479="En retard",$N479+ROW()/100000,"")</f>
        <v/>
      </c>
      <c r="S479">
        <f>IF(OR($F479="",$I479=""),"",$F479+ROW()/100000)</f>
        <v/>
      </c>
      <c r="T479">
        <f>IF($I479="","",IFERROR(INDEX(LIV_Cat,MATCH($I479,LIV_Code,0)),""))</f>
        <v/>
      </c>
    </row>
    <row r="480" ht="21" customHeight="1">
      <c r="A480" s="1" t="n"/>
      <c r="B480" s="1" t="n"/>
      <c r="C480" s="2" t="n"/>
      <c r="E480" s="130">
        <f>IF($F480="","","EMP-"&amp;TEXT(ROW()-6,"0000"))</f>
        <v/>
      </c>
      <c r="F480" s="134" t="n"/>
      <c r="G480" s="127" t="n"/>
      <c r="H480" s="130">
        <f>IF($G480="","",IFERROR(INDEX(MEM_Nom,MATCH($G480,MEM_ID,0)),"⚠ ID inconnu"))</f>
        <v/>
      </c>
      <c r="I480" s="127" t="n"/>
      <c r="J480" s="130">
        <f>IF($I480="","",IFERROR(INDEX(LIV_Titre,MATCH($I480,LIV_Code,0)),"⚠ Code inconnu"))</f>
        <v/>
      </c>
      <c r="K480" s="138">
        <f>IF($F480="","",$F480+P_Duree)</f>
        <v/>
      </c>
      <c r="L480" s="134" t="n"/>
      <c r="M480" s="130">
        <f>IF(OR($F480="",$I480=""),"",IF($L480&lt;&gt;"",IF($L480&gt;$K480,"Rendu en retard","Rendu"),IF(TODAY()&gt;$K480,"En retard","En cours")))</f>
        <v/>
      </c>
      <c r="N480" s="139">
        <f>IF(OR($F480="",$I480=""),"",MAX(0,IF($L480&lt;&gt;"",$L480,TODAY())-$K480))</f>
        <v/>
      </c>
      <c r="O480" s="135">
        <f>IF(OR($F480="",$I480=""),"",$N480*P_Amende)</f>
        <v/>
      </c>
      <c r="P480" s="133" t="n"/>
      <c r="R480">
        <f>IF($M480="En retard",$N480+ROW()/100000,"")</f>
        <v/>
      </c>
      <c r="S480">
        <f>IF(OR($F480="",$I480=""),"",$F480+ROW()/100000)</f>
        <v/>
      </c>
      <c r="T480">
        <f>IF($I480="","",IFERROR(INDEX(LIV_Cat,MATCH($I480,LIV_Code,0)),""))</f>
        <v/>
      </c>
    </row>
    <row r="481" ht="21" customHeight="1">
      <c r="A481" s="1" t="n"/>
      <c r="B481" s="1" t="n"/>
      <c r="C481" s="2" t="n"/>
      <c r="E481" s="130">
        <f>IF($F481="","","EMP-"&amp;TEXT(ROW()-6,"0000"))</f>
        <v/>
      </c>
      <c r="F481" s="134" t="n"/>
      <c r="G481" s="127" t="n"/>
      <c r="H481" s="130">
        <f>IF($G481="","",IFERROR(INDEX(MEM_Nom,MATCH($G481,MEM_ID,0)),"⚠ ID inconnu"))</f>
        <v/>
      </c>
      <c r="I481" s="127" t="n"/>
      <c r="J481" s="130">
        <f>IF($I481="","",IFERROR(INDEX(LIV_Titre,MATCH($I481,LIV_Code,0)),"⚠ Code inconnu"))</f>
        <v/>
      </c>
      <c r="K481" s="138">
        <f>IF($F481="","",$F481+P_Duree)</f>
        <v/>
      </c>
      <c r="L481" s="134" t="n"/>
      <c r="M481" s="130">
        <f>IF(OR($F481="",$I481=""),"",IF($L481&lt;&gt;"",IF($L481&gt;$K481,"Rendu en retard","Rendu"),IF(TODAY()&gt;$K481,"En retard","En cours")))</f>
        <v/>
      </c>
      <c r="N481" s="139">
        <f>IF(OR($F481="",$I481=""),"",MAX(0,IF($L481&lt;&gt;"",$L481,TODAY())-$K481))</f>
        <v/>
      </c>
      <c r="O481" s="135">
        <f>IF(OR($F481="",$I481=""),"",$N481*P_Amende)</f>
        <v/>
      </c>
      <c r="P481" s="133" t="n"/>
      <c r="R481">
        <f>IF($M481="En retard",$N481+ROW()/100000,"")</f>
        <v/>
      </c>
      <c r="S481">
        <f>IF(OR($F481="",$I481=""),"",$F481+ROW()/100000)</f>
        <v/>
      </c>
      <c r="T481">
        <f>IF($I481="","",IFERROR(INDEX(LIV_Cat,MATCH($I481,LIV_Code,0)),""))</f>
        <v/>
      </c>
    </row>
    <row r="482" ht="21" customHeight="1">
      <c r="A482" s="1" t="n"/>
      <c r="B482" s="1" t="n"/>
      <c r="C482" s="2" t="n"/>
      <c r="E482" s="130">
        <f>IF($F482="","","EMP-"&amp;TEXT(ROW()-6,"0000"))</f>
        <v/>
      </c>
      <c r="F482" s="134" t="n"/>
      <c r="G482" s="127" t="n"/>
      <c r="H482" s="130">
        <f>IF($G482="","",IFERROR(INDEX(MEM_Nom,MATCH($G482,MEM_ID,0)),"⚠ ID inconnu"))</f>
        <v/>
      </c>
      <c r="I482" s="127" t="n"/>
      <c r="J482" s="130">
        <f>IF($I482="","",IFERROR(INDEX(LIV_Titre,MATCH($I482,LIV_Code,0)),"⚠ Code inconnu"))</f>
        <v/>
      </c>
      <c r="K482" s="138">
        <f>IF($F482="","",$F482+P_Duree)</f>
        <v/>
      </c>
      <c r="L482" s="134" t="n"/>
      <c r="M482" s="130">
        <f>IF(OR($F482="",$I482=""),"",IF($L482&lt;&gt;"",IF($L482&gt;$K482,"Rendu en retard","Rendu"),IF(TODAY()&gt;$K482,"En retard","En cours")))</f>
        <v/>
      </c>
      <c r="N482" s="139">
        <f>IF(OR($F482="",$I482=""),"",MAX(0,IF($L482&lt;&gt;"",$L482,TODAY())-$K482))</f>
        <v/>
      </c>
      <c r="O482" s="135">
        <f>IF(OR($F482="",$I482=""),"",$N482*P_Amende)</f>
        <v/>
      </c>
      <c r="P482" s="133" t="n"/>
      <c r="R482">
        <f>IF($M482="En retard",$N482+ROW()/100000,"")</f>
        <v/>
      </c>
      <c r="S482">
        <f>IF(OR($F482="",$I482=""),"",$F482+ROW()/100000)</f>
        <v/>
      </c>
      <c r="T482">
        <f>IF($I482="","",IFERROR(INDEX(LIV_Cat,MATCH($I482,LIV_Code,0)),""))</f>
        <v/>
      </c>
    </row>
    <row r="483" ht="21" customHeight="1">
      <c r="A483" s="1" t="n"/>
      <c r="B483" s="1" t="n"/>
      <c r="C483" s="2" t="n"/>
      <c r="E483" s="130">
        <f>IF($F483="","","EMP-"&amp;TEXT(ROW()-6,"0000"))</f>
        <v/>
      </c>
      <c r="F483" s="134" t="n"/>
      <c r="G483" s="127" t="n"/>
      <c r="H483" s="130">
        <f>IF($G483="","",IFERROR(INDEX(MEM_Nom,MATCH($G483,MEM_ID,0)),"⚠ ID inconnu"))</f>
        <v/>
      </c>
      <c r="I483" s="127" t="n"/>
      <c r="J483" s="130">
        <f>IF($I483="","",IFERROR(INDEX(LIV_Titre,MATCH($I483,LIV_Code,0)),"⚠ Code inconnu"))</f>
        <v/>
      </c>
      <c r="K483" s="138">
        <f>IF($F483="","",$F483+P_Duree)</f>
        <v/>
      </c>
      <c r="L483" s="134" t="n"/>
      <c r="M483" s="130">
        <f>IF(OR($F483="",$I483=""),"",IF($L483&lt;&gt;"",IF($L483&gt;$K483,"Rendu en retard","Rendu"),IF(TODAY()&gt;$K483,"En retard","En cours")))</f>
        <v/>
      </c>
      <c r="N483" s="139">
        <f>IF(OR($F483="",$I483=""),"",MAX(0,IF($L483&lt;&gt;"",$L483,TODAY())-$K483))</f>
        <v/>
      </c>
      <c r="O483" s="135">
        <f>IF(OR($F483="",$I483=""),"",$N483*P_Amende)</f>
        <v/>
      </c>
      <c r="P483" s="133" t="n"/>
      <c r="R483">
        <f>IF($M483="En retard",$N483+ROW()/100000,"")</f>
        <v/>
      </c>
      <c r="S483">
        <f>IF(OR($F483="",$I483=""),"",$F483+ROW()/100000)</f>
        <v/>
      </c>
      <c r="T483">
        <f>IF($I483="","",IFERROR(INDEX(LIV_Cat,MATCH($I483,LIV_Code,0)),""))</f>
        <v/>
      </c>
    </row>
    <row r="484" ht="21" customHeight="1">
      <c r="A484" s="1" t="n"/>
      <c r="B484" s="1" t="n"/>
      <c r="C484" s="2" t="n"/>
      <c r="E484" s="130">
        <f>IF($F484="","","EMP-"&amp;TEXT(ROW()-6,"0000"))</f>
        <v/>
      </c>
      <c r="F484" s="134" t="n"/>
      <c r="G484" s="127" t="n"/>
      <c r="H484" s="130">
        <f>IF($G484="","",IFERROR(INDEX(MEM_Nom,MATCH($G484,MEM_ID,0)),"⚠ ID inconnu"))</f>
        <v/>
      </c>
      <c r="I484" s="127" t="n"/>
      <c r="J484" s="130">
        <f>IF($I484="","",IFERROR(INDEX(LIV_Titre,MATCH($I484,LIV_Code,0)),"⚠ Code inconnu"))</f>
        <v/>
      </c>
      <c r="K484" s="138">
        <f>IF($F484="","",$F484+P_Duree)</f>
        <v/>
      </c>
      <c r="L484" s="134" t="n"/>
      <c r="M484" s="130">
        <f>IF(OR($F484="",$I484=""),"",IF($L484&lt;&gt;"",IF($L484&gt;$K484,"Rendu en retard","Rendu"),IF(TODAY()&gt;$K484,"En retard","En cours")))</f>
        <v/>
      </c>
      <c r="N484" s="139">
        <f>IF(OR($F484="",$I484=""),"",MAX(0,IF($L484&lt;&gt;"",$L484,TODAY())-$K484))</f>
        <v/>
      </c>
      <c r="O484" s="135">
        <f>IF(OR($F484="",$I484=""),"",$N484*P_Amende)</f>
        <v/>
      </c>
      <c r="P484" s="133" t="n"/>
      <c r="R484">
        <f>IF($M484="En retard",$N484+ROW()/100000,"")</f>
        <v/>
      </c>
      <c r="S484">
        <f>IF(OR($F484="",$I484=""),"",$F484+ROW()/100000)</f>
        <v/>
      </c>
      <c r="T484">
        <f>IF($I484="","",IFERROR(INDEX(LIV_Cat,MATCH($I484,LIV_Code,0)),""))</f>
        <v/>
      </c>
    </row>
    <row r="485" ht="21" customHeight="1">
      <c r="A485" s="1" t="n"/>
      <c r="B485" s="1" t="n"/>
      <c r="C485" s="2" t="n"/>
      <c r="E485" s="130">
        <f>IF($F485="","","EMP-"&amp;TEXT(ROW()-6,"0000"))</f>
        <v/>
      </c>
      <c r="F485" s="134" t="n"/>
      <c r="G485" s="127" t="n"/>
      <c r="H485" s="130">
        <f>IF($G485="","",IFERROR(INDEX(MEM_Nom,MATCH($G485,MEM_ID,0)),"⚠ ID inconnu"))</f>
        <v/>
      </c>
      <c r="I485" s="127" t="n"/>
      <c r="J485" s="130">
        <f>IF($I485="","",IFERROR(INDEX(LIV_Titre,MATCH($I485,LIV_Code,0)),"⚠ Code inconnu"))</f>
        <v/>
      </c>
      <c r="K485" s="138">
        <f>IF($F485="","",$F485+P_Duree)</f>
        <v/>
      </c>
      <c r="L485" s="134" t="n"/>
      <c r="M485" s="130">
        <f>IF(OR($F485="",$I485=""),"",IF($L485&lt;&gt;"",IF($L485&gt;$K485,"Rendu en retard","Rendu"),IF(TODAY()&gt;$K485,"En retard","En cours")))</f>
        <v/>
      </c>
      <c r="N485" s="139">
        <f>IF(OR($F485="",$I485=""),"",MAX(0,IF($L485&lt;&gt;"",$L485,TODAY())-$K485))</f>
        <v/>
      </c>
      <c r="O485" s="135">
        <f>IF(OR($F485="",$I485=""),"",$N485*P_Amende)</f>
        <v/>
      </c>
      <c r="P485" s="133" t="n"/>
      <c r="R485">
        <f>IF($M485="En retard",$N485+ROW()/100000,"")</f>
        <v/>
      </c>
      <c r="S485">
        <f>IF(OR($F485="",$I485=""),"",$F485+ROW()/100000)</f>
        <v/>
      </c>
      <c r="T485">
        <f>IF($I485="","",IFERROR(INDEX(LIV_Cat,MATCH($I485,LIV_Code,0)),""))</f>
        <v/>
      </c>
    </row>
    <row r="486" ht="21" customHeight="1">
      <c r="A486" s="1" t="n"/>
      <c r="B486" s="1" t="n"/>
      <c r="C486" s="2" t="n"/>
      <c r="E486" s="130">
        <f>IF($F486="","","EMP-"&amp;TEXT(ROW()-6,"0000"))</f>
        <v/>
      </c>
      <c r="F486" s="134" t="n"/>
      <c r="G486" s="127" t="n"/>
      <c r="H486" s="130">
        <f>IF($G486="","",IFERROR(INDEX(MEM_Nom,MATCH($G486,MEM_ID,0)),"⚠ ID inconnu"))</f>
        <v/>
      </c>
      <c r="I486" s="127" t="n"/>
      <c r="J486" s="130">
        <f>IF($I486="","",IFERROR(INDEX(LIV_Titre,MATCH($I486,LIV_Code,0)),"⚠ Code inconnu"))</f>
        <v/>
      </c>
      <c r="K486" s="138">
        <f>IF($F486="","",$F486+P_Duree)</f>
        <v/>
      </c>
      <c r="L486" s="134" t="n"/>
      <c r="M486" s="130">
        <f>IF(OR($F486="",$I486=""),"",IF($L486&lt;&gt;"",IF($L486&gt;$K486,"Rendu en retard","Rendu"),IF(TODAY()&gt;$K486,"En retard","En cours")))</f>
        <v/>
      </c>
      <c r="N486" s="139">
        <f>IF(OR($F486="",$I486=""),"",MAX(0,IF($L486&lt;&gt;"",$L486,TODAY())-$K486))</f>
        <v/>
      </c>
      <c r="O486" s="135">
        <f>IF(OR($F486="",$I486=""),"",$N486*P_Amende)</f>
        <v/>
      </c>
      <c r="P486" s="133" t="n"/>
      <c r="R486">
        <f>IF($M486="En retard",$N486+ROW()/100000,"")</f>
        <v/>
      </c>
      <c r="S486">
        <f>IF(OR($F486="",$I486=""),"",$F486+ROW()/100000)</f>
        <v/>
      </c>
      <c r="T486">
        <f>IF($I486="","",IFERROR(INDEX(LIV_Cat,MATCH($I486,LIV_Code,0)),""))</f>
        <v/>
      </c>
    </row>
    <row r="487" ht="21" customHeight="1">
      <c r="A487" s="1" t="n"/>
      <c r="B487" s="1" t="n"/>
      <c r="C487" s="2" t="n"/>
      <c r="E487" s="130">
        <f>IF($F487="","","EMP-"&amp;TEXT(ROW()-6,"0000"))</f>
        <v/>
      </c>
      <c r="F487" s="134" t="n"/>
      <c r="G487" s="127" t="n"/>
      <c r="H487" s="130">
        <f>IF($G487="","",IFERROR(INDEX(MEM_Nom,MATCH($G487,MEM_ID,0)),"⚠ ID inconnu"))</f>
        <v/>
      </c>
      <c r="I487" s="127" t="n"/>
      <c r="J487" s="130">
        <f>IF($I487="","",IFERROR(INDEX(LIV_Titre,MATCH($I487,LIV_Code,0)),"⚠ Code inconnu"))</f>
        <v/>
      </c>
      <c r="K487" s="138">
        <f>IF($F487="","",$F487+P_Duree)</f>
        <v/>
      </c>
      <c r="L487" s="134" t="n"/>
      <c r="M487" s="130">
        <f>IF(OR($F487="",$I487=""),"",IF($L487&lt;&gt;"",IF($L487&gt;$K487,"Rendu en retard","Rendu"),IF(TODAY()&gt;$K487,"En retard","En cours")))</f>
        <v/>
      </c>
      <c r="N487" s="139">
        <f>IF(OR($F487="",$I487=""),"",MAX(0,IF($L487&lt;&gt;"",$L487,TODAY())-$K487))</f>
        <v/>
      </c>
      <c r="O487" s="135">
        <f>IF(OR($F487="",$I487=""),"",$N487*P_Amende)</f>
        <v/>
      </c>
      <c r="P487" s="133" t="n"/>
      <c r="R487">
        <f>IF($M487="En retard",$N487+ROW()/100000,"")</f>
        <v/>
      </c>
      <c r="S487">
        <f>IF(OR($F487="",$I487=""),"",$F487+ROW()/100000)</f>
        <v/>
      </c>
      <c r="T487">
        <f>IF($I487="","",IFERROR(INDEX(LIV_Cat,MATCH($I487,LIV_Code,0)),""))</f>
        <v/>
      </c>
    </row>
    <row r="488" ht="21" customHeight="1">
      <c r="A488" s="1" t="n"/>
      <c r="B488" s="1" t="n"/>
      <c r="C488" s="2" t="n"/>
      <c r="E488" s="130">
        <f>IF($F488="","","EMP-"&amp;TEXT(ROW()-6,"0000"))</f>
        <v/>
      </c>
      <c r="F488" s="134" t="n"/>
      <c r="G488" s="127" t="n"/>
      <c r="H488" s="130">
        <f>IF($G488="","",IFERROR(INDEX(MEM_Nom,MATCH($G488,MEM_ID,0)),"⚠ ID inconnu"))</f>
        <v/>
      </c>
      <c r="I488" s="127" t="n"/>
      <c r="J488" s="130">
        <f>IF($I488="","",IFERROR(INDEX(LIV_Titre,MATCH($I488,LIV_Code,0)),"⚠ Code inconnu"))</f>
        <v/>
      </c>
      <c r="K488" s="138">
        <f>IF($F488="","",$F488+P_Duree)</f>
        <v/>
      </c>
      <c r="L488" s="134" t="n"/>
      <c r="M488" s="130">
        <f>IF(OR($F488="",$I488=""),"",IF($L488&lt;&gt;"",IF($L488&gt;$K488,"Rendu en retard","Rendu"),IF(TODAY()&gt;$K488,"En retard","En cours")))</f>
        <v/>
      </c>
      <c r="N488" s="139">
        <f>IF(OR($F488="",$I488=""),"",MAX(0,IF($L488&lt;&gt;"",$L488,TODAY())-$K488))</f>
        <v/>
      </c>
      <c r="O488" s="135">
        <f>IF(OR($F488="",$I488=""),"",$N488*P_Amende)</f>
        <v/>
      </c>
      <c r="P488" s="133" t="n"/>
      <c r="R488">
        <f>IF($M488="En retard",$N488+ROW()/100000,"")</f>
        <v/>
      </c>
      <c r="S488">
        <f>IF(OR($F488="",$I488=""),"",$F488+ROW()/100000)</f>
        <v/>
      </c>
      <c r="T488">
        <f>IF($I488="","",IFERROR(INDEX(LIV_Cat,MATCH($I488,LIV_Code,0)),""))</f>
        <v/>
      </c>
    </row>
    <row r="489" ht="21" customHeight="1">
      <c r="A489" s="1" t="n"/>
      <c r="B489" s="1" t="n"/>
      <c r="C489" s="2" t="n"/>
      <c r="E489" s="130">
        <f>IF($F489="","","EMP-"&amp;TEXT(ROW()-6,"0000"))</f>
        <v/>
      </c>
      <c r="F489" s="134" t="n"/>
      <c r="G489" s="127" t="n"/>
      <c r="H489" s="130">
        <f>IF($G489="","",IFERROR(INDEX(MEM_Nom,MATCH($G489,MEM_ID,0)),"⚠ ID inconnu"))</f>
        <v/>
      </c>
      <c r="I489" s="127" t="n"/>
      <c r="J489" s="130">
        <f>IF($I489="","",IFERROR(INDEX(LIV_Titre,MATCH($I489,LIV_Code,0)),"⚠ Code inconnu"))</f>
        <v/>
      </c>
      <c r="K489" s="138">
        <f>IF($F489="","",$F489+P_Duree)</f>
        <v/>
      </c>
      <c r="L489" s="134" t="n"/>
      <c r="M489" s="130">
        <f>IF(OR($F489="",$I489=""),"",IF($L489&lt;&gt;"",IF($L489&gt;$K489,"Rendu en retard","Rendu"),IF(TODAY()&gt;$K489,"En retard","En cours")))</f>
        <v/>
      </c>
      <c r="N489" s="139">
        <f>IF(OR($F489="",$I489=""),"",MAX(0,IF($L489&lt;&gt;"",$L489,TODAY())-$K489))</f>
        <v/>
      </c>
      <c r="O489" s="135">
        <f>IF(OR($F489="",$I489=""),"",$N489*P_Amende)</f>
        <v/>
      </c>
      <c r="P489" s="133" t="n"/>
      <c r="R489">
        <f>IF($M489="En retard",$N489+ROW()/100000,"")</f>
        <v/>
      </c>
      <c r="S489">
        <f>IF(OR($F489="",$I489=""),"",$F489+ROW()/100000)</f>
        <v/>
      </c>
      <c r="T489">
        <f>IF($I489="","",IFERROR(INDEX(LIV_Cat,MATCH($I489,LIV_Code,0)),""))</f>
        <v/>
      </c>
    </row>
    <row r="490" ht="21" customHeight="1">
      <c r="A490" s="1" t="n"/>
      <c r="B490" s="1" t="n"/>
      <c r="C490" s="2" t="n"/>
      <c r="E490" s="130">
        <f>IF($F490="","","EMP-"&amp;TEXT(ROW()-6,"0000"))</f>
        <v/>
      </c>
      <c r="F490" s="134" t="n"/>
      <c r="G490" s="127" t="n"/>
      <c r="H490" s="130">
        <f>IF($G490="","",IFERROR(INDEX(MEM_Nom,MATCH($G490,MEM_ID,0)),"⚠ ID inconnu"))</f>
        <v/>
      </c>
      <c r="I490" s="127" t="n"/>
      <c r="J490" s="130">
        <f>IF($I490="","",IFERROR(INDEX(LIV_Titre,MATCH($I490,LIV_Code,0)),"⚠ Code inconnu"))</f>
        <v/>
      </c>
      <c r="K490" s="138">
        <f>IF($F490="","",$F490+P_Duree)</f>
        <v/>
      </c>
      <c r="L490" s="134" t="n"/>
      <c r="M490" s="130">
        <f>IF(OR($F490="",$I490=""),"",IF($L490&lt;&gt;"",IF($L490&gt;$K490,"Rendu en retard","Rendu"),IF(TODAY()&gt;$K490,"En retard","En cours")))</f>
        <v/>
      </c>
      <c r="N490" s="139">
        <f>IF(OR($F490="",$I490=""),"",MAX(0,IF($L490&lt;&gt;"",$L490,TODAY())-$K490))</f>
        <v/>
      </c>
      <c r="O490" s="135">
        <f>IF(OR($F490="",$I490=""),"",$N490*P_Amende)</f>
        <v/>
      </c>
      <c r="P490" s="133" t="n"/>
      <c r="R490">
        <f>IF($M490="En retard",$N490+ROW()/100000,"")</f>
        <v/>
      </c>
      <c r="S490">
        <f>IF(OR($F490="",$I490=""),"",$F490+ROW()/100000)</f>
        <v/>
      </c>
      <c r="T490">
        <f>IF($I490="","",IFERROR(INDEX(LIV_Cat,MATCH($I490,LIV_Code,0)),""))</f>
        <v/>
      </c>
    </row>
    <row r="491" ht="21" customHeight="1">
      <c r="A491" s="1" t="n"/>
      <c r="B491" s="1" t="n"/>
      <c r="C491" s="2" t="n"/>
      <c r="E491" s="130">
        <f>IF($F491="","","EMP-"&amp;TEXT(ROW()-6,"0000"))</f>
        <v/>
      </c>
      <c r="F491" s="134" t="n"/>
      <c r="G491" s="127" t="n"/>
      <c r="H491" s="130">
        <f>IF($G491="","",IFERROR(INDEX(MEM_Nom,MATCH($G491,MEM_ID,0)),"⚠ ID inconnu"))</f>
        <v/>
      </c>
      <c r="I491" s="127" t="n"/>
      <c r="J491" s="130">
        <f>IF($I491="","",IFERROR(INDEX(LIV_Titre,MATCH($I491,LIV_Code,0)),"⚠ Code inconnu"))</f>
        <v/>
      </c>
      <c r="K491" s="138">
        <f>IF($F491="","",$F491+P_Duree)</f>
        <v/>
      </c>
      <c r="L491" s="134" t="n"/>
      <c r="M491" s="130">
        <f>IF(OR($F491="",$I491=""),"",IF($L491&lt;&gt;"",IF($L491&gt;$K491,"Rendu en retard","Rendu"),IF(TODAY()&gt;$K491,"En retard","En cours")))</f>
        <v/>
      </c>
      <c r="N491" s="139">
        <f>IF(OR($F491="",$I491=""),"",MAX(0,IF($L491&lt;&gt;"",$L491,TODAY())-$K491))</f>
        <v/>
      </c>
      <c r="O491" s="135">
        <f>IF(OR($F491="",$I491=""),"",$N491*P_Amende)</f>
        <v/>
      </c>
      <c r="P491" s="133" t="n"/>
      <c r="R491">
        <f>IF($M491="En retard",$N491+ROW()/100000,"")</f>
        <v/>
      </c>
      <c r="S491">
        <f>IF(OR($F491="",$I491=""),"",$F491+ROW()/100000)</f>
        <v/>
      </c>
      <c r="T491">
        <f>IF($I491="","",IFERROR(INDEX(LIV_Cat,MATCH($I491,LIV_Code,0)),""))</f>
        <v/>
      </c>
    </row>
    <row r="492" ht="21" customHeight="1">
      <c r="A492" s="1" t="n"/>
      <c r="B492" s="1" t="n"/>
      <c r="C492" s="2" t="n"/>
      <c r="E492" s="130">
        <f>IF($F492="","","EMP-"&amp;TEXT(ROW()-6,"0000"))</f>
        <v/>
      </c>
      <c r="F492" s="134" t="n"/>
      <c r="G492" s="127" t="n"/>
      <c r="H492" s="130">
        <f>IF($G492="","",IFERROR(INDEX(MEM_Nom,MATCH($G492,MEM_ID,0)),"⚠ ID inconnu"))</f>
        <v/>
      </c>
      <c r="I492" s="127" t="n"/>
      <c r="J492" s="130">
        <f>IF($I492="","",IFERROR(INDEX(LIV_Titre,MATCH($I492,LIV_Code,0)),"⚠ Code inconnu"))</f>
        <v/>
      </c>
      <c r="K492" s="138">
        <f>IF($F492="","",$F492+P_Duree)</f>
        <v/>
      </c>
      <c r="L492" s="134" t="n"/>
      <c r="M492" s="130">
        <f>IF(OR($F492="",$I492=""),"",IF($L492&lt;&gt;"",IF($L492&gt;$K492,"Rendu en retard","Rendu"),IF(TODAY()&gt;$K492,"En retard","En cours")))</f>
        <v/>
      </c>
      <c r="N492" s="139">
        <f>IF(OR($F492="",$I492=""),"",MAX(0,IF($L492&lt;&gt;"",$L492,TODAY())-$K492))</f>
        <v/>
      </c>
      <c r="O492" s="135">
        <f>IF(OR($F492="",$I492=""),"",$N492*P_Amende)</f>
        <v/>
      </c>
      <c r="P492" s="133" t="n"/>
      <c r="R492">
        <f>IF($M492="En retard",$N492+ROW()/100000,"")</f>
        <v/>
      </c>
      <c r="S492">
        <f>IF(OR($F492="",$I492=""),"",$F492+ROW()/100000)</f>
        <v/>
      </c>
      <c r="T492">
        <f>IF($I492="","",IFERROR(INDEX(LIV_Cat,MATCH($I492,LIV_Code,0)),""))</f>
        <v/>
      </c>
    </row>
    <row r="493" ht="21" customHeight="1">
      <c r="A493" s="1" t="n"/>
      <c r="B493" s="1" t="n"/>
      <c r="C493" s="2" t="n"/>
      <c r="E493" s="130">
        <f>IF($F493="","","EMP-"&amp;TEXT(ROW()-6,"0000"))</f>
        <v/>
      </c>
      <c r="F493" s="134" t="n"/>
      <c r="G493" s="127" t="n"/>
      <c r="H493" s="130">
        <f>IF($G493="","",IFERROR(INDEX(MEM_Nom,MATCH($G493,MEM_ID,0)),"⚠ ID inconnu"))</f>
        <v/>
      </c>
      <c r="I493" s="127" t="n"/>
      <c r="J493" s="130">
        <f>IF($I493="","",IFERROR(INDEX(LIV_Titre,MATCH($I493,LIV_Code,0)),"⚠ Code inconnu"))</f>
        <v/>
      </c>
      <c r="K493" s="138">
        <f>IF($F493="","",$F493+P_Duree)</f>
        <v/>
      </c>
      <c r="L493" s="134" t="n"/>
      <c r="M493" s="130">
        <f>IF(OR($F493="",$I493=""),"",IF($L493&lt;&gt;"",IF($L493&gt;$K493,"Rendu en retard","Rendu"),IF(TODAY()&gt;$K493,"En retard","En cours")))</f>
        <v/>
      </c>
      <c r="N493" s="139">
        <f>IF(OR($F493="",$I493=""),"",MAX(0,IF($L493&lt;&gt;"",$L493,TODAY())-$K493))</f>
        <v/>
      </c>
      <c r="O493" s="135">
        <f>IF(OR($F493="",$I493=""),"",$N493*P_Amende)</f>
        <v/>
      </c>
      <c r="P493" s="133" t="n"/>
      <c r="R493">
        <f>IF($M493="En retard",$N493+ROW()/100000,"")</f>
        <v/>
      </c>
      <c r="S493">
        <f>IF(OR($F493="",$I493=""),"",$F493+ROW()/100000)</f>
        <v/>
      </c>
      <c r="T493">
        <f>IF($I493="","",IFERROR(INDEX(LIV_Cat,MATCH($I493,LIV_Code,0)),""))</f>
        <v/>
      </c>
    </row>
    <row r="494" ht="21" customHeight="1">
      <c r="A494" s="1" t="n"/>
      <c r="B494" s="1" t="n"/>
      <c r="C494" s="2" t="n"/>
      <c r="E494" s="130">
        <f>IF($F494="","","EMP-"&amp;TEXT(ROW()-6,"0000"))</f>
        <v/>
      </c>
      <c r="F494" s="134" t="n"/>
      <c r="G494" s="127" t="n"/>
      <c r="H494" s="130">
        <f>IF($G494="","",IFERROR(INDEX(MEM_Nom,MATCH($G494,MEM_ID,0)),"⚠ ID inconnu"))</f>
        <v/>
      </c>
      <c r="I494" s="127" t="n"/>
      <c r="J494" s="130">
        <f>IF($I494="","",IFERROR(INDEX(LIV_Titre,MATCH($I494,LIV_Code,0)),"⚠ Code inconnu"))</f>
        <v/>
      </c>
      <c r="K494" s="138">
        <f>IF($F494="","",$F494+P_Duree)</f>
        <v/>
      </c>
      <c r="L494" s="134" t="n"/>
      <c r="M494" s="130">
        <f>IF(OR($F494="",$I494=""),"",IF($L494&lt;&gt;"",IF($L494&gt;$K494,"Rendu en retard","Rendu"),IF(TODAY()&gt;$K494,"En retard","En cours")))</f>
        <v/>
      </c>
      <c r="N494" s="139">
        <f>IF(OR($F494="",$I494=""),"",MAX(0,IF($L494&lt;&gt;"",$L494,TODAY())-$K494))</f>
        <v/>
      </c>
      <c r="O494" s="135">
        <f>IF(OR($F494="",$I494=""),"",$N494*P_Amende)</f>
        <v/>
      </c>
      <c r="P494" s="133" t="n"/>
      <c r="R494">
        <f>IF($M494="En retard",$N494+ROW()/100000,"")</f>
        <v/>
      </c>
      <c r="S494">
        <f>IF(OR($F494="",$I494=""),"",$F494+ROW()/100000)</f>
        <v/>
      </c>
      <c r="T494">
        <f>IF($I494="","",IFERROR(INDEX(LIV_Cat,MATCH($I494,LIV_Code,0)),""))</f>
        <v/>
      </c>
    </row>
    <row r="495" ht="21" customHeight="1">
      <c r="A495" s="1" t="n"/>
      <c r="B495" s="1" t="n"/>
      <c r="C495" s="2" t="n"/>
      <c r="E495" s="130">
        <f>IF($F495="","","EMP-"&amp;TEXT(ROW()-6,"0000"))</f>
        <v/>
      </c>
      <c r="F495" s="134" t="n"/>
      <c r="G495" s="127" t="n"/>
      <c r="H495" s="130">
        <f>IF($G495="","",IFERROR(INDEX(MEM_Nom,MATCH($G495,MEM_ID,0)),"⚠ ID inconnu"))</f>
        <v/>
      </c>
      <c r="I495" s="127" t="n"/>
      <c r="J495" s="130">
        <f>IF($I495="","",IFERROR(INDEX(LIV_Titre,MATCH($I495,LIV_Code,0)),"⚠ Code inconnu"))</f>
        <v/>
      </c>
      <c r="K495" s="138">
        <f>IF($F495="","",$F495+P_Duree)</f>
        <v/>
      </c>
      <c r="L495" s="134" t="n"/>
      <c r="M495" s="130">
        <f>IF(OR($F495="",$I495=""),"",IF($L495&lt;&gt;"",IF($L495&gt;$K495,"Rendu en retard","Rendu"),IF(TODAY()&gt;$K495,"En retard","En cours")))</f>
        <v/>
      </c>
      <c r="N495" s="139">
        <f>IF(OR($F495="",$I495=""),"",MAX(0,IF($L495&lt;&gt;"",$L495,TODAY())-$K495))</f>
        <v/>
      </c>
      <c r="O495" s="135">
        <f>IF(OR($F495="",$I495=""),"",$N495*P_Amende)</f>
        <v/>
      </c>
      <c r="P495" s="133" t="n"/>
      <c r="R495">
        <f>IF($M495="En retard",$N495+ROW()/100000,"")</f>
        <v/>
      </c>
      <c r="S495">
        <f>IF(OR($F495="",$I495=""),"",$F495+ROW()/100000)</f>
        <v/>
      </c>
      <c r="T495">
        <f>IF($I495="","",IFERROR(INDEX(LIV_Cat,MATCH($I495,LIV_Code,0)),""))</f>
        <v/>
      </c>
    </row>
    <row r="496" ht="21" customHeight="1">
      <c r="A496" s="1" t="n"/>
      <c r="B496" s="1" t="n"/>
      <c r="C496" s="2" t="n"/>
      <c r="E496" s="130">
        <f>IF($F496="","","EMP-"&amp;TEXT(ROW()-6,"0000"))</f>
        <v/>
      </c>
      <c r="F496" s="134" t="n"/>
      <c r="G496" s="127" t="n"/>
      <c r="H496" s="130">
        <f>IF($G496="","",IFERROR(INDEX(MEM_Nom,MATCH($G496,MEM_ID,0)),"⚠ ID inconnu"))</f>
        <v/>
      </c>
      <c r="I496" s="127" t="n"/>
      <c r="J496" s="130">
        <f>IF($I496="","",IFERROR(INDEX(LIV_Titre,MATCH($I496,LIV_Code,0)),"⚠ Code inconnu"))</f>
        <v/>
      </c>
      <c r="K496" s="138">
        <f>IF($F496="","",$F496+P_Duree)</f>
        <v/>
      </c>
      <c r="L496" s="134" t="n"/>
      <c r="M496" s="130">
        <f>IF(OR($F496="",$I496=""),"",IF($L496&lt;&gt;"",IF($L496&gt;$K496,"Rendu en retard","Rendu"),IF(TODAY()&gt;$K496,"En retard","En cours")))</f>
        <v/>
      </c>
      <c r="N496" s="139">
        <f>IF(OR($F496="",$I496=""),"",MAX(0,IF($L496&lt;&gt;"",$L496,TODAY())-$K496))</f>
        <v/>
      </c>
      <c r="O496" s="135">
        <f>IF(OR($F496="",$I496=""),"",$N496*P_Amende)</f>
        <v/>
      </c>
      <c r="P496" s="133" t="n"/>
      <c r="R496">
        <f>IF($M496="En retard",$N496+ROW()/100000,"")</f>
        <v/>
      </c>
      <c r="S496">
        <f>IF(OR($F496="",$I496=""),"",$F496+ROW()/100000)</f>
        <v/>
      </c>
      <c r="T496">
        <f>IF($I496="","",IFERROR(INDEX(LIV_Cat,MATCH($I496,LIV_Code,0)),""))</f>
        <v/>
      </c>
    </row>
    <row r="497" ht="21" customHeight="1">
      <c r="A497" s="1" t="n"/>
      <c r="B497" s="1" t="n"/>
      <c r="C497" s="2" t="n"/>
      <c r="E497" s="130">
        <f>IF($F497="","","EMP-"&amp;TEXT(ROW()-6,"0000"))</f>
        <v/>
      </c>
      <c r="F497" s="134" t="n"/>
      <c r="G497" s="127" t="n"/>
      <c r="H497" s="130">
        <f>IF($G497="","",IFERROR(INDEX(MEM_Nom,MATCH($G497,MEM_ID,0)),"⚠ ID inconnu"))</f>
        <v/>
      </c>
      <c r="I497" s="127" t="n"/>
      <c r="J497" s="130">
        <f>IF($I497="","",IFERROR(INDEX(LIV_Titre,MATCH($I497,LIV_Code,0)),"⚠ Code inconnu"))</f>
        <v/>
      </c>
      <c r="K497" s="138">
        <f>IF($F497="","",$F497+P_Duree)</f>
        <v/>
      </c>
      <c r="L497" s="134" t="n"/>
      <c r="M497" s="130">
        <f>IF(OR($F497="",$I497=""),"",IF($L497&lt;&gt;"",IF($L497&gt;$K497,"Rendu en retard","Rendu"),IF(TODAY()&gt;$K497,"En retard","En cours")))</f>
        <v/>
      </c>
      <c r="N497" s="139">
        <f>IF(OR($F497="",$I497=""),"",MAX(0,IF($L497&lt;&gt;"",$L497,TODAY())-$K497))</f>
        <v/>
      </c>
      <c r="O497" s="135">
        <f>IF(OR($F497="",$I497=""),"",$N497*P_Amende)</f>
        <v/>
      </c>
      <c r="P497" s="133" t="n"/>
      <c r="R497">
        <f>IF($M497="En retard",$N497+ROW()/100000,"")</f>
        <v/>
      </c>
      <c r="S497">
        <f>IF(OR($F497="",$I497=""),"",$F497+ROW()/100000)</f>
        <v/>
      </c>
      <c r="T497">
        <f>IF($I497="","",IFERROR(INDEX(LIV_Cat,MATCH($I497,LIV_Code,0)),""))</f>
        <v/>
      </c>
    </row>
    <row r="498" ht="21" customHeight="1">
      <c r="A498" s="1" t="n"/>
      <c r="B498" s="1" t="n"/>
      <c r="C498" s="2" t="n"/>
      <c r="E498" s="130">
        <f>IF($F498="","","EMP-"&amp;TEXT(ROW()-6,"0000"))</f>
        <v/>
      </c>
      <c r="F498" s="134" t="n"/>
      <c r="G498" s="127" t="n"/>
      <c r="H498" s="130">
        <f>IF($G498="","",IFERROR(INDEX(MEM_Nom,MATCH($G498,MEM_ID,0)),"⚠ ID inconnu"))</f>
        <v/>
      </c>
      <c r="I498" s="127" t="n"/>
      <c r="J498" s="130">
        <f>IF($I498="","",IFERROR(INDEX(LIV_Titre,MATCH($I498,LIV_Code,0)),"⚠ Code inconnu"))</f>
        <v/>
      </c>
      <c r="K498" s="138">
        <f>IF($F498="","",$F498+P_Duree)</f>
        <v/>
      </c>
      <c r="L498" s="134" t="n"/>
      <c r="M498" s="130">
        <f>IF(OR($F498="",$I498=""),"",IF($L498&lt;&gt;"",IF($L498&gt;$K498,"Rendu en retard","Rendu"),IF(TODAY()&gt;$K498,"En retard","En cours")))</f>
        <v/>
      </c>
      <c r="N498" s="139">
        <f>IF(OR($F498="",$I498=""),"",MAX(0,IF($L498&lt;&gt;"",$L498,TODAY())-$K498))</f>
        <v/>
      </c>
      <c r="O498" s="135">
        <f>IF(OR($F498="",$I498=""),"",$N498*P_Amende)</f>
        <v/>
      </c>
      <c r="P498" s="133" t="n"/>
      <c r="R498">
        <f>IF($M498="En retard",$N498+ROW()/100000,"")</f>
        <v/>
      </c>
      <c r="S498">
        <f>IF(OR($F498="",$I498=""),"",$F498+ROW()/100000)</f>
        <v/>
      </c>
      <c r="T498">
        <f>IF($I498="","",IFERROR(INDEX(LIV_Cat,MATCH($I498,LIV_Code,0)),""))</f>
        <v/>
      </c>
    </row>
    <row r="499" ht="21" customHeight="1">
      <c r="A499" s="1" t="n"/>
      <c r="B499" s="1" t="n"/>
      <c r="C499" s="2" t="n"/>
      <c r="E499" s="130">
        <f>IF($F499="","","EMP-"&amp;TEXT(ROW()-6,"0000"))</f>
        <v/>
      </c>
      <c r="F499" s="134" t="n"/>
      <c r="G499" s="127" t="n"/>
      <c r="H499" s="130">
        <f>IF($G499="","",IFERROR(INDEX(MEM_Nom,MATCH($G499,MEM_ID,0)),"⚠ ID inconnu"))</f>
        <v/>
      </c>
      <c r="I499" s="127" t="n"/>
      <c r="J499" s="130">
        <f>IF($I499="","",IFERROR(INDEX(LIV_Titre,MATCH($I499,LIV_Code,0)),"⚠ Code inconnu"))</f>
        <v/>
      </c>
      <c r="K499" s="138">
        <f>IF($F499="","",$F499+P_Duree)</f>
        <v/>
      </c>
      <c r="L499" s="134" t="n"/>
      <c r="M499" s="130">
        <f>IF(OR($F499="",$I499=""),"",IF($L499&lt;&gt;"",IF($L499&gt;$K499,"Rendu en retard","Rendu"),IF(TODAY()&gt;$K499,"En retard","En cours")))</f>
        <v/>
      </c>
      <c r="N499" s="139">
        <f>IF(OR($F499="",$I499=""),"",MAX(0,IF($L499&lt;&gt;"",$L499,TODAY())-$K499))</f>
        <v/>
      </c>
      <c r="O499" s="135">
        <f>IF(OR($F499="",$I499=""),"",$N499*P_Amende)</f>
        <v/>
      </c>
      <c r="P499" s="133" t="n"/>
      <c r="R499">
        <f>IF($M499="En retard",$N499+ROW()/100000,"")</f>
        <v/>
      </c>
      <c r="S499">
        <f>IF(OR($F499="",$I499=""),"",$F499+ROW()/100000)</f>
        <v/>
      </c>
      <c r="T499">
        <f>IF($I499="","",IFERROR(INDEX(LIV_Cat,MATCH($I499,LIV_Code,0)),""))</f>
        <v/>
      </c>
    </row>
    <row r="500" ht="21" customHeight="1">
      <c r="A500" s="1" t="n"/>
      <c r="B500" s="1" t="n"/>
      <c r="C500" s="2" t="n"/>
      <c r="E500" s="130">
        <f>IF($F500="","","EMP-"&amp;TEXT(ROW()-6,"0000"))</f>
        <v/>
      </c>
      <c r="F500" s="134" t="n"/>
      <c r="G500" s="127" t="n"/>
      <c r="H500" s="130">
        <f>IF($G500="","",IFERROR(INDEX(MEM_Nom,MATCH($G500,MEM_ID,0)),"⚠ ID inconnu"))</f>
        <v/>
      </c>
      <c r="I500" s="127" t="n"/>
      <c r="J500" s="130">
        <f>IF($I500="","",IFERROR(INDEX(LIV_Titre,MATCH($I500,LIV_Code,0)),"⚠ Code inconnu"))</f>
        <v/>
      </c>
      <c r="K500" s="138">
        <f>IF($F500="","",$F500+P_Duree)</f>
        <v/>
      </c>
      <c r="L500" s="134" t="n"/>
      <c r="M500" s="130">
        <f>IF(OR($F500="",$I500=""),"",IF($L500&lt;&gt;"",IF($L500&gt;$K500,"Rendu en retard","Rendu"),IF(TODAY()&gt;$K500,"En retard","En cours")))</f>
        <v/>
      </c>
      <c r="N500" s="139">
        <f>IF(OR($F500="",$I500=""),"",MAX(0,IF($L500&lt;&gt;"",$L500,TODAY())-$K500))</f>
        <v/>
      </c>
      <c r="O500" s="135">
        <f>IF(OR($F500="",$I500=""),"",$N500*P_Amende)</f>
        <v/>
      </c>
      <c r="P500" s="133" t="n"/>
      <c r="R500">
        <f>IF($M500="En retard",$N500+ROW()/100000,"")</f>
        <v/>
      </c>
      <c r="S500">
        <f>IF(OR($F500="",$I500=""),"",$F500+ROW()/100000)</f>
        <v/>
      </c>
      <c r="T500">
        <f>IF($I500="","",IFERROR(INDEX(LIV_Cat,MATCH($I500,LIV_Code,0)),""))</f>
        <v/>
      </c>
    </row>
    <row r="501" ht="21" customHeight="1">
      <c r="A501" s="1" t="n"/>
      <c r="B501" s="1" t="n"/>
      <c r="C501" s="2" t="n"/>
      <c r="E501" s="130">
        <f>IF($F501="","","EMP-"&amp;TEXT(ROW()-6,"0000"))</f>
        <v/>
      </c>
      <c r="F501" s="134" t="n"/>
      <c r="G501" s="127" t="n"/>
      <c r="H501" s="130">
        <f>IF($G501="","",IFERROR(INDEX(MEM_Nom,MATCH($G501,MEM_ID,0)),"⚠ ID inconnu"))</f>
        <v/>
      </c>
      <c r="I501" s="127" t="n"/>
      <c r="J501" s="130">
        <f>IF($I501="","",IFERROR(INDEX(LIV_Titre,MATCH($I501,LIV_Code,0)),"⚠ Code inconnu"))</f>
        <v/>
      </c>
      <c r="K501" s="138">
        <f>IF($F501="","",$F501+P_Duree)</f>
        <v/>
      </c>
      <c r="L501" s="134" t="n"/>
      <c r="M501" s="130">
        <f>IF(OR($F501="",$I501=""),"",IF($L501&lt;&gt;"",IF($L501&gt;$K501,"Rendu en retard","Rendu"),IF(TODAY()&gt;$K501,"En retard","En cours")))</f>
        <v/>
      </c>
      <c r="N501" s="139">
        <f>IF(OR($F501="",$I501=""),"",MAX(0,IF($L501&lt;&gt;"",$L501,TODAY())-$K501))</f>
        <v/>
      </c>
      <c r="O501" s="135">
        <f>IF(OR($F501="",$I501=""),"",$N501*P_Amende)</f>
        <v/>
      </c>
      <c r="P501" s="133" t="n"/>
      <c r="R501">
        <f>IF($M501="En retard",$N501+ROW()/100000,"")</f>
        <v/>
      </c>
      <c r="S501">
        <f>IF(OR($F501="",$I501=""),"",$F501+ROW()/100000)</f>
        <v/>
      </c>
      <c r="T501">
        <f>IF($I501="","",IFERROR(INDEX(LIV_Cat,MATCH($I501,LIV_Code,0)),""))</f>
        <v/>
      </c>
    </row>
    <row r="502" ht="21" customHeight="1">
      <c r="A502" s="1" t="n"/>
      <c r="B502" s="1" t="n"/>
      <c r="C502" s="2" t="n"/>
      <c r="E502" s="130">
        <f>IF($F502="","","EMP-"&amp;TEXT(ROW()-6,"0000"))</f>
        <v/>
      </c>
      <c r="F502" s="134" t="n"/>
      <c r="G502" s="127" t="n"/>
      <c r="H502" s="130">
        <f>IF($G502="","",IFERROR(INDEX(MEM_Nom,MATCH($G502,MEM_ID,0)),"⚠ ID inconnu"))</f>
        <v/>
      </c>
      <c r="I502" s="127" t="n"/>
      <c r="J502" s="130">
        <f>IF($I502="","",IFERROR(INDEX(LIV_Titre,MATCH($I502,LIV_Code,0)),"⚠ Code inconnu"))</f>
        <v/>
      </c>
      <c r="K502" s="138">
        <f>IF($F502="","",$F502+P_Duree)</f>
        <v/>
      </c>
      <c r="L502" s="134" t="n"/>
      <c r="M502" s="130">
        <f>IF(OR($F502="",$I502=""),"",IF($L502&lt;&gt;"",IF($L502&gt;$K502,"Rendu en retard","Rendu"),IF(TODAY()&gt;$K502,"En retard","En cours")))</f>
        <v/>
      </c>
      <c r="N502" s="139">
        <f>IF(OR($F502="",$I502=""),"",MAX(0,IF($L502&lt;&gt;"",$L502,TODAY())-$K502))</f>
        <v/>
      </c>
      <c r="O502" s="135">
        <f>IF(OR($F502="",$I502=""),"",$N502*P_Amende)</f>
        <v/>
      </c>
      <c r="P502" s="133" t="n"/>
      <c r="R502">
        <f>IF($M502="En retard",$N502+ROW()/100000,"")</f>
        <v/>
      </c>
      <c r="S502">
        <f>IF(OR($F502="",$I502=""),"",$F502+ROW()/100000)</f>
        <v/>
      </c>
      <c r="T502">
        <f>IF($I502="","",IFERROR(INDEX(LIV_Cat,MATCH($I502,LIV_Code,0)),""))</f>
        <v/>
      </c>
    </row>
    <row r="503" ht="21" customHeight="1">
      <c r="A503" s="1" t="n"/>
      <c r="B503" s="1" t="n"/>
      <c r="C503" s="2" t="n"/>
      <c r="E503" s="130">
        <f>IF($F503="","","EMP-"&amp;TEXT(ROW()-6,"0000"))</f>
        <v/>
      </c>
      <c r="F503" s="134" t="n"/>
      <c r="G503" s="127" t="n"/>
      <c r="H503" s="130">
        <f>IF($G503="","",IFERROR(INDEX(MEM_Nom,MATCH($G503,MEM_ID,0)),"⚠ ID inconnu"))</f>
        <v/>
      </c>
      <c r="I503" s="127" t="n"/>
      <c r="J503" s="130">
        <f>IF($I503="","",IFERROR(INDEX(LIV_Titre,MATCH($I503,LIV_Code,0)),"⚠ Code inconnu"))</f>
        <v/>
      </c>
      <c r="K503" s="138">
        <f>IF($F503="","",$F503+P_Duree)</f>
        <v/>
      </c>
      <c r="L503" s="134" t="n"/>
      <c r="M503" s="130">
        <f>IF(OR($F503="",$I503=""),"",IF($L503&lt;&gt;"",IF($L503&gt;$K503,"Rendu en retard","Rendu"),IF(TODAY()&gt;$K503,"En retard","En cours")))</f>
        <v/>
      </c>
      <c r="N503" s="139">
        <f>IF(OR($F503="",$I503=""),"",MAX(0,IF($L503&lt;&gt;"",$L503,TODAY())-$K503))</f>
        <v/>
      </c>
      <c r="O503" s="135">
        <f>IF(OR($F503="",$I503=""),"",$N503*P_Amende)</f>
        <v/>
      </c>
      <c r="P503" s="133" t="n"/>
      <c r="R503">
        <f>IF($M503="En retard",$N503+ROW()/100000,"")</f>
        <v/>
      </c>
      <c r="S503">
        <f>IF(OR($F503="",$I503=""),"",$F503+ROW()/100000)</f>
        <v/>
      </c>
      <c r="T503">
        <f>IF($I503="","",IFERROR(INDEX(LIV_Cat,MATCH($I503,LIV_Code,0)),""))</f>
        <v/>
      </c>
    </row>
    <row r="504" ht="21" customHeight="1">
      <c r="A504" s="1" t="n"/>
      <c r="B504" s="1" t="n"/>
      <c r="C504" s="2" t="n"/>
      <c r="E504" s="130">
        <f>IF($F504="","","EMP-"&amp;TEXT(ROW()-6,"0000"))</f>
        <v/>
      </c>
      <c r="F504" s="134" t="n"/>
      <c r="G504" s="127" t="n"/>
      <c r="H504" s="130">
        <f>IF($G504="","",IFERROR(INDEX(MEM_Nom,MATCH($G504,MEM_ID,0)),"⚠ ID inconnu"))</f>
        <v/>
      </c>
      <c r="I504" s="127" t="n"/>
      <c r="J504" s="130">
        <f>IF($I504="","",IFERROR(INDEX(LIV_Titre,MATCH($I504,LIV_Code,0)),"⚠ Code inconnu"))</f>
        <v/>
      </c>
      <c r="K504" s="138">
        <f>IF($F504="","",$F504+P_Duree)</f>
        <v/>
      </c>
      <c r="L504" s="134" t="n"/>
      <c r="M504" s="130">
        <f>IF(OR($F504="",$I504=""),"",IF($L504&lt;&gt;"",IF($L504&gt;$K504,"Rendu en retard","Rendu"),IF(TODAY()&gt;$K504,"En retard","En cours")))</f>
        <v/>
      </c>
      <c r="N504" s="139">
        <f>IF(OR($F504="",$I504=""),"",MAX(0,IF($L504&lt;&gt;"",$L504,TODAY())-$K504))</f>
        <v/>
      </c>
      <c r="O504" s="135">
        <f>IF(OR($F504="",$I504=""),"",$N504*P_Amende)</f>
        <v/>
      </c>
      <c r="P504" s="133" t="n"/>
      <c r="R504">
        <f>IF($M504="En retard",$N504+ROW()/100000,"")</f>
        <v/>
      </c>
      <c r="S504">
        <f>IF(OR($F504="",$I504=""),"",$F504+ROW()/100000)</f>
        <v/>
      </c>
      <c r="T504">
        <f>IF($I504="","",IFERROR(INDEX(LIV_Cat,MATCH($I504,LIV_Code,0)),""))</f>
        <v/>
      </c>
    </row>
    <row r="505" ht="21" customHeight="1">
      <c r="A505" s="1" t="n"/>
      <c r="B505" s="1" t="n"/>
      <c r="C505" s="2" t="n"/>
      <c r="E505" s="130">
        <f>IF($F505="","","EMP-"&amp;TEXT(ROW()-6,"0000"))</f>
        <v/>
      </c>
      <c r="F505" s="134" t="n"/>
      <c r="G505" s="127" t="n"/>
      <c r="H505" s="130">
        <f>IF($G505="","",IFERROR(INDEX(MEM_Nom,MATCH($G505,MEM_ID,0)),"⚠ ID inconnu"))</f>
        <v/>
      </c>
      <c r="I505" s="127" t="n"/>
      <c r="J505" s="130">
        <f>IF($I505="","",IFERROR(INDEX(LIV_Titre,MATCH($I505,LIV_Code,0)),"⚠ Code inconnu"))</f>
        <v/>
      </c>
      <c r="K505" s="138">
        <f>IF($F505="","",$F505+P_Duree)</f>
        <v/>
      </c>
      <c r="L505" s="134" t="n"/>
      <c r="M505" s="130">
        <f>IF(OR($F505="",$I505=""),"",IF($L505&lt;&gt;"",IF($L505&gt;$K505,"Rendu en retard","Rendu"),IF(TODAY()&gt;$K505,"En retard","En cours")))</f>
        <v/>
      </c>
      <c r="N505" s="139">
        <f>IF(OR($F505="",$I505=""),"",MAX(0,IF($L505&lt;&gt;"",$L505,TODAY())-$K505))</f>
        <v/>
      </c>
      <c r="O505" s="135">
        <f>IF(OR($F505="",$I505=""),"",$N505*P_Amende)</f>
        <v/>
      </c>
      <c r="P505" s="133" t="n"/>
      <c r="R505">
        <f>IF($M505="En retard",$N505+ROW()/100000,"")</f>
        <v/>
      </c>
      <c r="S505">
        <f>IF(OR($F505="",$I505=""),"",$F505+ROW()/100000)</f>
        <v/>
      </c>
      <c r="T505">
        <f>IF($I505="","",IFERROR(INDEX(LIV_Cat,MATCH($I505,LIV_Code,0)),""))</f>
        <v/>
      </c>
    </row>
    <row r="506" ht="21" customHeight="1">
      <c r="A506" s="1" t="n"/>
      <c r="B506" s="1" t="n"/>
      <c r="C506" s="2" t="n"/>
      <c r="E506" s="130">
        <f>IF($F506="","","EMP-"&amp;TEXT(ROW()-6,"0000"))</f>
        <v/>
      </c>
      <c r="F506" s="134" t="n"/>
      <c r="G506" s="127" t="n"/>
      <c r="H506" s="130">
        <f>IF($G506="","",IFERROR(INDEX(MEM_Nom,MATCH($G506,MEM_ID,0)),"⚠ ID inconnu"))</f>
        <v/>
      </c>
      <c r="I506" s="127" t="n"/>
      <c r="J506" s="130">
        <f>IF($I506="","",IFERROR(INDEX(LIV_Titre,MATCH($I506,LIV_Code,0)),"⚠ Code inconnu"))</f>
        <v/>
      </c>
      <c r="K506" s="138">
        <f>IF($F506="","",$F506+P_Duree)</f>
        <v/>
      </c>
      <c r="L506" s="134" t="n"/>
      <c r="M506" s="130">
        <f>IF(OR($F506="",$I506=""),"",IF($L506&lt;&gt;"",IF($L506&gt;$K506,"Rendu en retard","Rendu"),IF(TODAY()&gt;$K506,"En retard","En cours")))</f>
        <v/>
      </c>
      <c r="N506" s="139">
        <f>IF(OR($F506="",$I506=""),"",MAX(0,IF($L506&lt;&gt;"",$L506,TODAY())-$K506))</f>
        <v/>
      </c>
      <c r="O506" s="135">
        <f>IF(OR($F506="",$I506=""),"",$N506*P_Amende)</f>
        <v/>
      </c>
      <c r="P506" s="133" t="n"/>
      <c r="R506">
        <f>IF($M506="En retard",$N506+ROW()/100000,"")</f>
        <v/>
      </c>
      <c r="S506">
        <f>IF(OR($F506="",$I506=""),"",$F506+ROW()/100000)</f>
        <v/>
      </c>
      <c r="T506">
        <f>IF($I506="","",IFERROR(INDEX(LIV_Cat,MATCH($I506,LIV_Code,0)),""))</f>
        <v/>
      </c>
    </row>
    <row r="507" ht="21" customHeight="1">
      <c r="A507" s="1" t="n"/>
      <c r="B507" s="1" t="n"/>
      <c r="C507" s="2" t="n"/>
      <c r="E507" s="130">
        <f>IF($F507="","","EMP-"&amp;TEXT(ROW()-6,"0000"))</f>
        <v/>
      </c>
      <c r="F507" s="134" t="n"/>
      <c r="G507" s="127" t="n"/>
      <c r="H507" s="130">
        <f>IF($G507="","",IFERROR(INDEX(MEM_Nom,MATCH($G507,MEM_ID,0)),"⚠ ID inconnu"))</f>
        <v/>
      </c>
      <c r="I507" s="127" t="n"/>
      <c r="J507" s="130">
        <f>IF($I507="","",IFERROR(INDEX(LIV_Titre,MATCH($I507,LIV_Code,0)),"⚠ Code inconnu"))</f>
        <v/>
      </c>
      <c r="K507" s="138">
        <f>IF($F507="","",$F507+P_Duree)</f>
        <v/>
      </c>
      <c r="L507" s="134" t="n"/>
      <c r="M507" s="130">
        <f>IF(OR($F507="",$I507=""),"",IF($L507&lt;&gt;"",IF($L507&gt;$K507,"Rendu en retard","Rendu"),IF(TODAY()&gt;$K507,"En retard","En cours")))</f>
        <v/>
      </c>
      <c r="N507" s="139">
        <f>IF(OR($F507="",$I507=""),"",MAX(0,IF($L507&lt;&gt;"",$L507,TODAY())-$K507))</f>
        <v/>
      </c>
      <c r="O507" s="135">
        <f>IF(OR($F507="",$I507=""),"",$N507*P_Amende)</f>
        <v/>
      </c>
      <c r="P507" s="133" t="n"/>
      <c r="R507">
        <f>IF($M507="En retard",$N507+ROW()/100000,"")</f>
        <v/>
      </c>
      <c r="S507">
        <f>IF(OR($F507="",$I507=""),"",$F507+ROW()/100000)</f>
        <v/>
      </c>
      <c r="T507">
        <f>IF($I507="","",IFERROR(INDEX(LIV_Cat,MATCH($I507,LIV_Code,0)),""))</f>
        <v/>
      </c>
    </row>
    <row r="508" ht="21" customHeight="1">
      <c r="A508" s="1" t="n"/>
      <c r="B508" s="1" t="n"/>
      <c r="C508" s="2" t="n"/>
      <c r="E508" s="130">
        <f>IF($F508="","","EMP-"&amp;TEXT(ROW()-6,"0000"))</f>
        <v/>
      </c>
      <c r="F508" s="134" t="n"/>
      <c r="G508" s="127" t="n"/>
      <c r="H508" s="130">
        <f>IF($G508="","",IFERROR(INDEX(MEM_Nom,MATCH($G508,MEM_ID,0)),"⚠ ID inconnu"))</f>
        <v/>
      </c>
      <c r="I508" s="127" t="n"/>
      <c r="J508" s="130">
        <f>IF($I508="","",IFERROR(INDEX(LIV_Titre,MATCH($I508,LIV_Code,0)),"⚠ Code inconnu"))</f>
        <v/>
      </c>
      <c r="K508" s="138">
        <f>IF($F508="","",$F508+P_Duree)</f>
        <v/>
      </c>
      <c r="L508" s="134" t="n"/>
      <c r="M508" s="130">
        <f>IF(OR($F508="",$I508=""),"",IF($L508&lt;&gt;"",IF($L508&gt;$K508,"Rendu en retard","Rendu"),IF(TODAY()&gt;$K508,"En retard","En cours")))</f>
        <v/>
      </c>
      <c r="N508" s="139">
        <f>IF(OR($F508="",$I508=""),"",MAX(0,IF($L508&lt;&gt;"",$L508,TODAY())-$K508))</f>
        <v/>
      </c>
      <c r="O508" s="135">
        <f>IF(OR($F508="",$I508=""),"",$N508*P_Amende)</f>
        <v/>
      </c>
      <c r="P508" s="133" t="n"/>
      <c r="R508">
        <f>IF($M508="En retard",$N508+ROW()/100000,"")</f>
        <v/>
      </c>
      <c r="S508">
        <f>IF(OR($F508="",$I508=""),"",$F508+ROW()/100000)</f>
        <v/>
      </c>
      <c r="T508">
        <f>IF($I508="","",IFERROR(INDEX(LIV_Cat,MATCH($I508,LIV_Code,0)),""))</f>
        <v/>
      </c>
    </row>
    <row r="509" ht="21" customHeight="1">
      <c r="A509" s="1" t="n"/>
      <c r="B509" s="1" t="n"/>
      <c r="C509" s="2" t="n"/>
      <c r="E509" s="130">
        <f>IF($F509="","","EMP-"&amp;TEXT(ROW()-6,"0000"))</f>
        <v/>
      </c>
      <c r="F509" s="134" t="n"/>
      <c r="G509" s="127" t="n"/>
      <c r="H509" s="130">
        <f>IF($G509="","",IFERROR(INDEX(MEM_Nom,MATCH($G509,MEM_ID,0)),"⚠ ID inconnu"))</f>
        <v/>
      </c>
      <c r="I509" s="127" t="n"/>
      <c r="J509" s="130">
        <f>IF($I509="","",IFERROR(INDEX(LIV_Titre,MATCH($I509,LIV_Code,0)),"⚠ Code inconnu"))</f>
        <v/>
      </c>
      <c r="K509" s="138">
        <f>IF($F509="","",$F509+P_Duree)</f>
        <v/>
      </c>
      <c r="L509" s="134" t="n"/>
      <c r="M509" s="130">
        <f>IF(OR($F509="",$I509=""),"",IF($L509&lt;&gt;"",IF($L509&gt;$K509,"Rendu en retard","Rendu"),IF(TODAY()&gt;$K509,"En retard","En cours")))</f>
        <v/>
      </c>
      <c r="N509" s="139">
        <f>IF(OR($F509="",$I509=""),"",MAX(0,IF($L509&lt;&gt;"",$L509,TODAY())-$K509))</f>
        <v/>
      </c>
      <c r="O509" s="135">
        <f>IF(OR($F509="",$I509=""),"",$N509*P_Amende)</f>
        <v/>
      </c>
      <c r="P509" s="133" t="n"/>
      <c r="R509">
        <f>IF($M509="En retard",$N509+ROW()/100000,"")</f>
        <v/>
      </c>
      <c r="S509">
        <f>IF(OR($F509="",$I509=""),"",$F509+ROW()/100000)</f>
        <v/>
      </c>
      <c r="T509">
        <f>IF($I509="","",IFERROR(INDEX(LIV_Cat,MATCH($I509,LIV_Code,0)),""))</f>
        <v/>
      </c>
    </row>
    <row r="510" ht="21" customHeight="1">
      <c r="A510" s="1" t="n"/>
      <c r="B510" s="1" t="n"/>
      <c r="C510" s="2" t="n"/>
      <c r="E510" s="130">
        <f>IF($F510="","","EMP-"&amp;TEXT(ROW()-6,"0000"))</f>
        <v/>
      </c>
      <c r="F510" s="134" t="n"/>
      <c r="G510" s="127" t="n"/>
      <c r="H510" s="130">
        <f>IF($G510="","",IFERROR(INDEX(MEM_Nom,MATCH($G510,MEM_ID,0)),"⚠ ID inconnu"))</f>
        <v/>
      </c>
      <c r="I510" s="127" t="n"/>
      <c r="J510" s="130">
        <f>IF($I510="","",IFERROR(INDEX(LIV_Titre,MATCH($I510,LIV_Code,0)),"⚠ Code inconnu"))</f>
        <v/>
      </c>
      <c r="K510" s="138">
        <f>IF($F510="","",$F510+P_Duree)</f>
        <v/>
      </c>
      <c r="L510" s="134" t="n"/>
      <c r="M510" s="130">
        <f>IF(OR($F510="",$I510=""),"",IF($L510&lt;&gt;"",IF($L510&gt;$K510,"Rendu en retard","Rendu"),IF(TODAY()&gt;$K510,"En retard","En cours")))</f>
        <v/>
      </c>
      <c r="N510" s="139">
        <f>IF(OR($F510="",$I510=""),"",MAX(0,IF($L510&lt;&gt;"",$L510,TODAY())-$K510))</f>
        <v/>
      </c>
      <c r="O510" s="135">
        <f>IF(OR($F510="",$I510=""),"",$N510*P_Amende)</f>
        <v/>
      </c>
      <c r="P510" s="133" t="n"/>
      <c r="R510">
        <f>IF($M510="En retard",$N510+ROW()/100000,"")</f>
        <v/>
      </c>
      <c r="S510">
        <f>IF(OR($F510="",$I510=""),"",$F510+ROW()/100000)</f>
        <v/>
      </c>
      <c r="T510">
        <f>IF($I510="","",IFERROR(INDEX(LIV_Cat,MATCH($I510,LIV_Code,0)),""))</f>
        <v/>
      </c>
    </row>
    <row r="511" ht="21" customHeight="1">
      <c r="A511" s="1" t="n"/>
      <c r="B511" s="1" t="n"/>
      <c r="C511" s="2" t="n"/>
      <c r="E511" s="130">
        <f>IF($F511="","","EMP-"&amp;TEXT(ROW()-6,"0000"))</f>
        <v/>
      </c>
      <c r="F511" s="134" t="n"/>
      <c r="G511" s="127" t="n"/>
      <c r="H511" s="130">
        <f>IF($G511="","",IFERROR(INDEX(MEM_Nom,MATCH($G511,MEM_ID,0)),"⚠ ID inconnu"))</f>
        <v/>
      </c>
      <c r="I511" s="127" t="n"/>
      <c r="J511" s="130">
        <f>IF($I511="","",IFERROR(INDEX(LIV_Titre,MATCH($I511,LIV_Code,0)),"⚠ Code inconnu"))</f>
        <v/>
      </c>
      <c r="K511" s="138">
        <f>IF($F511="","",$F511+P_Duree)</f>
        <v/>
      </c>
      <c r="L511" s="134" t="n"/>
      <c r="M511" s="130">
        <f>IF(OR($F511="",$I511=""),"",IF($L511&lt;&gt;"",IF($L511&gt;$K511,"Rendu en retard","Rendu"),IF(TODAY()&gt;$K511,"En retard","En cours")))</f>
        <v/>
      </c>
      <c r="N511" s="139">
        <f>IF(OR($F511="",$I511=""),"",MAX(0,IF($L511&lt;&gt;"",$L511,TODAY())-$K511))</f>
        <v/>
      </c>
      <c r="O511" s="135">
        <f>IF(OR($F511="",$I511=""),"",$N511*P_Amende)</f>
        <v/>
      </c>
      <c r="P511" s="133" t="n"/>
      <c r="R511">
        <f>IF($M511="En retard",$N511+ROW()/100000,"")</f>
        <v/>
      </c>
      <c r="S511">
        <f>IF(OR($F511="",$I511=""),"",$F511+ROW()/100000)</f>
        <v/>
      </c>
      <c r="T511">
        <f>IF($I511="","",IFERROR(INDEX(LIV_Cat,MATCH($I511,LIV_Code,0)),""))</f>
        <v/>
      </c>
    </row>
    <row r="512" ht="21" customHeight="1">
      <c r="A512" s="1" t="n"/>
      <c r="B512" s="1" t="n"/>
      <c r="C512" s="2" t="n"/>
      <c r="E512" s="130">
        <f>IF($F512="","","EMP-"&amp;TEXT(ROW()-6,"0000"))</f>
        <v/>
      </c>
      <c r="F512" s="134" t="n"/>
      <c r="G512" s="127" t="n"/>
      <c r="H512" s="130">
        <f>IF($G512="","",IFERROR(INDEX(MEM_Nom,MATCH($G512,MEM_ID,0)),"⚠ ID inconnu"))</f>
        <v/>
      </c>
      <c r="I512" s="127" t="n"/>
      <c r="J512" s="130">
        <f>IF($I512="","",IFERROR(INDEX(LIV_Titre,MATCH($I512,LIV_Code,0)),"⚠ Code inconnu"))</f>
        <v/>
      </c>
      <c r="K512" s="138">
        <f>IF($F512="","",$F512+P_Duree)</f>
        <v/>
      </c>
      <c r="L512" s="134" t="n"/>
      <c r="M512" s="130">
        <f>IF(OR($F512="",$I512=""),"",IF($L512&lt;&gt;"",IF($L512&gt;$K512,"Rendu en retard","Rendu"),IF(TODAY()&gt;$K512,"En retard","En cours")))</f>
        <v/>
      </c>
      <c r="N512" s="139">
        <f>IF(OR($F512="",$I512=""),"",MAX(0,IF($L512&lt;&gt;"",$L512,TODAY())-$K512))</f>
        <v/>
      </c>
      <c r="O512" s="135">
        <f>IF(OR($F512="",$I512=""),"",$N512*P_Amende)</f>
        <v/>
      </c>
      <c r="P512" s="133" t="n"/>
      <c r="R512">
        <f>IF($M512="En retard",$N512+ROW()/100000,"")</f>
        <v/>
      </c>
      <c r="S512">
        <f>IF(OR($F512="",$I512=""),"",$F512+ROW()/100000)</f>
        <v/>
      </c>
      <c r="T512">
        <f>IF($I512="","",IFERROR(INDEX(LIV_Cat,MATCH($I512,LIV_Code,0)),""))</f>
        <v/>
      </c>
    </row>
    <row r="513" ht="21" customHeight="1">
      <c r="A513" s="1" t="n"/>
      <c r="B513" s="1" t="n"/>
      <c r="C513" s="2" t="n"/>
      <c r="E513" s="130">
        <f>IF($F513="","","EMP-"&amp;TEXT(ROW()-6,"0000"))</f>
        <v/>
      </c>
      <c r="F513" s="134" t="n"/>
      <c r="G513" s="127" t="n"/>
      <c r="H513" s="130">
        <f>IF($G513="","",IFERROR(INDEX(MEM_Nom,MATCH($G513,MEM_ID,0)),"⚠ ID inconnu"))</f>
        <v/>
      </c>
      <c r="I513" s="127" t="n"/>
      <c r="J513" s="130">
        <f>IF($I513="","",IFERROR(INDEX(LIV_Titre,MATCH($I513,LIV_Code,0)),"⚠ Code inconnu"))</f>
        <v/>
      </c>
      <c r="K513" s="138">
        <f>IF($F513="","",$F513+P_Duree)</f>
        <v/>
      </c>
      <c r="L513" s="134" t="n"/>
      <c r="M513" s="130">
        <f>IF(OR($F513="",$I513=""),"",IF($L513&lt;&gt;"",IF($L513&gt;$K513,"Rendu en retard","Rendu"),IF(TODAY()&gt;$K513,"En retard","En cours")))</f>
        <v/>
      </c>
      <c r="N513" s="139">
        <f>IF(OR($F513="",$I513=""),"",MAX(0,IF($L513&lt;&gt;"",$L513,TODAY())-$K513))</f>
        <v/>
      </c>
      <c r="O513" s="135">
        <f>IF(OR($F513="",$I513=""),"",$N513*P_Amende)</f>
        <v/>
      </c>
      <c r="P513" s="133" t="n"/>
      <c r="R513">
        <f>IF($M513="En retard",$N513+ROW()/100000,"")</f>
        <v/>
      </c>
      <c r="S513">
        <f>IF(OR($F513="",$I513=""),"",$F513+ROW()/100000)</f>
        <v/>
      </c>
      <c r="T513">
        <f>IF($I513="","",IFERROR(INDEX(LIV_Cat,MATCH($I513,LIV_Code,0)),""))</f>
        <v/>
      </c>
    </row>
    <row r="514" ht="21" customHeight="1">
      <c r="A514" s="1" t="n"/>
      <c r="B514" s="1" t="n"/>
      <c r="C514" s="2" t="n"/>
      <c r="E514" s="130">
        <f>IF($F514="","","EMP-"&amp;TEXT(ROW()-6,"0000"))</f>
        <v/>
      </c>
      <c r="F514" s="134" t="n"/>
      <c r="G514" s="127" t="n"/>
      <c r="H514" s="130">
        <f>IF($G514="","",IFERROR(INDEX(MEM_Nom,MATCH($G514,MEM_ID,0)),"⚠ ID inconnu"))</f>
        <v/>
      </c>
      <c r="I514" s="127" t="n"/>
      <c r="J514" s="130">
        <f>IF($I514="","",IFERROR(INDEX(LIV_Titre,MATCH($I514,LIV_Code,0)),"⚠ Code inconnu"))</f>
        <v/>
      </c>
      <c r="K514" s="138">
        <f>IF($F514="","",$F514+P_Duree)</f>
        <v/>
      </c>
      <c r="L514" s="134" t="n"/>
      <c r="M514" s="130">
        <f>IF(OR($F514="",$I514=""),"",IF($L514&lt;&gt;"",IF($L514&gt;$K514,"Rendu en retard","Rendu"),IF(TODAY()&gt;$K514,"En retard","En cours")))</f>
        <v/>
      </c>
      <c r="N514" s="139">
        <f>IF(OR($F514="",$I514=""),"",MAX(0,IF($L514&lt;&gt;"",$L514,TODAY())-$K514))</f>
        <v/>
      </c>
      <c r="O514" s="135">
        <f>IF(OR($F514="",$I514=""),"",$N514*P_Amende)</f>
        <v/>
      </c>
      <c r="P514" s="133" t="n"/>
      <c r="R514">
        <f>IF($M514="En retard",$N514+ROW()/100000,"")</f>
        <v/>
      </c>
      <c r="S514">
        <f>IF(OR($F514="",$I514=""),"",$F514+ROW()/100000)</f>
        <v/>
      </c>
      <c r="T514">
        <f>IF($I514="","",IFERROR(INDEX(LIV_Cat,MATCH($I514,LIV_Code,0)),""))</f>
        <v/>
      </c>
    </row>
    <row r="515" ht="21" customHeight="1">
      <c r="A515" s="1" t="n"/>
      <c r="B515" s="1" t="n"/>
      <c r="C515" s="2" t="n"/>
      <c r="E515" s="130">
        <f>IF($F515="","","EMP-"&amp;TEXT(ROW()-6,"0000"))</f>
        <v/>
      </c>
      <c r="F515" s="134" t="n"/>
      <c r="G515" s="127" t="n"/>
      <c r="H515" s="130">
        <f>IF($G515="","",IFERROR(INDEX(MEM_Nom,MATCH($G515,MEM_ID,0)),"⚠ ID inconnu"))</f>
        <v/>
      </c>
      <c r="I515" s="127" t="n"/>
      <c r="J515" s="130">
        <f>IF($I515="","",IFERROR(INDEX(LIV_Titre,MATCH($I515,LIV_Code,0)),"⚠ Code inconnu"))</f>
        <v/>
      </c>
      <c r="K515" s="138">
        <f>IF($F515="","",$F515+P_Duree)</f>
        <v/>
      </c>
      <c r="L515" s="134" t="n"/>
      <c r="M515" s="130">
        <f>IF(OR($F515="",$I515=""),"",IF($L515&lt;&gt;"",IF($L515&gt;$K515,"Rendu en retard","Rendu"),IF(TODAY()&gt;$K515,"En retard","En cours")))</f>
        <v/>
      </c>
      <c r="N515" s="139">
        <f>IF(OR($F515="",$I515=""),"",MAX(0,IF($L515&lt;&gt;"",$L515,TODAY())-$K515))</f>
        <v/>
      </c>
      <c r="O515" s="135">
        <f>IF(OR($F515="",$I515=""),"",$N515*P_Amende)</f>
        <v/>
      </c>
      <c r="P515" s="133" t="n"/>
      <c r="R515">
        <f>IF($M515="En retard",$N515+ROW()/100000,"")</f>
        <v/>
      </c>
      <c r="S515">
        <f>IF(OR($F515="",$I515=""),"",$F515+ROW()/100000)</f>
        <v/>
      </c>
      <c r="T515">
        <f>IF($I515="","",IFERROR(INDEX(LIV_Cat,MATCH($I515,LIV_Code,0)),""))</f>
        <v/>
      </c>
    </row>
    <row r="516" ht="21" customHeight="1">
      <c r="A516" s="1" t="n"/>
      <c r="B516" s="1" t="n"/>
      <c r="C516" s="2" t="n"/>
      <c r="E516" s="130">
        <f>IF($F516="","","EMP-"&amp;TEXT(ROW()-6,"0000"))</f>
        <v/>
      </c>
      <c r="F516" s="134" t="n"/>
      <c r="G516" s="127" t="n"/>
      <c r="H516" s="130">
        <f>IF($G516="","",IFERROR(INDEX(MEM_Nom,MATCH($G516,MEM_ID,0)),"⚠ ID inconnu"))</f>
        <v/>
      </c>
      <c r="I516" s="127" t="n"/>
      <c r="J516" s="130">
        <f>IF($I516="","",IFERROR(INDEX(LIV_Titre,MATCH($I516,LIV_Code,0)),"⚠ Code inconnu"))</f>
        <v/>
      </c>
      <c r="K516" s="138">
        <f>IF($F516="","",$F516+P_Duree)</f>
        <v/>
      </c>
      <c r="L516" s="134" t="n"/>
      <c r="M516" s="130">
        <f>IF(OR($F516="",$I516=""),"",IF($L516&lt;&gt;"",IF($L516&gt;$K516,"Rendu en retard","Rendu"),IF(TODAY()&gt;$K516,"En retard","En cours")))</f>
        <v/>
      </c>
      <c r="N516" s="139">
        <f>IF(OR($F516="",$I516=""),"",MAX(0,IF($L516&lt;&gt;"",$L516,TODAY())-$K516))</f>
        <v/>
      </c>
      <c r="O516" s="135">
        <f>IF(OR($F516="",$I516=""),"",$N516*P_Amende)</f>
        <v/>
      </c>
      <c r="P516" s="133" t="n"/>
      <c r="R516">
        <f>IF($M516="En retard",$N516+ROW()/100000,"")</f>
        <v/>
      </c>
      <c r="S516">
        <f>IF(OR($F516="",$I516=""),"",$F516+ROW()/100000)</f>
        <v/>
      </c>
      <c r="T516">
        <f>IF($I516="","",IFERROR(INDEX(LIV_Cat,MATCH($I516,LIV_Code,0)),""))</f>
        <v/>
      </c>
    </row>
    <row r="517" ht="21" customHeight="1">
      <c r="A517" s="1" t="n"/>
      <c r="B517" s="1" t="n"/>
      <c r="C517" s="2" t="n"/>
      <c r="E517" s="130">
        <f>IF($F517="","","EMP-"&amp;TEXT(ROW()-6,"0000"))</f>
        <v/>
      </c>
      <c r="F517" s="134" t="n"/>
      <c r="G517" s="127" t="n"/>
      <c r="H517" s="130">
        <f>IF($G517="","",IFERROR(INDEX(MEM_Nom,MATCH($G517,MEM_ID,0)),"⚠ ID inconnu"))</f>
        <v/>
      </c>
      <c r="I517" s="127" t="n"/>
      <c r="J517" s="130">
        <f>IF($I517="","",IFERROR(INDEX(LIV_Titre,MATCH($I517,LIV_Code,0)),"⚠ Code inconnu"))</f>
        <v/>
      </c>
      <c r="K517" s="138">
        <f>IF($F517="","",$F517+P_Duree)</f>
        <v/>
      </c>
      <c r="L517" s="134" t="n"/>
      <c r="M517" s="130">
        <f>IF(OR($F517="",$I517=""),"",IF($L517&lt;&gt;"",IF($L517&gt;$K517,"Rendu en retard","Rendu"),IF(TODAY()&gt;$K517,"En retard","En cours")))</f>
        <v/>
      </c>
      <c r="N517" s="139">
        <f>IF(OR($F517="",$I517=""),"",MAX(0,IF($L517&lt;&gt;"",$L517,TODAY())-$K517))</f>
        <v/>
      </c>
      <c r="O517" s="135">
        <f>IF(OR($F517="",$I517=""),"",$N517*P_Amende)</f>
        <v/>
      </c>
      <c r="P517" s="133" t="n"/>
      <c r="R517">
        <f>IF($M517="En retard",$N517+ROW()/100000,"")</f>
        <v/>
      </c>
      <c r="S517">
        <f>IF(OR($F517="",$I517=""),"",$F517+ROW()/100000)</f>
        <v/>
      </c>
      <c r="T517">
        <f>IF($I517="","",IFERROR(INDEX(LIV_Cat,MATCH($I517,LIV_Code,0)),""))</f>
        <v/>
      </c>
    </row>
    <row r="518" ht="21" customHeight="1">
      <c r="A518" s="1" t="n"/>
      <c r="B518" s="1" t="n"/>
      <c r="C518" s="2" t="n"/>
      <c r="E518" s="130">
        <f>IF($F518="","","EMP-"&amp;TEXT(ROW()-6,"0000"))</f>
        <v/>
      </c>
      <c r="F518" s="134" t="n"/>
      <c r="G518" s="127" t="n"/>
      <c r="H518" s="130">
        <f>IF($G518="","",IFERROR(INDEX(MEM_Nom,MATCH($G518,MEM_ID,0)),"⚠ ID inconnu"))</f>
        <v/>
      </c>
      <c r="I518" s="127" t="n"/>
      <c r="J518" s="130">
        <f>IF($I518="","",IFERROR(INDEX(LIV_Titre,MATCH($I518,LIV_Code,0)),"⚠ Code inconnu"))</f>
        <v/>
      </c>
      <c r="K518" s="138">
        <f>IF($F518="","",$F518+P_Duree)</f>
        <v/>
      </c>
      <c r="L518" s="134" t="n"/>
      <c r="M518" s="130">
        <f>IF(OR($F518="",$I518=""),"",IF($L518&lt;&gt;"",IF($L518&gt;$K518,"Rendu en retard","Rendu"),IF(TODAY()&gt;$K518,"En retard","En cours")))</f>
        <v/>
      </c>
      <c r="N518" s="139">
        <f>IF(OR($F518="",$I518=""),"",MAX(0,IF($L518&lt;&gt;"",$L518,TODAY())-$K518))</f>
        <v/>
      </c>
      <c r="O518" s="135">
        <f>IF(OR($F518="",$I518=""),"",$N518*P_Amende)</f>
        <v/>
      </c>
      <c r="P518" s="133" t="n"/>
      <c r="R518">
        <f>IF($M518="En retard",$N518+ROW()/100000,"")</f>
        <v/>
      </c>
      <c r="S518">
        <f>IF(OR($F518="",$I518=""),"",$F518+ROW()/100000)</f>
        <v/>
      </c>
      <c r="T518">
        <f>IF($I518="","",IFERROR(INDEX(LIV_Cat,MATCH($I518,LIV_Code,0)),""))</f>
        <v/>
      </c>
    </row>
    <row r="519" ht="21" customHeight="1">
      <c r="A519" s="1" t="n"/>
      <c r="B519" s="1" t="n"/>
      <c r="C519" s="2" t="n"/>
      <c r="E519" s="130">
        <f>IF($F519="","","EMP-"&amp;TEXT(ROW()-6,"0000"))</f>
        <v/>
      </c>
      <c r="F519" s="134" t="n"/>
      <c r="G519" s="127" t="n"/>
      <c r="H519" s="130">
        <f>IF($G519="","",IFERROR(INDEX(MEM_Nom,MATCH($G519,MEM_ID,0)),"⚠ ID inconnu"))</f>
        <v/>
      </c>
      <c r="I519" s="127" t="n"/>
      <c r="J519" s="130">
        <f>IF($I519="","",IFERROR(INDEX(LIV_Titre,MATCH($I519,LIV_Code,0)),"⚠ Code inconnu"))</f>
        <v/>
      </c>
      <c r="K519" s="138">
        <f>IF($F519="","",$F519+P_Duree)</f>
        <v/>
      </c>
      <c r="L519" s="134" t="n"/>
      <c r="M519" s="130">
        <f>IF(OR($F519="",$I519=""),"",IF($L519&lt;&gt;"",IF($L519&gt;$K519,"Rendu en retard","Rendu"),IF(TODAY()&gt;$K519,"En retard","En cours")))</f>
        <v/>
      </c>
      <c r="N519" s="139">
        <f>IF(OR($F519="",$I519=""),"",MAX(0,IF($L519&lt;&gt;"",$L519,TODAY())-$K519))</f>
        <v/>
      </c>
      <c r="O519" s="135">
        <f>IF(OR($F519="",$I519=""),"",$N519*P_Amende)</f>
        <v/>
      </c>
      <c r="P519" s="133" t="n"/>
      <c r="R519">
        <f>IF($M519="En retard",$N519+ROW()/100000,"")</f>
        <v/>
      </c>
      <c r="S519">
        <f>IF(OR($F519="",$I519=""),"",$F519+ROW()/100000)</f>
        <v/>
      </c>
      <c r="T519">
        <f>IF($I519="","",IFERROR(INDEX(LIV_Cat,MATCH($I519,LIV_Code,0)),""))</f>
        <v/>
      </c>
    </row>
    <row r="520" ht="21" customHeight="1">
      <c r="A520" s="1" t="n"/>
      <c r="B520" s="1" t="n"/>
      <c r="C520" s="2" t="n"/>
      <c r="E520" s="130">
        <f>IF($F520="","","EMP-"&amp;TEXT(ROW()-6,"0000"))</f>
        <v/>
      </c>
      <c r="F520" s="134" t="n"/>
      <c r="G520" s="127" t="n"/>
      <c r="H520" s="130">
        <f>IF($G520="","",IFERROR(INDEX(MEM_Nom,MATCH($G520,MEM_ID,0)),"⚠ ID inconnu"))</f>
        <v/>
      </c>
      <c r="I520" s="127" t="n"/>
      <c r="J520" s="130">
        <f>IF($I520="","",IFERROR(INDEX(LIV_Titre,MATCH($I520,LIV_Code,0)),"⚠ Code inconnu"))</f>
        <v/>
      </c>
      <c r="K520" s="138">
        <f>IF($F520="","",$F520+P_Duree)</f>
        <v/>
      </c>
      <c r="L520" s="134" t="n"/>
      <c r="M520" s="130">
        <f>IF(OR($F520="",$I520=""),"",IF($L520&lt;&gt;"",IF($L520&gt;$K520,"Rendu en retard","Rendu"),IF(TODAY()&gt;$K520,"En retard","En cours")))</f>
        <v/>
      </c>
      <c r="N520" s="139">
        <f>IF(OR($F520="",$I520=""),"",MAX(0,IF($L520&lt;&gt;"",$L520,TODAY())-$K520))</f>
        <v/>
      </c>
      <c r="O520" s="135">
        <f>IF(OR($F520="",$I520=""),"",$N520*P_Amende)</f>
        <v/>
      </c>
      <c r="P520" s="133" t="n"/>
      <c r="R520">
        <f>IF($M520="En retard",$N520+ROW()/100000,"")</f>
        <v/>
      </c>
      <c r="S520">
        <f>IF(OR($F520="",$I520=""),"",$F520+ROW()/100000)</f>
        <v/>
      </c>
      <c r="T520">
        <f>IF($I520="","",IFERROR(INDEX(LIV_Cat,MATCH($I520,LIV_Code,0)),""))</f>
        <v/>
      </c>
    </row>
    <row r="521" ht="21" customHeight="1">
      <c r="A521" s="1" t="n"/>
      <c r="B521" s="1" t="n"/>
      <c r="C521" s="2" t="n"/>
      <c r="E521" s="130">
        <f>IF($F521="","","EMP-"&amp;TEXT(ROW()-6,"0000"))</f>
        <v/>
      </c>
      <c r="F521" s="134" t="n"/>
      <c r="G521" s="127" t="n"/>
      <c r="H521" s="130">
        <f>IF($G521="","",IFERROR(INDEX(MEM_Nom,MATCH($G521,MEM_ID,0)),"⚠ ID inconnu"))</f>
        <v/>
      </c>
      <c r="I521" s="127" t="n"/>
      <c r="J521" s="130">
        <f>IF($I521="","",IFERROR(INDEX(LIV_Titre,MATCH($I521,LIV_Code,0)),"⚠ Code inconnu"))</f>
        <v/>
      </c>
      <c r="K521" s="138">
        <f>IF($F521="","",$F521+P_Duree)</f>
        <v/>
      </c>
      <c r="L521" s="134" t="n"/>
      <c r="M521" s="130">
        <f>IF(OR($F521="",$I521=""),"",IF($L521&lt;&gt;"",IF($L521&gt;$K521,"Rendu en retard","Rendu"),IF(TODAY()&gt;$K521,"En retard","En cours")))</f>
        <v/>
      </c>
      <c r="N521" s="139">
        <f>IF(OR($F521="",$I521=""),"",MAX(0,IF($L521&lt;&gt;"",$L521,TODAY())-$K521))</f>
        <v/>
      </c>
      <c r="O521" s="135">
        <f>IF(OR($F521="",$I521=""),"",$N521*P_Amende)</f>
        <v/>
      </c>
      <c r="P521" s="133" t="n"/>
      <c r="R521">
        <f>IF($M521="En retard",$N521+ROW()/100000,"")</f>
        <v/>
      </c>
      <c r="S521">
        <f>IF(OR($F521="",$I521=""),"",$F521+ROW()/100000)</f>
        <v/>
      </c>
      <c r="T521">
        <f>IF($I521="","",IFERROR(INDEX(LIV_Cat,MATCH($I521,LIV_Code,0)),""))</f>
        <v/>
      </c>
    </row>
    <row r="522" ht="21" customHeight="1">
      <c r="A522" s="1" t="n"/>
      <c r="B522" s="1" t="n"/>
      <c r="C522" s="2" t="n"/>
      <c r="E522" s="130">
        <f>IF($F522="","","EMP-"&amp;TEXT(ROW()-6,"0000"))</f>
        <v/>
      </c>
      <c r="F522" s="134" t="n"/>
      <c r="G522" s="127" t="n"/>
      <c r="H522" s="130">
        <f>IF($G522="","",IFERROR(INDEX(MEM_Nom,MATCH($G522,MEM_ID,0)),"⚠ ID inconnu"))</f>
        <v/>
      </c>
      <c r="I522" s="127" t="n"/>
      <c r="J522" s="130">
        <f>IF($I522="","",IFERROR(INDEX(LIV_Titre,MATCH($I522,LIV_Code,0)),"⚠ Code inconnu"))</f>
        <v/>
      </c>
      <c r="K522" s="138">
        <f>IF($F522="","",$F522+P_Duree)</f>
        <v/>
      </c>
      <c r="L522" s="134" t="n"/>
      <c r="M522" s="130">
        <f>IF(OR($F522="",$I522=""),"",IF($L522&lt;&gt;"",IF($L522&gt;$K522,"Rendu en retard","Rendu"),IF(TODAY()&gt;$K522,"En retard","En cours")))</f>
        <v/>
      </c>
      <c r="N522" s="139">
        <f>IF(OR($F522="",$I522=""),"",MAX(0,IF($L522&lt;&gt;"",$L522,TODAY())-$K522))</f>
        <v/>
      </c>
      <c r="O522" s="135">
        <f>IF(OR($F522="",$I522=""),"",$N522*P_Amende)</f>
        <v/>
      </c>
      <c r="P522" s="133" t="n"/>
      <c r="R522">
        <f>IF($M522="En retard",$N522+ROW()/100000,"")</f>
        <v/>
      </c>
      <c r="S522">
        <f>IF(OR($F522="",$I522=""),"",$F522+ROW()/100000)</f>
        <v/>
      </c>
      <c r="T522">
        <f>IF($I522="","",IFERROR(INDEX(LIV_Cat,MATCH($I522,LIV_Code,0)),""))</f>
        <v/>
      </c>
    </row>
    <row r="523" ht="21" customHeight="1">
      <c r="A523" s="1" t="n"/>
      <c r="B523" s="1" t="n"/>
      <c r="C523" s="2" t="n"/>
      <c r="E523" s="130">
        <f>IF($F523="","","EMP-"&amp;TEXT(ROW()-6,"0000"))</f>
        <v/>
      </c>
      <c r="F523" s="134" t="n"/>
      <c r="G523" s="127" t="n"/>
      <c r="H523" s="130">
        <f>IF($G523="","",IFERROR(INDEX(MEM_Nom,MATCH($G523,MEM_ID,0)),"⚠ ID inconnu"))</f>
        <v/>
      </c>
      <c r="I523" s="127" t="n"/>
      <c r="J523" s="130">
        <f>IF($I523="","",IFERROR(INDEX(LIV_Titre,MATCH($I523,LIV_Code,0)),"⚠ Code inconnu"))</f>
        <v/>
      </c>
      <c r="K523" s="138">
        <f>IF($F523="","",$F523+P_Duree)</f>
        <v/>
      </c>
      <c r="L523" s="134" t="n"/>
      <c r="M523" s="130">
        <f>IF(OR($F523="",$I523=""),"",IF($L523&lt;&gt;"",IF($L523&gt;$K523,"Rendu en retard","Rendu"),IF(TODAY()&gt;$K523,"En retard","En cours")))</f>
        <v/>
      </c>
      <c r="N523" s="139">
        <f>IF(OR($F523="",$I523=""),"",MAX(0,IF($L523&lt;&gt;"",$L523,TODAY())-$K523))</f>
        <v/>
      </c>
      <c r="O523" s="135">
        <f>IF(OR($F523="",$I523=""),"",$N523*P_Amende)</f>
        <v/>
      </c>
      <c r="P523" s="133" t="n"/>
      <c r="R523">
        <f>IF($M523="En retard",$N523+ROW()/100000,"")</f>
        <v/>
      </c>
      <c r="S523">
        <f>IF(OR($F523="",$I523=""),"",$F523+ROW()/100000)</f>
        <v/>
      </c>
      <c r="T523">
        <f>IF($I523="","",IFERROR(INDEX(LIV_Cat,MATCH($I523,LIV_Code,0)),""))</f>
        <v/>
      </c>
    </row>
    <row r="524" ht="21" customHeight="1">
      <c r="A524" s="1" t="n"/>
      <c r="B524" s="1" t="n"/>
      <c r="C524" s="2" t="n"/>
      <c r="E524" s="130">
        <f>IF($F524="","","EMP-"&amp;TEXT(ROW()-6,"0000"))</f>
        <v/>
      </c>
      <c r="F524" s="134" t="n"/>
      <c r="G524" s="127" t="n"/>
      <c r="H524" s="130">
        <f>IF($G524="","",IFERROR(INDEX(MEM_Nom,MATCH($G524,MEM_ID,0)),"⚠ ID inconnu"))</f>
        <v/>
      </c>
      <c r="I524" s="127" t="n"/>
      <c r="J524" s="130">
        <f>IF($I524="","",IFERROR(INDEX(LIV_Titre,MATCH($I524,LIV_Code,0)),"⚠ Code inconnu"))</f>
        <v/>
      </c>
      <c r="K524" s="138">
        <f>IF($F524="","",$F524+P_Duree)</f>
        <v/>
      </c>
      <c r="L524" s="134" t="n"/>
      <c r="M524" s="130">
        <f>IF(OR($F524="",$I524=""),"",IF($L524&lt;&gt;"",IF($L524&gt;$K524,"Rendu en retard","Rendu"),IF(TODAY()&gt;$K524,"En retard","En cours")))</f>
        <v/>
      </c>
      <c r="N524" s="139">
        <f>IF(OR($F524="",$I524=""),"",MAX(0,IF($L524&lt;&gt;"",$L524,TODAY())-$K524))</f>
        <v/>
      </c>
      <c r="O524" s="135">
        <f>IF(OR($F524="",$I524=""),"",$N524*P_Amende)</f>
        <v/>
      </c>
      <c r="P524" s="133" t="n"/>
      <c r="R524">
        <f>IF($M524="En retard",$N524+ROW()/100000,"")</f>
        <v/>
      </c>
      <c r="S524">
        <f>IF(OR($F524="",$I524=""),"",$F524+ROW()/100000)</f>
        <v/>
      </c>
      <c r="T524">
        <f>IF($I524="","",IFERROR(INDEX(LIV_Cat,MATCH($I524,LIV_Code,0)),""))</f>
        <v/>
      </c>
    </row>
    <row r="525" ht="21" customHeight="1">
      <c r="A525" s="1" t="n"/>
      <c r="B525" s="1" t="n"/>
      <c r="C525" s="2" t="n"/>
      <c r="E525" s="130">
        <f>IF($F525="","","EMP-"&amp;TEXT(ROW()-6,"0000"))</f>
        <v/>
      </c>
      <c r="F525" s="134" t="n"/>
      <c r="G525" s="127" t="n"/>
      <c r="H525" s="130">
        <f>IF($G525="","",IFERROR(INDEX(MEM_Nom,MATCH($G525,MEM_ID,0)),"⚠ ID inconnu"))</f>
        <v/>
      </c>
      <c r="I525" s="127" t="n"/>
      <c r="J525" s="130">
        <f>IF($I525="","",IFERROR(INDEX(LIV_Titre,MATCH($I525,LIV_Code,0)),"⚠ Code inconnu"))</f>
        <v/>
      </c>
      <c r="K525" s="138">
        <f>IF($F525="","",$F525+P_Duree)</f>
        <v/>
      </c>
      <c r="L525" s="134" t="n"/>
      <c r="M525" s="130">
        <f>IF(OR($F525="",$I525=""),"",IF($L525&lt;&gt;"",IF($L525&gt;$K525,"Rendu en retard","Rendu"),IF(TODAY()&gt;$K525,"En retard","En cours")))</f>
        <v/>
      </c>
      <c r="N525" s="139">
        <f>IF(OR($F525="",$I525=""),"",MAX(0,IF($L525&lt;&gt;"",$L525,TODAY())-$K525))</f>
        <v/>
      </c>
      <c r="O525" s="135">
        <f>IF(OR($F525="",$I525=""),"",$N525*P_Amende)</f>
        <v/>
      </c>
      <c r="P525" s="133" t="n"/>
      <c r="R525">
        <f>IF($M525="En retard",$N525+ROW()/100000,"")</f>
        <v/>
      </c>
      <c r="S525">
        <f>IF(OR($F525="",$I525=""),"",$F525+ROW()/100000)</f>
        <v/>
      </c>
      <c r="T525">
        <f>IF($I525="","",IFERROR(INDEX(LIV_Cat,MATCH($I525,LIV_Code,0)),""))</f>
        <v/>
      </c>
    </row>
    <row r="526" ht="21" customHeight="1">
      <c r="A526" s="1" t="n"/>
      <c r="B526" s="1" t="n"/>
      <c r="C526" s="2" t="n"/>
      <c r="E526" s="130">
        <f>IF($F526="","","EMP-"&amp;TEXT(ROW()-6,"0000"))</f>
        <v/>
      </c>
      <c r="F526" s="134" t="n"/>
      <c r="G526" s="127" t="n"/>
      <c r="H526" s="130">
        <f>IF($G526="","",IFERROR(INDEX(MEM_Nom,MATCH($G526,MEM_ID,0)),"⚠ ID inconnu"))</f>
        <v/>
      </c>
      <c r="I526" s="127" t="n"/>
      <c r="J526" s="130">
        <f>IF($I526="","",IFERROR(INDEX(LIV_Titre,MATCH($I526,LIV_Code,0)),"⚠ Code inconnu"))</f>
        <v/>
      </c>
      <c r="K526" s="138">
        <f>IF($F526="","",$F526+P_Duree)</f>
        <v/>
      </c>
      <c r="L526" s="134" t="n"/>
      <c r="M526" s="130">
        <f>IF(OR($F526="",$I526=""),"",IF($L526&lt;&gt;"",IF($L526&gt;$K526,"Rendu en retard","Rendu"),IF(TODAY()&gt;$K526,"En retard","En cours")))</f>
        <v/>
      </c>
      <c r="N526" s="139">
        <f>IF(OR($F526="",$I526=""),"",MAX(0,IF($L526&lt;&gt;"",$L526,TODAY())-$K526))</f>
        <v/>
      </c>
      <c r="O526" s="135">
        <f>IF(OR($F526="",$I526=""),"",$N526*P_Amende)</f>
        <v/>
      </c>
      <c r="P526" s="133" t="n"/>
      <c r="R526">
        <f>IF($M526="En retard",$N526+ROW()/100000,"")</f>
        <v/>
      </c>
      <c r="S526">
        <f>IF(OR($F526="",$I526=""),"",$F526+ROW()/100000)</f>
        <v/>
      </c>
      <c r="T526">
        <f>IF($I526="","",IFERROR(INDEX(LIV_Cat,MATCH($I526,LIV_Code,0)),""))</f>
        <v/>
      </c>
    </row>
    <row r="527" ht="21" customHeight="1">
      <c r="A527" s="1" t="n"/>
      <c r="B527" s="1" t="n"/>
      <c r="C527" s="2" t="n"/>
      <c r="E527" s="130">
        <f>IF($F527="","","EMP-"&amp;TEXT(ROW()-6,"0000"))</f>
        <v/>
      </c>
      <c r="F527" s="134" t="n"/>
      <c r="G527" s="127" t="n"/>
      <c r="H527" s="130">
        <f>IF($G527="","",IFERROR(INDEX(MEM_Nom,MATCH($G527,MEM_ID,0)),"⚠ ID inconnu"))</f>
        <v/>
      </c>
      <c r="I527" s="127" t="n"/>
      <c r="J527" s="130">
        <f>IF($I527="","",IFERROR(INDEX(LIV_Titre,MATCH($I527,LIV_Code,0)),"⚠ Code inconnu"))</f>
        <v/>
      </c>
      <c r="K527" s="138">
        <f>IF($F527="","",$F527+P_Duree)</f>
        <v/>
      </c>
      <c r="L527" s="134" t="n"/>
      <c r="M527" s="130">
        <f>IF(OR($F527="",$I527=""),"",IF($L527&lt;&gt;"",IF($L527&gt;$K527,"Rendu en retard","Rendu"),IF(TODAY()&gt;$K527,"En retard","En cours")))</f>
        <v/>
      </c>
      <c r="N527" s="139">
        <f>IF(OR($F527="",$I527=""),"",MAX(0,IF($L527&lt;&gt;"",$L527,TODAY())-$K527))</f>
        <v/>
      </c>
      <c r="O527" s="135">
        <f>IF(OR($F527="",$I527=""),"",$N527*P_Amende)</f>
        <v/>
      </c>
      <c r="P527" s="133" t="n"/>
      <c r="R527">
        <f>IF($M527="En retard",$N527+ROW()/100000,"")</f>
        <v/>
      </c>
      <c r="S527">
        <f>IF(OR($F527="",$I527=""),"",$F527+ROW()/100000)</f>
        <v/>
      </c>
      <c r="T527">
        <f>IF($I527="","",IFERROR(INDEX(LIV_Cat,MATCH($I527,LIV_Code,0)),""))</f>
        <v/>
      </c>
    </row>
    <row r="528" ht="21" customHeight="1">
      <c r="A528" s="1" t="n"/>
      <c r="B528" s="1" t="n"/>
      <c r="C528" s="2" t="n"/>
      <c r="E528" s="130">
        <f>IF($F528="","","EMP-"&amp;TEXT(ROW()-6,"0000"))</f>
        <v/>
      </c>
      <c r="F528" s="134" t="n"/>
      <c r="G528" s="127" t="n"/>
      <c r="H528" s="130">
        <f>IF($G528="","",IFERROR(INDEX(MEM_Nom,MATCH($G528,MEM_ID,0)),"⚠ ID inconnu"))</f>
        <v/>
      </c>
      <c r="I528" s="127" t="n"/>
      <c r="J528" s="130">
        <f>IF($I528="","",IFERROR(INDEX(LIV_Titre,MATCH($I528,LIV_Code,0)),"⚠ Code inconnu"))</f>
        <v/>
      </c>
      <c r="K528" s="138">
        <f>IF($F528="","",$F528+P_Duree)</f>
        <v/>
      </c>
      <c r="L528" s="134" t="n"/>
      <c r="M528" s="130">
        <f>IF(OR($F528="",$I528=""),"",IF($L528&lt;&gt;"",IF($L528&gt;$K528,"Rendu en retard","Rendu"),IF(TODAY()&gt;$K528,"En retard","En cours")))</f>
        <v/>
      </c>
      <c r="N528" s="139">
        <f>IF(OR($F528="",$I528=""),"",MAX(0,IF($L528&lt;&gt;"",$L528,TODAY())-$K528))</f>
        <v/>
      </c>
      <c r="O528" s="135">
        <f>IF(OR($F528="",$I528=""),"",$N528*P_Amende)</f>
        <v/>
      </c>
      <c r="P528" s="133" t="n"/>
      <c r="R528">
        <f>IF($M528="En retard",$N528+ROW()/100000,"")</f>
        <v/>
      </c>
      <c r="S528">
        <f>IF(OR($F528="",$I528=""),"",$F528+ROW()/100000)</f>
        <v/>
      </c>
      <c r="T528">
        <f>IF($I528="","",IFERROR(INDEX(LIV_Cat,MATCH($I528,LIV_Code,0)),""))</f>
        <v/>
      </c>
    </row>
    <row r="529" ht="21" customHeight="1">
      <c r="A529" s="1" t="n"/>
      <c r="B529" s="1" t="n"/>
      <c r="C529" s="2" t="n"/>
      <c r="E529" s="130">
        <f>IF($F529="","","EMP-"&amp;TEXT(ROW()-6,"0000"))</f>
        <v/>
      </c>
      <c r="F529" s="134" t="n"/>
      <c r="G529" s="127" t="n"/>
      <c r="H529" s="130">
        <f>IF($G529="","",IFERROR(INDEX(MEM_Nom,MATCH($G529,MEM_ID,0)),"⚠ ID inconnu"))</f>
        <v/>
      </c>
      <c r="I529" s="127" t="n"/>
      <c r="J529" s="130">
        <f>IF($I529="","",IFERROR(INDEX(LIV_Titre,MATCH($I529,LIV_Code,0)),"⚠ Code inconnu"))</f>
        <v/>
      </c>
      <c r="K529" s="138">
        <f>IF($F529="","",$F529+P_Duree)</f>
        <v/>
      </c>
      <c r="L529" s="134" t="n"/>
      <c r="M529" s="130">
        <f>IF(OR($F529="",$I529=""),"",IF($L529&lt;&gt;"",IF($L529&gt;$K529,"Rendu en retard","Rendu"),IF(TODAY()&gt;$K529,"En retard","En cours")))</f>
        <v/>
      </c>
      <c r="N529" s="139">
        <f>IF(OR($F529="",$I529=""),"",MAX(0,IF($L529&lt;&gt;"",$L529,TODAY())-$K529))</f>
        <v/>
      </c>
      <c r="O529" s="135">
        <f>IF(OR($F529="",$I529=""),"",$N529*P_Amende)</f>
        <v/>
      </c>
      <c r="P529" s="133" t="n"/>
      <c r="R529">
        <f>IF($M529="En retard",$N529+ROW()/100000,"")</f>
        <v/>
      </c>
      <c r="S529">
        <f>IF(OR($F529="",$I529=""),"",$F529+ROW()/100000)</f>
        <v/>
      </c>
      <c r="T529">
        <f>IF($I529="","",IFERROR(INDEX(LIV_Cat,MATCH($I529,LIV_Code,0)),""))</f>
        <v/>
      </c>
    </row>
    <row r="530" ht="21" customHeight="1">
      <c r="A530" s="1" t="n"/>
      <c r="B530" s="1" t="n"/>
      <c r="C530" s="2" t="n"/>
      <c r="E530" s="130">
        <f>IF($F530="","","EMP-"&amp;TEXT(ROW()-6,"0000"))</f>
        <v/>
      </c>
      <c r="F530" s="134" t="n"/>
      <c r="G530" s="127" t="n"/>
      <c r="H530" s="130">
        <f>IF($G530="","",IFERROR(INDEX(MEM_Nom,MATCH($G530,MEM_ID,0)),"⚠ ID inconnu"))</f>
        <v/>
      </c>
      <c r="I530" s="127" t="n"/>
      <c r="J530" s="130">
        <f>IF($I530="","",IFERROR(INDEX(LIV_Titre,MATCH($I530,LIV_Code,0)),"⚠ Code inconnu"))</f>
        <v/>
      </c>
      <c r="K530" s="138">
        <f>IF($F530="","",$F530+P_Duree)</f>
        <v/>
      </c>
      <c r="L530" s="134" t="n"/>
      <c r="M530" s="130">
        <f>IF(OR($F530="",$I530=""),"",IF($L530&lt;&gt;"",IF($L530&gt;$K530,"Rendu en retard","Rendu"),IF(TODAY()&gt;$K530,"En retard","En cours")))</f>
        <v/>
      </c>
      <c r="N530" s="139">
        <f>IF(OR($F530="",$I530=""),"",MAX(0,IF($L530&lt;&gt;"",$L530,TODAY())-$K530))</f>
        <v/>
      </c>
      <c r="O530" s="135">
        <f>IF(OR($F530="",$I530=""),"",$N530*P_Amende)</f>
        <v/>
      </c>
      <c r="P530" s="133" t="n"/>
      <c r="R530">
        <f>IF($M530="En retard",$N530+ROW()/100000,"")</f>
        <v/>
      </c>
      <c r="S530">
        <f>IF(OR($F530="",$I530=""),"",$F530+ROW()/100000)</f>
        <v/>
      </c>
      <c r="T530">
        <f>IF($I530="","",IFERROR(INDEX(LIV_Cat,MATCH($I530,LIV_Code,0)),""))</f>
        <v/>
      </c>
    </row>
    <row r="531" ht="21" customHeight="1">
      <c r="A531" s="1" t="n"/>
      <c r="B531" s="1" t="n"/>
      <c r="C531" s="2" t="n"/>
      <c r="E531" s="130">
        <f>IF($F531="","","EMP-"&amp;TEXT(ROW()-6,"0000"))</f>
        <v/>
      </c>
      <c r="F531" s="134" t="n"/>
      <c r="G531" s="127" t="n"/>
      <c r="H531" s="130">
        <f>IF($G531="","",IFERROR(INDEX(MEM_Nom,MATCH($G531,MEM_ID,0)),"⚠ ID inconnu"))</f>
        <v/>
      </c>
      <c r="I531" s="127" t="n"/>
      <c r="J531" s="130">
        <f>IF($I531="","",IFERROR(INDEX(LIV_Titre,MATCH($I531,LIV_Code,0)),"⚠ Code inconnu"))</f>
        <v/>
      </c>
      <c r="K531" s="138">
        <f>IF($F531="","",$F531+P_Duree)</f>
        <v/>
      </c>
      <c r="L531" s="134" t="n"/>
      <c r="M531" s="130">
        <f>IF(OR($F531="",$I531=""),"",IF($L531&lt;&gt;"",IF($L531&gt;$K531,"Rendu en retard","Rendu"),IF(TODAY()&gt;$K531,"En retard","En cours")))</f>
        <v/>
      </c>
      <c r="N531" s="139">
        <f>IF(OR($F531="",$I531=""),"",MAX(0,IF($L531&lt;&gt;"",$L531,TODAY())-$K531))</f>
        <v/>
      </c>
      <c r="O531" s="135">
        <f>IF(OR($F531="",$I531=""),"",$N531*P_Amende)</f>
        <v/>
      </c>
      <c r="P531" s="133" t="n"/>
      <c r="R531">
        <f>IF($M531="En retard",$N531+ROW()/100000,"")</f>
        <v/>
      </c>
      <c r="S531">
        <f>IF(OR($F531="",$I531=""),"",$F531+ROW()/100000)</f>
        <v/>
      </c>
      <c r="T531">
        <f>IF($I531="","",IFERROR(INDEX(LIV_Cat,MATCH($I531,LIV_Code,0)),""))</f>
        <v/>
      </c>
    </row>
    <row r="532" ht="21" customHeight="1">
      <c r="A532" s="1" t="n"/>
      <c r="B532" s="1" t="n"/>
      <c r="C532" s="2" t="n"/>
      <c r="E532" s="130">
        <f>IF($F532="","","EMP-"&amp;TEXT(ROW()-6,"0000"))</f>
        <v/>
      </c>
      <c r="F532" s="134" t="n"/>
      <c r="G532" s="127" t="n"/>
      <c r="H532" s="130">
        <f>IF($G532="","",IFERROR(INDEX(MEM_Nom,MATCH($G532,MEM_ID,0)),"⚠ ID inconnu"))</f>
        <v/>
      </c>
      <c r="I532" s="127" t="n"/>
      <c r="J532" s="130">
        <f>IF($I532="","",IFERROR(INDEX(LIV_Titre,MATCH($I532,LIV_Code,0)),"⚠ Code inconnu"))</f>
        <v/>
      </c>
      <c r="K532" s="138">
        <f>IF($F532="","",$F532+P_Duree)</f>
        <v/>
      </c>
      <c r="L532" s="134" t="n"/>
      <c r="M532" s="130">
        <f>IF(OR($F532="",$I532=""),"",IF($L532&lt;&gt;"",IF($L532&gt;$K532,"Rendu en retard","Rendu"),IF(TODAY()&gt;$K532,"En retard","En cours")))</f>
        <v/>
      </c>
      <c r="N532" s="139">
        <f>IF(OR($F532="",$I532=""),"",MAX(0,IF($L532&lt;&gt;"",$L532,TODAY())-$K532))</f>
        <v/>
      </c>
      <c r="O532" s="135">
        <f>IF(OR($F532="",$I532=""),"",$N532*P_Amende)</f>
        <v/>
      </c>
      <c r="P532" s="133" t="n"/>
      <c r="R532">
        <f>IF($M532="En retard",$N532+ROW()/100000,"")</f>
        <v/>
      </c>
      <c r="S532">
        <f>IF(OR($F532="",$I532=""),"",$F532+ROW()/100000)</f>
        <v/>
      </c>
      <c r="T532">
        <f>IF($I532="","",IFERROR(INDEX(LIV_Cat,MATCH($I532,LIV_Code,0)),""))</f>
        <v/>
      </c>
    </row>
    <row r="533" ht="21" customHeight="1">
      <c r="A533" s="1" t="n"/>
      <c r="B533" s="1" t="n"/>
      <c r="C533" s="2" t="n"/>
      <c r="E533" s="130">
        <f>IF($F533="","","EMP-"&amp;TEXT(ROW()-6,"0000"))</f>
        <v/>
      </c>
      <c r="F533" s="134" t="n"/>
      <c r="G533" s="127" t="n"/>
      <c r="H533" s="130">
        <f>IF($G533="","",IFERROR(INDEX(MEM_Nom,MATCH($G533,MEM_ID,0)),"⚠ ID inconnu"))</f>
        <v/>
      </c>
      <c r="I533" s="127" t="n"/>
      <c r="J533" s="130">
        <f>IF($I533="","",IFERROR(INDEX(LIV_Titre,MATCH($I533,LIV_Code,0)),"⚠ Code inconnu"))</f>
        <v/>
      </c>
      <c r="K533" s="138">
        <f>IF($F533="","",$F533+P_Duree)</f>
        <v/>
      </c>
      <c r="L533" s="134" t="n"/>
      <c r="M533" s="130">
        <f>IF(OR($F533="",$I533=""),"",IF($L533&lt;&gt;"",IF($L533&gt;$K533,"Rendu en retard","Rendu"),IF(TODAY()&gt;$K533,"En retard","En cours")))</f>
        <v/>
      </c>
      <c r="N533" s="139">
        <f>IF(OR($F533="",$I533=""),"",MAX(0,IF($L533&lt;&gt;"",$L533,TODAY())-$K533))</f>
        <v/>
      </c>
      <c r="O533" s="135">
        <f>IF(OR($F533="",$I533=""),"",$N533*P_Amende)</f>
        <v/>
      </c>
      <c r="P533" s="133" t="n"/>
      <c r="R533">
        <f>IF($M533="En retard",$N533+ROW()/100000,"")</f>
        <v/>
      </c>
      <c r="S533">
        <f>IF(OR($F533="",$I533=""),"",$F533+ROW()/100000)</f>
        <v/>
      </c>
      <c r="T533">
        <f>IF($I533="","",IFERROR(INDEX(LIV_Cat,MATCH($I533,LIV_Code,0)),""))</f>
        <v/>
      </c>
    </row>
    <row r="534" ht="21" customHeight="1">
      <c r="A534" s="1" t="n"/>
      <c r="B534" s="1" t="n"/>
      <c r="C534" s="2" t="n"/>
      <c r="E534" s="130">
        <f>IF($F534="","","EMP-"&amp;TEXT(ROW()-6,"0000"))</f>
        <v/>
      </c>
      <c r="F534" s="134" t="n"/>
      <c r="G534" s="127" t="n"/>
      <c r="H534" s="130">
        <f>IF($G534="","",IFERROR(INDEX(MEM_Nom,MATCH($G534,MEM_ID,0)),"⚠ ID inconnu"))</f>
        <v/>
      </c>
      <c r="I534" s="127" t="n"/>
      <c r="J534" s="130">
        <f>IF($I534="","",IFERROR(INDEX(LIV_Titre,MATCH($I534,LIV_Code,0)),"⚠ Code inconnu"))</f>
        <v/>
      </c>
      <c r="K534" s="138">
        <f>IF($F534="","",$F534+P_Duree)</f>
        <v/>
      </c>
      <c r="L534" s="134" t="n"/>
      <c r="M534" s="130">
        <f>IF(OR($F534="",$I534=""),"",IF($L534&lt;&gt;"",IF($L534&gt;$K534,"Rendu en retard","Rendu"),IF(TODAY()&gt;$K534,"En retard","En cours")))</f>
        <v/>
      </c>
      <c r="N534" s="139">
        <f>IF(OR($F534="",$I534=""),"",MAX(0,IF($L534&lt;&gt;"",$L534,TODAY())-$K534))</f>
        <v/>
      </c>
      <c r="O534" s="135">
        <f>IF(OR($F534="",$I534=""),"",$N534*P_Amende)</f>
        <v/>
      </c>
      <c r="P534" s="133" t="n"/>
      <c r="R534">
        <f>IF($M534="En retard",$N534+ROW()/100000,"")</f>
        <v/>
      </c>
      <c r="S534">
        <f>IF(OR($F534="",$I534=""),"",$F534+ROW()/100000)</f>
        <v/>
      </c>
      <c r="T534">
        <f>IF($I534="","",IFERROR(INDEX(LIV_Cat,MATCH($I534,LIV_Code,0)),""))</f>
        <v/>
      </c>
    </row>
    <row r="535" ht="21" customHeight="1">
      <c r="A535" s="1" t="n"/>
      <c r="B535" s="1" t="n"/>
      <c r="C535" s="2" t="n"/>
      <c r="E535" s="130">
        <f>IF($F535="","","EMP-"&amp;TEXT(ROW()-6,"0000"))</f>
        <v/>
      </c>
      <c r="F535" s="134" t="n"/>
      <c r="G535" s="127" t="n"/>
      <c r="H535" s="130">
        <f>IF($G535="","",IFERROR(INDEX(MEM_Nom,MATCH($G535,MEM_ID,0)),"⚠ ID inconnu"))</f>
        <v/>
      </c>
      <c r="I535" s="127" t="n"/>
      <c r="J535" s="130">
        <f>IF($I535="","",IFERROR(INDEX(LIV_Titre,MATCH($I535,LIV_Code,0)),"⚠ Code inconnu"))</f>
        <v/>
      </c>
      <c r="K535" s="138">
        <f>IF($F535="","",$F535+P_Duree)</f>
        <v/>
      </c>
      <c r="L535" s="134" t="n"/>
      <c r="M535" s="130">
        <f>IF(OR($F535="",$I535=""),"",IF($L535&lt;&gt;"",IF($L535&gt;$K535,"Rendu en retard","Rendu"),IF(TODAY()&gt;$K535,"En retard","En cours")))</f>
        <v/>
      </c>
      <c r="N535" s="139">
        <f>IF(OR($F535="",$I535=""),"",MAX(0,IF($L535&lt;&gt;"",$L535,TODAY())-$K535))</f>
        <v/>
      </c>
      <c r="O535" s="135">
        <f>IF(OR($F535="",$I535=""),"",$N535*P_Amende)</f>
        <v/>
      </c>
      <c r="P535" s="133" t="n"/>
      <c r="R535">
        <f>IF($M535="En retard",$N535+ROW()/100000,"")</f>
        <v/>
      </c>
      <c r="S535">
        <f>IF(OR($F535="",$I535=""),"",$F535+ROW()/100000)</f>
        <v/>
      </c>
      <c r="T535">
        <f>IF($I535="","",IFERROR(INDEX(LIV_Cat,MATCH($I535,LIV_Code,0)),""))</f>
        <v/>
      </c>
    </row>
    <row r="536" ht="21" customHeight="1">
      <c r="A536" s="1" t="n"/>
      <c r="B536" s="1" t="n"/>
      <c r="C536" s="2" t="n"/>
      <c r="E536" s="130">
        <f>IF($F536="","","EMP-"&amp;TEXT(ROW()-6,"0000"))</f>
        <v/>
      </c>
      <c r="F536" s="134" t="n"/>
      <c r="G536" s="127" t="n"/>
      <c r="H536" s="130">
        <f>IF($G536="","",IFERROR(INDEX(MEM_Nom,MATCH($G536,MEM_ID,0)),"⚠ ID inconnu"))</f>
        <v/>
      </c>
      <c r="I536" s="127" t="n"/>
      <c r="J536" s="130">
        <f>IF($I536="","",IFERROR(INDEX(LIV_Titre,MATCH($I536,LIV_Code,0)),"⚠ Code inconnu"))</f>
        <v/>
      </c>
      <c r="K536" s="138">
        <f>IF($F536="","",$F536+P_Duree)</f>
        <v/>
      </c>
      <c r="L536" s="134" t="n"/>
      <c r="M536" s="130">
        <f>IF(OR($F536="",$I536=""),"",IF($L536&lt;&gt;"",IF($L536&gt;$K536,"Rendu en retard","Rendu"),IF(TODAY()&gt;$K536,"En retard","En cours")))</f>
        <v/>
      </c>
      <c r="N536" s="139">
        <f>IF(OR($F536="",$I536=""),"",MAX(0,IF($L536&lt;&gt;"",$L536,TODAY())-$K536))</f>
        <v/>
      </c>
      <c r="O536" s="135">
        <f>IF(OR($F536="",$I536=""),"",$N536*P_Amende)</f>
        <v/>
      </c>
      <c r="P536" s="133" t="n"/>
      <c r="R536">
        <f>IF($M536="En retard",$N536+ROW()/100000,"")</f>
        <v/>
      </c>
      <c r="S536">
        <f>IF(OR($F536="",$I536=""),"",$F536+ROW()/100000)</f>
        <v/>
      </c>
      <c r="T536">
        <f>IF($I536="","",IFERROR(INDEX(LIV_Cat,MATCH($I536,LIV_Code,0)),""))</f>
        <v/>
      </c>
    </row>
    <row r="537" ht="21" customHeight="1">
      <c r="A537" s="1" t="n"/>
      <c r="B537" s="1" t="n"/>
      <c r="C537" s="2" t="n"/>
      <c r="E537" s="130">
        <f>IF($F537="","","EMP-"&amp;TEXT(ROW()-6,"0000"))</f>
        <v/>
      </c>
      <c r="F537" s="134" t="n"/>
      <c r="G537" s="127" t="n"/>
      <c r="H537" s="130">
        <f>IF($G537="","",IFERROR(INDEX(MEM_Nom,MATCH($G537,MEM_ID,0)),"⚠ ID inconnu"))</f>
        <v/>
      </c>
      <c r="I537" s="127" t="n"/>
      <c r="J537" s="130">
        <f>IF($I537="","",IFERROR(INDEX(LIV_Titre,MATCH($I537,LIV_Code,0)),"⚠ Code inconnu"))</f>
        <v/>
      </c>
      <c r="K537" s="138">
        <f>IF($F537="","",$F537+P_Duree)</f>
        <v/>
      </c>
      <c r="L537" s="134" t="n"/>
      <c r="M537" s="130">
        <f>IF(OR($F537="",$I537=""),"",IF($L537&lt;&gt;"",IF($L537&gt;$K537,"Rendu en retard","Rendu"),IF(TODAY()&gt;$K537,"En retard","En cours")))</f>
        <v/>
      </c>
      <c r="N537" s="139">
        <f>IF(OR($F537="",$I537=""),"",MAX(0,IF($L537&lt;&gt;"",$L537,TODAY())-$K537))</f>
        <v/>
      </c>
      <c r="O537" s="135">
        <f>IF(OR($F537="",$I537=""),"",$N537*P_Amende)</f>
        <v/>
      </c>
      <c r="P537" s="133" t="n"/>
      <c r="R537">
        <f>IF($M537="En retard",$N537+ROW()/100000,"")</f>
        <v/>
      </c>
      <c r="S537">
        <f>IF(OR($F537="",$I537=""),"",$F537+ROW()/100000)</f>
        <v/>
      </c>
      <c r="T537">
        <f>IF($I537="","",IFERROR(INDEX(LIV_Cat,MATCH($I537,LIV_Code,0)),""))</f>
        <v/>
      </c>
    </row>
    <row r="538" ht="21" customHeight="1">
      <c r="A538" s="1" t="n"/>
      <c r="B538" s="1" t="n"/>
      <c r="C538" s="2" t="n"/>
      <c r="E538" s="130">
        <f>IF($F538="","","EMP-"&amp;TEXT(ROW()-6,"0000"))</f>
        <v/>
      </c>
      <c r="F538" s="134" t="n"/>
      <c r="G538" s="127" t="n"/>
      <c r="H538" s="130">
        <f>IF($G538="","",IFERROR(INDEX(MEM_Nom,MATCH($G538,MEM_ID,0)),"⚠ ID inconnu"))</f>
        <v/>
      </c>
      <c r="I538" s="127" t="n"/>
      <c r="J538" s="130">
        <f>IF($I538="","",IFERROR(INDEX(LIV_Titre,MATCH($I538,LIV_Code,0)),"⚠ Code inconnu"))</f>
        <v/>
      </c>
      <c r="K538" s="138">
        <f>IF($F538="","",$F538+P_Duree)</f>
        <v/>
      </c>
      <c r="L538" s="134" t="n"/>
      <c r="M538" s="130">
        <f>IF(OR($F538="",$I538=""),"",IF($L538&lt;&gt;"",IF($L538&gt;$K538,"Rendu en retard","Rendu"),IF(TODAY()&gt;$K538,"En retard","En cours")))</f>
        <v/>
      </c>
      <c r="N538" s="139">
        <f>IF(OR($F538="",$I538=""),"",MAX(0,IF($L538&lt;&gt;"",$L538,TODAY())-$K538))</f>
        <v/>
      </c>
      <c r="O538" s="135">
        <f>IF(OR($F538="",$I538=""),"",$N538*P_Amende)</f>
        <v/>
      </c>
      <c r="P538" s="133" t="n"/>
      <c r="R538">
        <f>IF($M538="En retard",$N538+ROW()/100000,"")</f>
        <v/>
      </c>
      <c r="S538">
        <f>IF(OR($F538="",$I538=""),"",$F538+ROW()/100000)</f>
        <v/>
      </c>
      <c r="T538">
        <f>IF($I538="","",IFERROR(INDEX(LIV_Cat,MATCH($I538,LIV_Code,0)),""))</f>
        <v/>
      </c>
    </row>
    <row r="539" ht="21" customHeight="1">
      <c r="A539" s="1" t="n"/>
      <c r="B539" s="1" t="n"/>
      <c r="C539" s="2" t="n"/>
      <c r="E539" s="130">
        <f>IF($F539="","","EMP-"&amp;TEXT(ROW()-6,"0000"))</f>
        <v/>
      </c>
      <c r="F539" s="134" t="n"/>
      <c r="G539" s="127" t="n"/>
      <c r="H539" s="130">
        <f>IF($G539="","",IFERROR(INDEX(MEM_Nom,MATCH($G539,MEM_ID,0)),"⚠ ID inconnu"))</f>
        <v/>
      </c>
      <c r="I539" s="127" t="n"/>
      <c r="J539" s="130">
        <f>IF($I539="","",IFERROR(INDEX(LIV_Titre,MATCH($I539,LIV_Code,0)),"⚠ Code inconnu"))</f>
        <v/>
      </c>
      <c r="K539" s="138">
        <f>IF($F539="","",$F539+P_Duree)</f>
        <v/>
      </c>
      <c r="L539" s="134" t="n"/>
      <c r="M539" s="130">
        <f>IF(OR($F539="",$I539=""),"",IF($L539&lt;&gt;"",IF($L539&gt;$K539,"Rendu en retard","Rendu"),IF(TODAY()&gt;$K539,"En retard","En cours")))</f>
        <v/>
      </c>
      <c r="N539" s="139">
        <f>IF(OR($F539="",$I539=""),"",MAX(0,IF($L539&lt;&gt;"",$L539,TODAY())-$K539))</f>
        <v/>
      </c>
      <c r="O539" s="135">
        <f>IF(OR($F539="",$I539=""),"",$N539*P_Amende)</f>
        <v/>
      </c>
      <c r="P539" s="133" t="n"/>
      <c r="R539">
        <f>IF($M539="En retard",$N539+ROW()/100000,"")</f>
        <v/>
      </c>
      <c r="S539">
        <f>IF(OR($F539="",$I539=""),"",$F539+ROW()/100000)</f>
        <v/>
      </c>
      <c r="T539">
        <f>IF($I539="","",IFERROR(INDEX(LIV_Cat,MATCH($I539,LIV_Code,0)),""))</f>
        <v/>
      </c>
    </row>
    <row r="540" ht="21" customHeight="1">
      <c r="A540" s="1" t="n"/>
      <c r="B540" s="1" t="n"/>
      <c r="C540" s="2" t="n"/>
      <c r="E540" s="130">
        <f>IF($F540="","","EMP-"&amp;TEXT(ROW()-6,"0000"))</f>
        <v/>
      </c>
      <c r="F540" s="134" t="n"/>
      <c r="G540" s="127" t="n"/>
      <c r="H540" s="130">
        <f>IF($G540="","",IFERROR(INDEX(MEM_Nom,MATCH($G540,MEM_ID,0)),"⚠ ID inconnu"))</f>
        <v/>
      </c>
      <c r="I540" s="127" t="n"/>
      <c r="J540" s="130">
        <f>IF($I540="","",IFERROR(INDEX(LIV_Titre,MATCH($I540,LIV_Code,0)),"⚠ Code inconnu"))</f>
        <v/>
      </c>
      <c r="K540" s="138">
        <f>IF($F540="","",$F540+P_Duree)</f>
        <v/>
      </c>
      <c r="L540" s="134" t="n"/>
      <c r="M540" s="130">
        <f>IF(OR($F540="",$I540=""),"",IF($L540&lt;&gt;"",IF($L540&gt;$K540,"Rendu en retard","Rendu"),IF(TODAY()&gt;$K540,"En retard","En cours")))</f>
        <v/>
      </c>
      <c r="N540" s="139">
        <f>IF(OR($F540="",$I540=""),"",MAX(0,IF($L540&lt;&gt;"",$L540,TODAY())-$K540))</f>
        <v/>
      </c>
      <c r="O540" s="135">
        <f>IF(OR($F540="",$I540=""),"",$N540*P_Amende)</f>
        <v/>
      </c>
      <c r="P540" s="133" t="n"/>
      <c r="R540">
        <f>IF($M540="En retard",$N540+ROW()/100000,"")</f>
        <v/>
      </c>
      <c r="S540">
        <f>IF(OR($F540="",$I540=""),"",$F540+ROW()/100000)</f>
        <v/>
      </c>
      <c r="T540">
        <f>IF($I540="","",IFERROR(INDEX(LIV_Cat,MATCH($I540,LIV_Code,0)),""))</f>
        <v/>
      </c>
    </row>
    <row r="541" ht="21" customHeight="1">
      <c r="A541" s="1" t="n"/>
      <c r="B541" s="1" t="n"/>
      <c r="C541" s="2" t="n"/>
      <c r="E541" s="130">
        <f>IF($F541="","","EMP-"&amp;TEXT(ROW()-6,"0000"))</f>
        <v/>
      </c>
      <c r="F541" s="134" t="n"/>
      <c r="G541" s="127" t="n"/>
      <c r="H541" s="130">
        <f>IF($G541="","",IFERROR(INDEX(MEM_Nom,MATCH($G541,MEM_ID,0)),"⚠ ID inconnu"))</f>
        <v/>
      </c>
      <c r="I541" s="127" t="n"/>
      <c r="J541" s="130">
        <f>IF($I541="","",IFERROR(INDEX(LIV_Titre,MATCH($I541,LIV_Code,0)),"⚠ Code inconnu"))</f>
        <v/>
      </c>
      <c r="K541" s="138">
        <f>IF($F541="","",$F541+P_Duree)</f>
        <v/>
      </c>
      <c r="L541" s="134" t="n"/>
      <c r="M541" s="130">
        <f>IF(OR($F541="",$I541=""),"",IF($L541&lt;&gt;"",IF($L541&gt;$K541,"Rendu en retard","Rendu"),IF(TODAY()&gt;$K541,"En retard","En cours")))</f>
        <v/>
      </c>
      <c r="N541" s="139">
        <f>IF(OR($F541="",$I541=""),"",MAX(0,IF($L541&lt;&gt;"",$L541,TODAY())-$K541))</f>
        <v/>
      </c>
      <c r="O541" s="135">
        <f>IF(OR($F541="",$I541=""),"",$N541*P_Amende)</f>
        <v/>
      </c>
      <c r="P541" s="133" t="n"/>
      <c r="R541">
        <f>IF($M541="En retard",$N541+ROW()/100000,"")</f>
        <v/>
      </c>
      <c r="S541">
        <f>IF(OR($F541="",$I541=""),"",$F541+ROW()/100000)</f>
        <v/>
      </c>
      <c r="T541">
        <f>IF($I541="","",IFERROR(INDEX(LIV_Cat,MATCH($I541,LIV_Code,0)),""))</f>
        <v/>
      </c>
    </row>
    <row r="542" ht="21" customHeight="1">
      <c r="A542" s="1" t="n"/>
      <c r="B542" s="1" t="n"/>
      <c r="C542" s="2" t="n"/>
      <c r="E542" s="130">
        <f>IF($F542="","","EMP-"&amp;TEXT(ROW()-6,"0000"))</f>
        <v/>
      </c>
      <c r="F542" s="134" t="n"/>
      <c r="G542" s="127" t="n"/>
      <c r="H542" s="130">
        <f>IF($G542="","",IFERROR(INDEX(MEM_Nom,MATCH($G542,MEM_ID,0)),"⚠ ID inconnu"))</f>
        <v/>
      </c>
      <c r="I542" s="127" t="n"/>
      <c r="J542" s="130">
        <f>IF($I542="","",IFERROR(INDEX(LIV_Titre,MATCH($I542,LIV_Code,0)),"⚠ Code inconnu"))</f>
        <v/>
      </c>
      <c r="K542" s="138">
        <f>IF($F542="","",$F542+P_Duree)</f>
        <v/>
      </c>
      <c r="L542" s="134" t="n"/>
      <c r="M542" s="130">
        <f>IF(OR($F542="",$I542=""),"",IF($L542&lt;&gt;"",IF($L542&gt;$K542,"Rendu en retard","Rendu"),IF(TODAY()&gt;$K542,"En retard","En cours")))</f>
        <v/>
      </c>
      <c r="N542" s="139">
        <f>IF(OR($F542="",$I542=""),"",MAX(0,IF($L542&lt;&gt;"",$L542,TODAY())-$K542))</f>
        <v/>
      </c>
      <c r="O542" s="135">
        <f>IF(OR($F542="",$I542=""),"",$N542*P_Amende)</f>
        <v/>
      </c>
      <c r="P542" s="133" t="n"/>
      <c r="R542">
        <f>IF($M542="En retard",$N542+ROW()/100000,"")</f>
        <v/>
      </c>
      <c r="S542">
        <f>IF(OR($F542="",$I542=""),"",$F542+ROW()/100000)</f>
        <v/>
      </c>
      <c r="T542">
        <f>IF($I542="","",IFERROR(INDEX(LIV_Cat,MATCH($I542,LIV_Code,0)),""))</f>
        <v/>
      </c>
    </row>
    <row r="543" ht="21" customHeight="1">
      <c r="A543" s="1" t="n"/>
      <c r="B543" s="1" t="n"/>
      <c r="C543" s="2" t="n"/>
      <c r="E543" s="130">
        <f>IF($F543="","","EMP-"&amp;TEXT(ROW()-6,"0000"))</f>
        <v/>
      </c>
      <c r="F543" s="134" t="n"/>
      <c r="G543" s="127" t="n"/>
      <c r="H543" s="130">
        <f>IF($G543="","",IFERROR(INDEX(MEM_Nom,MATCH($G543,MEM_ID,0)),"⚠ ID inconnu"))</f>
        <v/>
      </c>
      <c r="I543" s="127" t="n"/>
      <c r="J543" s="130">
        <f>IF($I543="","",IFERROR(INDEX(LIV_Titre,MATCH($I543,LIV_Code,0)),"⚠ Code inconnu"))</f>
        <v/>
      </c>
      <c r="K543" s="138">
        <f>IF($F543="","",$F543+P_Duree)</f>
        <v/>
      </c>
      <c r="L543" s="134" t="n"/>
      <c r="M543" s="130">
        <f>IF(OR($F543="",$I543=""),"",IF($L543&lt;&gt;"",IF($L543&gt;$K543,"Rendu en retard","Rendu"),IF(TODAY()&gt;$K543,"En retard","En cours")))</f>
        <v/>
      </c>
      <c r="N543" s="139">
        <f>IF(OR($F543="",$I543=""),"",MAX(0,IF($L543&lt;&gt;"",$L543,TODAY())-$K543))</f>
        <v/>
      </c>
      <c r="O543" s="135">
        <f>IF(OR($F543="",$I543=""),"",$N543*P_Amende)</f>
        <v/>
      </c>
      <c r="P543" s="133" t="n"/>
      <c r="R543">
        <f>IF($M543="En retard",$N543+ROW()/100000,"")</f>
        <v/>
      </c>
      <c r="S543">
        <f>IF(OR($F543="",$I543=""),"",$F543+ROW()/100000)</f>
        <v/>
      </c>
      <c r="T543">
        <f>IF($I543="","",IFERROR(INDEX(LIV_Cat,MATCH($I543,LIV_Code,0)),""))</f>
        <v/>
      </c>
    </row>
    <row r="544" ht="21" customHeight="1">
      <c r="A544" s="1" t="n"/>
      <c r="B544" s="1" t="n"/>
      <c r="C544" s="2" t="n"/>
      <c r="E544" s="130">
        <f>IF($F544="","","EMP-"&amp;TEXT(ROW()-6,"0000"))</f>
        <v/>
      </c>
      <c r="F544" s="134" t="n"/>
      <c r="G544" s="127" t="n"/>
      <c r="H544" s="130">
        <f>IF($G544="","",IFERROR(INDEX(MEM_Nom,MATCH($G544,MEM_ID,0)),"⚠ ID inconnu"))</f>
        <v/>
      </c>
      <c r="I544" s="127" t="n"/>
      <c r="J544" s="130">
        <f>IF($I544="","",IFERROR(INDEX(LIV_Titre,MATCH($I544,LIV_Code,0)),"⚠ Code inconnu"))</f>
        <v/>
      </c>
      <c r="K544" s="138">
        <f>IF($F544="","",$F544+P_Duree)</f>
        <v/>
      </c>
      <c r="L544" s="134" t="n"/>
      <c r="M544" s="130">
        <f>IF(OR($F544="",$I544=""),"",IF($L544&lt;&gt;"",IF($L544&gt;$K544,"Rendu en retard","Rendu"),IF(TODAY()&gt;$K544,"En retard","En cours")))</f>
        <v/>
      </c>
      <c r="N544" s="139">
        <f>IF(OR($F544="",$I544=""),"",MAX(0,IF($L544&lt;&gt;"",$L544,TODAY())-$K544))</f>
        <v/>
      </c>
      <c r="O544" s="135">
        <f>IF(OR($F544="",$I544=""),"",$N544*P_Amende)</f>
        <v/>
      </c>
      <c r="P544" s="133" t="n"/>
      <c r="R544">
        <f>IF($M544="En retard",$N544+ROW()/100000,"")</f>
        <v/>
      </c>
      <c r="S544">
        <f>IF(OR($F544="",$I544=""),"",$F544+ROW()/100000)</f>
        <v/>
      </c>
      <c r="T544">
        <f>IF($I544="","",IFERROR(INDEX(LIV_Cat,MATCH($I544,LIV_Code,0)),""))</f>
        <v/>
      </c>
    </row>
    <row r="545" ht="21" customHeight="1">
      <c r="A545" s="1" t="n"/>
      <c r="B545" s="1" t="n"/>
      <c r="C545" s="2" t="n"/>
      <c r="E545" s="130">
        <f>IF($F545="","","EMP-"&amp;TEXT(ROW()-6,"0000"))</f>
        <v/>
      </c>
      <c r="F545" s="134" t="n"/>
      <c r="G545" s="127" t="n"/>
      <c r="H545" s="130">
        <f>IF($G545="","",IFERROR(INDEX(MEM_Nom,MATCH($G545,MEM_ID,0)),"⚠ ID inconnu"))</f>
        <v/>
      </c>
      <c r="I545" s="127" t="n"/>
      <c r="J545" s="130">
        <f>IF($I545="","",IFERROR(INDEX(LIV_Titre,MATCH($I545,LIV_Code,0)),"⚠ Code inconnu"))</f>
        <v/>
      </c>
      <c r="K545" s="138">
        <f>IF($F545="","",$F545+P_Duree)</f>
        <v/>
      </c>
      <c r="L545" s="134" t="n"/>
      <c r="M545" s="130">
        <f>IF(OR($F545="",$I545=""),"",IF($L545&lt;&gt;"",IF($L545&gt;$K545,"Rendu en retard","Rendu"),IF(TODAY()&gt;$K545,"En retard","En cours")))</f>
        <v/>
      </c>
      <c r="N545" s="139">
        <f>IF(OR($F545="",$I545=""),"",MAX(0,IF($L545&lt;&gt;"",$L545,TODAY())-$K545))</f>
        <v/>
      </c>
      <c r="O545" s="135">
        <f>IF(OR($F545="",$I545=""),"",$N545*P_Amende)</f>
        <v/>
      </c>
      <c r="P545" s="133" t="n"/>
      <c r="R545">
        <f>IF($M545="En retard",$N545+ROW()/100000,"")</f>
        <v/>
      </c>
      <c r="S545">
        <f>IF(OR($F545="",$I545=""),"",$F545+ROW()/100000)</f>
        <v/>
      </c>
      <c r="T545">
        <f>IF($I545="","",IFERROR(INDEX(LIV_Cat,MATCH($I545,LIV_Code,0)),""))</f>
        <v/>
      </c>
    </row>
    <row r="546" ht="21" customHeight="1">
      <c r="A546" s="1" t="n"/>
      <c r="B546" s="1" t="n"/>
      <c r="C546" s="2" t="n"/>
      <c r="E546" s="130">
        <f>IF($F546="","","EMP-"&amp;TEXT(ROW()-6,"0000"))</f>
        <v/>
      </c>
      <c r="F546" s="134" t="n"/>
      <c r="G546" s="127" t="n"/>
      <c r="H546" s="130">
        <f>IF($G546="","",IFERROR(INDEX(MEM_Nom,MATCH($G546,MEM_ID,0)),"⚠ ID inconnu"))</f>
        <v/>
      </c>
      <c r="I546" s="127" t="n"/>
      <c r="J546" s="130">
        <f>IF($I546="","",IFERROR(INDEX(LIV_Titre,MATCH($I546,LIV_Code,0)),"⚠ Code inconnu"))</f>
        <v/>
      </c>
      <c r="K546" s="138">
        <f>IF($F546="","",$F546+P_Duree)</f>
        <v/>
      </c>
      <c r="L546" s="134" t="n"/>
      <c r="M546" s="130">
        <f>IF(OR($F546="",$I546=""),"",IF($L546&lt;&gt;"",IF($L546&gt;$K546,"Rendu en retard","Rendu"),IF(TODAY()&gt;$K546,"En retard","En cours")))</f>
        <v/>
      </c>
      <c r="N546" s="139">
        <f>IF(OR($F546="",$I546=""),"",MAX(0,IF($L546&lt;&gt;"",$L546,TODAY())-$K546))</f>
        <v/>
      </c>
      <c r="O546" s="135">
        <f>IF(OR($F546="",$I546=""),"",$N546*P_Amende)</f>
        <v/>
      </c>
      <c r="P546" s="133" t="n"/>
      <c r="R546">
        <f>IF($M546="En retard",$N546+ROW()/100000,"")</f>
        <v/>
      </c>
      <c r="S546">
        <f>IF(OR($F546="",$I546=""),"",$F546+ROW()/100000)</f>
        <v/>
      </c>
      <c r="T546">
        <f>IF($I546="","",IFERROR(INDEX(LIV_Cat,MATCH($I546,LIV_Code,0)),""))</f>
        <v/>
      </c>
    </row>
    <row r="547" ht="21" customHeight="1">
      <c r="A547" s="1" t="n"/>
      <c r="B547" s="1" t="n"/>
      <c r="C547" s="2" t="n"/>
      <c r="E547" s="130">
        <f>IF($F547="","","EMP-"&amp;TEXT(ROW()-6,"0000"))</f>
        <v/>
      </c>
      <c r="F547" s="134" t="n"/>
      <c r="G547" s="127" t="n"/>
      <c r="H547" s="130">
        <f>IF($G547="","",IFERROR(INDEX(MEM_Nom,MATCH($G547,MEM_ID,0)),"⚠ ID inconnu"))</f>
        <v/>
      </c>
      <c r="I547" s="127" t="n"/>
      <c r="J547" s="130">
        <f>IF($I547="","",IFERROR(INDEX(LIV_Titre,MATCH($I547,LIV_Code,0)),"⚠ Code inconnu"))</f>
        <v/>
      </c>
      <c r="K547" s="138">
        <f>IF($F547="","",$F547+P_Duree)</f>
        <v/>
      </c>
      <c r="L547" s="134" t="n"/>
      <c r="M547" s="130">
        <f>IF(OR($F547="",$I547=""),"",IF($L547&lt;&gt;"",IF($L547&gt;$K547,"Rendu en retard","Rendu"),IF(TODAY()&gt;$K547,"En retard","En cours")))</f>
        <v/>
      </c>
      <c r="N547" s="139">
        <f>IF(OR($F547="",$I547=""),"",MAX(0,IF($L547&lt;&gt;"",$L547,TODAY())-$K547))</f>
        <v/>
      </c>
      <c r="O547" s="135">
        <f>IF(OR($F547="",$I547=""),"",$N547*P_Amende)</f>
        <v/>
      </c>
      <c r="P547" s="133" t="n"/>
      <c r="R547">
        <f>IF($M547="En retard",$N547+ROW()/100000,"")</f>
        <v/>
      </c>
      <c r="S547">
        <f>IF(OR($F547="",$I547=""),"",$F547+ROW()/100000)</f>
        <v/>
      </c>
      <c r="T547">
        <f>IF($I547="","",IFERROR(INDEX(LIV_Cat,MATCH($I547,LIV_Code,0)),""))</f>
        <v/>
      </c>
    </row>
    <row r="548" ht="21" customHeight="1">
      <c r="A548" s="1" t="n"/>
      <c r="B548" s="1" t="n"/>
      <c r="C548" s="2" t="n"/>
      <c r="E548" s="130">
        <f>IF($F548="","","EMP-"&amp;TEXT(ROW()-6,"0000"))</f>
        <v/>
      </c>
      <c r="F548" s="134" t="n"/>
      <c r="G548" s="127" t="n"/>
      <c r="H548" s="130">
        <f>IF($G548="","",IFERROR(INDEX(MEM_Nom,MATCH($G548,MEM_ID,0)),"⚠ ID inconnu"))</f>
        <v/>
      </c>
      <c r="I548" s="127" t="n"/>
      <c r="J548" s="130">
        <f>IF($I548="","",IFERROR(INDEX(LIV_Titre,MATCH($I548,LIV_Code,0)),"⚠ Code inconnu"))</f>
        <v/>
      </c>
      <c r="K548" s="138">
        <f>IF($F548="","",$F548+P_Duree)</f>
        <v/>
      </c>
      <c r="L548" s="134" t="n"/>
      <c r="M548" s="130">
        <f>IF(OR($F548="",$I548=""),"",IF($L548&lt;&gt;"",IF($L548&gt;$K548,"Rendu en retard","Rendu"),IF(TODAY()&gt;$K548,"En retard","En cours")))</f>
        <v/>
      </c>
      <c r="N548" s="139">
        <f>IF(OR($F548="",$I548=""),"",MAX(0,IF($L548&lt;&gt;"",$L548,TODAY())-$K548))</f>
        <v/>
      </c>
      <c r="O548" s="135">
        <f>IF(OR($F548="",$I548=""),"",$N548*P_Amende)</f>
        <v/>
      </c>
      <c r="P548" s="133" t="n"/>
      <c r="R548">
        <f>IF($M548="En retard",$N548+ROW()/100000,"")</f>
        <v/>
      </c>
      <c r="S548">
        <f>IF(OR($F548="",$I548=""),"",$F548+ROW()/100000)</f>
        <v/>
      </c>
      <c r="T548">
        <f>IF($I548="","",IFERROR(INDEX(LIV_Cat,MATCH($I548,LIV_Code,0)),""))</f>
        <v/>
      </c>
    </row>
    <row r="549" ht="21" customHeight="1">
      <c r="A549" s="1" t="n"/>
      <c r="B549" s="1" t="n"/>
      <c r="C549" s="2" t="n"/>
      <c r="E549" s="130">
        <f>IF($F549="","","EMP-"&amp;TEXT(ROW()-6,"0000"))</f>
        <v/>
      </c>
      <c r="F549" s="134" t="n"/>
      <c r="G549" s="127" t="n"/>
      <c r="H549" s="130">
        <f>IF($G549="","",IFERROR(INDEX(MEM_Nom,MATCH($G549,MEM_ID,0)),"⚠ ID inconnu"))</f>
        <v/>
      </c>
      <c r="I549" s="127" t="n"/>
      <c r="J549" s="130">
        <f>IF($I549="","",IFERROR(INDEX(LIV_Titre,MATCH($I549,LIV_Code,0)),"⚠ Code inconnu"))</f>
        <v/>
      </c>
      <c r="K549" s="138">
        <f>IF($F549="","",$F549+P_Duree)</f>
        <v/>
      </c>
      <c r="L549" s="134" t="n"/>
      <c r="M549" s="130">
        <f>IF(OR($F549="",$I549=""),"",IF($L549&lt;&gt;"",IF($L549&gt;$K549,"Rendu en retard","Rendu"),IF(TODAY()&gt;$K549,"En retard","En cours")))</f>
        <v/>
      </c>
      <c r="N549" s="139">
        <f>IF(OR($F549="",$I549=""),"",MAX(0,IF($L549&lt;&gt;"",$L549,TODAY())-$K549))</f>
        <v/>
      </c>
      <c r="O549" s="135">
        <f>IF(OR($F549="",$I549=""),"",$N549*P_Amende)</f>
        <v/>
      </c>
      <c r="P549" s="133" t="n"/>
      <c r="R549">
        <f>IF($M549="En retard",$N549+ROW()/100000,"")</f>
        <v/>
      </c>
      <c r="S549">
        <f>IF(OR($F549="",$I549=""),"",$F549+ROW()/100000)</f>
        <v/>
      </c>
      <c r="T549">
        <f>IF($I549="","",IFERROR(INDEX(LIV_Cat,MATCH($I549,LIV_Code,0)),""))</f>
        <v/>
      </c>
    </row>
    <row r="550" ht="21" customHeight="1">
      <c r="A550" s="1" t="n"/>
      <c r="B550" s="1" t="n"/>
      <c r="C550" s="2" t="n"/>
      <c r="E550" s="130">
        <f>IF($F550="","","EMP-"&amp;TEXT(ROW()-6,"0000"))</f>
        <v/>
      </c>
      <c r="F550" s="134" t="n"/>
      <c r="G550" s="127" t="n"/>
      <c r="H550" s="130">
        <f>IF($G550="","",IFERROR(INDEX(MEM_Nom,MATCH($G550,MEM_ID,0)),"⚠ ID inconnu"))</f>
        <v/>
      </c>
      <c r="I550" s="127" t="n"/>
      <c r="J550" s="130">
        <f>IF($I550="","",IFERROR(INDEX(LIV_Titre,MATCH($I550,LIV_Code,0)),"⚠ Code inconnu"))</f>
        <v/>
      </c>
      <c r="K550" s="138">
        <f>IF($F550="","",$F550+P_Duree)</f>
        <v/>
      </c>
      <c r="L550" s="134" t="n"/>
      <c r="M550" s="130">
        <f>IF(OR($F550="",$I550=""),"",IF($L550&lt;&gt;"",IF($L550&gt;$K550,"Rendu en retard","Rendu"),IF(TODAY()&gt;$K550,"En retard","En cours")))</f>
        <v/>
      </c>
      <c r="N550" s="139">
        <f>IF(OR($F550="",$I550=""),"",MAX(0,IF($L550&lt;&gt;"",$L550,TODAY())-$K550))</f>
        <v/>
      </c>
      <c r="O550" s="135">
        <f>IF(OR($F550="",$I550=""),"",$N550*P_Amende)</f>
        <v/>
      </c>
      <c r="P550" s="133" t="n"/>
      <c r="R550">
        <f>IF($M550="En retard",$N550+ROW()/100000,"")</f>
        <v/>
      </c>
      <c r="S550">
        <f>IF(OR($F550="",$I550=""),"",$F550+ROW()/100000)</f>
        <v/>
      </c>
      <c r="T550">
        <f>IF($I550="","",IFERROR(INDEX(LIV_Cat,MATCH($I550,LIV_Code,0)),""))</f>
        <v/>
      </c>
    </row>
    <row r="551" ht="21" customHeight="1">
      <c r="A551" s="1" t="n"/>
      <c r="B551" s="1" t="n"/>
      <c r="C551" s="2" t="n"/>
      <c r="E551" s="130">
        <f>IF($F551="","","EMP-"&amp;TEXT(ROW()-6,"0000"))</f>
        <v/>
      </c>
      <c r="F551" s="134" t="n"/>
      <c r="G551" s="127" t="n"/>
      <c r="H551" s="130">
        <f>IF($G551="","",IFERROR(INDEX(MEM_Nom,MATCH($G551,MEM_ID,0)),"⚠ ID inconnu"))</f>
        <v/>
      </c>
      <c r="I551" s="127" t="n"/>
      <c r="J551" s="130">
        <f>IF($I551="","",IFERROR(INDEX(LIV_Titre,MATCH($I551,LIV_Code,0)),"⚠ Code inconnu"))</f>
        <v/>
      </c>
      <c r="K551" s="138">
        <f>IF($F551="","",$F551+P_Duree)</f>
        <v/>
      </c>
      <c r="L551" s="134" t="n"/>
      <c r="M551" s="130">
        <f>IF(OR($F551="",$I551=""),"",IF($L551&lt;&gt;"",IF($L551&gt;$K551,"Rendu en retard","Rendu"),IF(TODAY()&gt;$K551,"En retard","En cours")))</f>
        <v/>
      </c>
      <c r="N551" s="139">
        <f>IF(OR($F551="",$I551=""),"",MAX(0,IF($L551&lt;&gt;"",$L551,TODAY())-$K551))</f>
        <v/>
      </c>
      <c r="O551" s="135">
        <f>IF(OR($F551="",$I551=""),"",$N551*P_Amende)</f>
        <v/>
      </c>
      <c r="P551" s="133" t="n"/>
      <c r="R551">
        <f>IF($M551="En retard",$N551+ROW()/100000,"")</f>
        <v/>
      </c>
      <c r="S551">
        <f>IF(OR($F551="",$I551=""),"",$F551+ROW()/100000)</f>
        <v/>
      </c>
      <c r="T551">
        <f>IF($I551="","",IFERROR(INDEX(LIV_Cat,MATCH($I551,LIV_Code,0)),""))</f>
        <v/>
      </c>
    </row>
    <row r="552" ht="21" customHeight="1">
      <c r="A552" s="1" t="n"/>
      <c r="B552" s="1" t="n"/>
      <c r="C552" s="2" t="n"/>
      <c r="E552" s="130">
        <f>IF($F552="","","EMP-"&amp;TEXT(ROW()-6,"0000"))</f>
        <v/>
      </c>
      <c r="F552" s="134" t="n"/>
      <c r="G552" s="127" t="n"/>
      <c r="H552" s="130">
        <f>IF($G552="","",IFERROR(INDEX(MEM_Nom,MATCH($G552,MEM_ID,0)),"⚠ ID inconnu"))</f>
        <v/>
      </c>
      <c r="I552" s="127" t="n"/>
      <c r="J552" s="130">
        <f>IF($I552="","",IFERROR(INDEX(LIV_Titre,MATCH($I552,LIV_Code,0)),"⚠ Code inconnu"))</f>
        <v/>
      </c>
      <c r="K552" s="138">
        <f>IF($F552="","",$F552+P_Duree)</f>
        <v/>
      </c>
      <c r="L552" s="134" t="n"/>
      <c r="M552" s="130">
        <f>IF(OR($F552="",$I552=""),"",IF($L552&lt;&gt;"",IF($L552&gt;$K552,"Rendu en retard","Rendu"),IF(TODAY()&gt;$K552,"En retard","En cours")))</f>
        <v/>
      </c>
      <c r="N552" s="139">
        <f>IF(OR($F552="",$I552=""),"",MAX(0,IF($L552&lt;&gt;"",$L552,TODAY())-$K552))</f>
        <v/>
      </c>
      <c r="O552" s="135">
        <f>IF(OR($F552="",$I552=""),"",$N552*P_Amende)</f>
        <v/>
      </c>
      <c r="P552" s="133" t="n"/>
      <c r="R552">
        <f>IF($M552="En retard",$N552+ROW()/100000,"")</f>
        <v/>
      </c>
      <c r="S552">
        <f>IF(OR($F552="",$I552=""),"",$F552+ROW()/100000)</f>
        <v/>
      </c>
      <c r="T552">
        <f>IF($I552="","",IFERROR(INDEX(LIV_Cat,MATCH($I552,LIV_Code,0)),""))</f>
        <v/>
      </c>
    </row>
    <row r="553" ht="21" customHeight="1">
      <c r="A553" s="1" t="n"/>
      <c r="B553" s="1" t="n"/>
      <c r="C553" s="2" t="n"/>
      <c r="E553" s="130">
        <f>IF($F553="","","EMP-"&amp;TEXT(ROW()-6,"0000"))</f>
        <v/>
      </c>
      <c r="F553" s="134" t="n"/>
      <c r="G553" s="127" t="n"/>
      <c r="H553" s="130">
        <f>IF($G553="","",IFERROR(INDEX(MEM_Nom,MATCH($G553,MEM_ID,0)),"⚠ ID inconnu"))</f>
        <v/>
      </c>
      <c r="I553" s="127" t="n"/>
      <c r="J553" s="130">
        <f>IF($I553="","",IFERROR(INDEX(LIV_Titre,MATCH($I553,LIV_Code,0)),"⚠ Code inconnu"))</f>
        <v/>
      </c>
      <c r="K553" s="138">
        <f>IF($F553="","",$F553+P_Duree)</f>
        <v/>
      </c>
      <c r="L553" s="134" t="n"/>
      <c r="M553" s="130">
        <f>IF(OR($F553="",$I553=""),"",IF($L553&lt;&gt;"",IF($L553&gt;$K553,"Rendu en retard","Rendu"),IF(TODAY()&gt;$K553,"En retard","En cours")))</f>
        <v/>
      </c>
      <c r="N553" s="139">
        <f>IF(OR($F553="",$I553=""),"",MAX(0,IF($L553&lt;&gt;"",$L553,TODAY())-$K553))</f>
        <v/>
      </c>
      <c r="O553" s="135">
        <f>IF(OR($F553="",$I553=""),"",$N553*P_Amende)</f>
        <v/>
      </c>
      <c r="P553" s="133" t="n"/>
      <c r="R553">
        <f>IF($M553="En retard",$N553+ROW()/100000,"")</f>
        <v/>
      </c>
      <c r="S553">
        <f>IF(OR($F553="",$I553=""),"",$F553+ROW()/100000)</f>
        <v/>
      </c>
      <c r="T553">
        <f>IF($I553="","",IFERROR(INDEX(LIV_Cat,MATCH($I553,LIV_Code,0)),""))</f>
        <v/>
      </c>
    </row>
    <row r="554" ht="21" customHeight="1">
      <c r="A554" s="1" t="n"/>
      <c r="B554" s="1" t="n"/>
      <c r="C554" s="2" t="n"/>
      <c r="E554" s="130">
        <f>IF($F554="","","EMP-"&amp;TEXT(ROW()-6,"0000"))</f>
        <v/>
      </c>
      <c r="F554" s="134" t="n"/>
      <c r="G554" s="127" t="n"/>
      <c r="H554" s="130">
        <f>IF($G554="","",IFERROR(INDEX(MEM_Nom,MATCH($G554,MEM_ID,0)),"⚠ ID inconnu"))</f>
        <v/>
      </c>
      <c r="I554" s="127" t="n"/>
      <c r="J554" s="130">
        <f>IF($I554="","",IFERROR(INDEX(LIV_Titre,MATCH($I554,LIV_Code,0)),"⚠ Code inconnu"))</f>
        <v/>
      </c>
      <c r="K554" s="138">
        <f>IF($F554="","",$F554+P_Duree)</f>
        <v/>
      </c>
      <c r="L554" s="134" t="n"/>
      <c r="M554" s="130">
        <f>IF(OR($F554="",$I554=""),"",IF($L554&lt;&gt;"",IF($L554&gt;$K554,"Rendu en retard","Rendu"),IF(TODAY()&gt;$K554,"En retard","En cours")))</f>
        <v/>
      </c>
      <c r="N554" s="139">
        <f>IF(OR($F554="",$I554=""),"",MAX(0,IF($L554&lt;&gt;"",$L554,TODAY())-$K554))</f>
        <v/>
      </c>
      <c r="O554" s="135">
        <f>IF(OR($F554="",$I554=""),"",$N554*P_Amende)</f>
        <v/>
      </c>
      <c r="P554" s="133" t="n"/>
      <c r="R554">
        <f>IF($M554="En retard",$N554+ROW()/100000,"")</f>
        <v/>
      </c>
      <c r="S554">
        <f>IF(OR($F554="",$I554=""),"",$F554+ROW()/100000)</f>
        <v/>
      </c>
      <c r="T554">
        <f>IF($I554="","",IFERROR(INDEX(LIV_Cat,MATCH($I554,LIV_Code,0)),""))</f>
        <v/>
      </c>
    </row>
    <row r="555" ht="21" customHeight="1">
      <c r="A555" s="1" t="n"/>
      <c r="B555" s="1" t="n"/>
      <c r="C555" s="2" t="n"/>
      <c r="E555" s="130">
        <f>IF($F555="","","EMP-"&amp;TEXT(ROW()-6,"0000"))</f>
        <v/>
      </c>
      <c r="F555" s="134" t="n"/>
      <c r="G555" s="127" t="n"/>
      <c r="H555" s="130">
        <f>IF($G555="","",IFERROR(INDEX(MEM_Nom,MATCH($G555,MEM_ID,0)),"⚠ ID inconnu"))</f>
        <v/>
      </c>
      <c r="I555" s="127" t="n"/>
      <c r="J555" s="130">
        <f>IF($I555="","",IFERROR(INDEX(LIV_Titre,MATCH($I555,LIV_Code,0)),"⚠ Code inconnu"))</f>
        <v/>
      </c>
      <c r="K555" s="138">
        <f>IF($F555="","",$F555+P_Duree)</f>
        <v/>
      </c>
      <c r="L555" s="134" t="n"/>
      <c r="M555" s="130">
        <f>IF(OR($F555="",$I555=""),"",IF($L555&lt;&gt;"",IF($L555&gt;$K555,"Rendu en retard","Rendu"),IF(TODAY()&gt;$K555,"En retard","En cours")))</f>
        <v/>
      </c>
      <c r="N555" s="139">
        <f>IF(OR($F555="",$I555=""),"",MAX(0,IF($L555&lt;&gt;"",$L555,TODAY())-$K555))</f>
        <v/>
      </c>
      <c r="O555" s="135">
        <f>IF(OR($F555="",$I555=""),"",$N555*P_Amende)</f>
        <v/>
      </c>
      <c r="P555" s="133" t="n"/>
      <c r="R555">
        <f>IF($M555="En retard",$N555+ROW()/100000,"")</f>
        <v/>
      </c>
      <c r="S555">
        <f>IF(OR($F555="",$I555=""),"",$F555+ROW()/100000)</f>
        <v/>
      </c>
      <c r="T555">
        <f>IF($I555="","",IFERROR(INDEX(LIV_Cat,MATCH($I555,LIV_Code,0)),""))</f>
        <v/>
      </c>
    </row>
    <row r="556" ht="21" customHeight="1">
      <c r="A556" s="1" t="n"/>
      <c r="B556" s="1" t="n"/>
      <c r="C556" s="2" t="n"/>
      <c r="E556" s="130">
        <f>IF($F556="","","EMP-"&amp;TEXT(ROW()-6,"0000"))</f>
        <v/>
      </c>
      <c r="F556" s="134" t="n"/>
      <c r="G556" s="127" t="n"/>
      <c r="H556" s="130">
        <f>IF($G556="","",IFERROR(INDEX(MEM_Nom,MATCH($G556,MEM_ID,0)),"⚠ ID inconnu"))</f>
        <v/>
      </c>
      <c r="I556" s="127" t="n"/>
      <c r="J556" s="130">
        <f>IF($I556="","",IFERROR(INDEX(LIV_Titre,MATCH($I556,LIV_Code,0)),"⚠ Code inconnu"))</f>
        <v/>
      </c>
      <c r="K556" s="138">
        <f>IF($F556="","",$F556+P_Duree)</f>
        <v/>
      </c>
      <c r="L556" s="134" t="n"/>
      <c r="M556" s="130">
        <f>IF(OR($F556="",$I556=""),"",IF($L556&lt;&gt;"",IF($L556&gt;$K556,"Rendu en retard","Rendu"),IF(TODAY()&gt;$K556,"En retard","En cours")))</f>
        <v/>
      </c>
      <c r="N556" s="139">
        <f>IF(OR($F556="",$I556=""),"",MAX(0,IF($L556&lt;&gt;"",$L556,TODAY())-$K556))</f>
        <v/>
      </c>
      <c r="O556" s="135">
        <f>IF(OR($F556="",$I556=""),"",$N556*P_Amende)</f>
        <v/>
      </c>
      <c r="P556" s="133" t="n"/>
      <c r="R556">
        <f>IF($M556="En retard",$N556+ROW()/100000,"")</f>
        <v/>
      </c>
      <c r="S556">
        <f>IF(OR($F556="",$I556=""),"",$F556+ROW()/100000)</f>
        <v/>
      </c>
      <c r="T556">
        <f>IF($I556="","",IFERROR(INDEX(LIV_Cat,MATCH($I556,LIV_Code,0)),""))</f>
        <v/>
      </c>
    </row>
    <row r="557" ht="21" customHeight="1">
      <c r="A557" s="1" t="n"/>
      <c r="B557" s="1" t="n"/>
      <c r="C557" s="2" t="n"/>
      <c r="E557" s="130">
        <f>IF($F557="","","EMP-"&amp;TEXT(ROW()-6,"0000"))</f>
        <v/>
      </c>
      <c r="F557" s="134" t="n"/>
      <c r="G557" s="127" t="n"/>
      <c r="H557" s="130">
        <f>IF($G557="","",IFERROR(INDEX(MEM_Nom,MATCH($G557,MEM_ID,0)),"⚠ ID inconnu"))</f>
        <v/>
      </c>
      <c r="I557" s="127" t="n"/>
      <c r="J557" s="130">
        <f>IF($I557="","",IFERROR(INDEX(LIV_Titre,MATCH($I557,LIV_Code,0)),"⚠ Code inconnu"))</f>
        <v/>
      </c>
      <c r="K557" s="138">
        <f>IF($F557="","",$F557+P_Duree)</f>
        <v/>
      </c>
      <c r="L557" s="134" t="n"/>
      <c r="M557" s="130">
        <f>IF(OR($F557="",$I557=""),"",IF($L557&lt;&gt;"",IF($L557&gt;$K557,"Rendu en retard","Rendu"),IF(TODAY()&gt;$K557,"En retard","En cours")))</f>
        <v/>
      </c>
      <c r="N557" s="139">
        <f>IF(OR($F557="",$I557=""),"",MAX(0,IF($L557&lt;&gt;"",$L557,TODAY())-$K557))</f>
        <v/>
      </c>
      <c r="O557" s="135">
        <f>IF(OR($F557="",$I557=""),"",$N557*P_Amende)</f>
        <v/>
      </c>
      <c r="P557" s="133" t="n"/>
      <c r="R557">
        <f>IF($M557="En retard",$N557+ROW()/100000,"")</f>
        <v/>
      </c>
      <c r="S557">
        <f>IF(OR($F557="",$I557=""),"",$F557+ROW()/100000)</f>
        <v/>
      </c>
      <c r="T557">
        <f>IF($I557="","",IFERROR(INDEX(LIV_Cat,MATCH($I557,LIV_Code,0)),""))</f>
        <v/>
      </c>
    </row>
    <row r="558" ht="21" customHeight="1">
      <c r="A558" s="1" t="n"/>
      <c r="B558" s="1" t="n"/>
      <c r="C558" s="2" t="n"/>
      <c r="E558" s="130">
        <f>IF($F558="","","EMP-"&amp;TEXT(ROW()-6,"0000"))</f>
        <v/>
      </c>
      <c r="F558" s="134" t="n"/>
      <c r="G558" s="127" t="n"/>
      <c r="H558" s="130">
        <f>IF($G558="","",IFERROR(INDEX(MEM_Nom,MATCH($G558,MEM_ID,0)),"⚠ ID inconnu"))</f>
        <v/>
      </c>
      <c r="I558" s="127" t="n"/>
      <c r="J558" s="130">
        <f>IF($I558="","",IFERROR(INDEX(LIV_Titre,MATCH($I558,LIV_Code,0)),"⚠ Code inconnu"))</f>
        <v/>
      </c>
      <c r="K558" s="138">
        <f>IF($F558="","",$F558+P_Duree)</f>
        <v/>
      </c>
      <c r="L558" s="134" t="n"/>
      <c r="M558" s="130">
        <f>IF(OR($F558="",$I558=""),"",IF($L558&lt;&gt;"",IF($L558&gt;$K558,"Rendu en retard","Rendu"),IF(TODAY()&gt;$K558,"En retard","En cours")))</f>
        <v/>
      </c>
      <c r="N558" s="139">
        <f>IF(OR($F558="",$I558=""),"",MAX(0,IF($L558&lt;&gt;"",$L558,TODAY())-$K558))</f>
        <v/>
      </c>
      <c r="O558" s="135">
        <f>IF(OR($F558="",$I558=""),"",$N558*P_Amende)</f>
        <v/>
      </c>
      <c r="P558" s="133" t="n"/>
      <c r="R558">
        <f>IF($M558="En retard",$N558+ROW()/100000,"")</f>
        <v/>
      </c>
      <c r="S558">
        <f>IF(OR($F558="",$I558=""),"",$F558+ROW()/100000)</f>
        <v/>
      </c>
      <c r="T558">
        <f>IF($I558="","",IFERROR(INDEX(LIV_Cat,MATCH($I558,LIV_Code,0)),""))</f>
        <v/>
      </c>
    </row>
    <row r="559" ht="21" customHeight="1">
      <c r="A559" s="1" t="n"/>
      <c r="B559" s="1" t="n"/>
      <c r="C559" s="2" t="n"/>
      <c r="E559" s="130">
        <f>IF($F559="","","EMP-"&amp;TEXT(ROW()-6,"0000"))</f>
        <v/>
      </c>
      <c r="F559" s="134" t="n"/>
      <c r="G559" s="127" t="n"/>
      <c r="H559" s="130">
        <f>IF($G559="","",IFERROR(INDEX(MEM_Nom,MATCH($G559,MEM_ID,0)),"⚠ ID inconnu"))</f>
        <v/>
      </c>
      <c r="I559" s="127" t="n"/>
      <c r="J559" s="130">
        <f>IF($I559="","",IFERROR(INDEX(LIV_Titre,MATCH($I559,LIV_Code,0)),"⚠ Code inconnu"))</f>
        <v/>
      </c>
      <c r="K559" s="138">
        <f>IF($F559="","",$F559+P_Duree)</f>
        <v/>
      </c>
      <c r="L559" s="134" t="n"/>
      <c r="M559" s="130">
        <f>IF(OR($F559="",$I559=""),"",IF($L559&lt;&gt;"",IF($L559&gt;$K559,"Rendu en retard","Rendu"),IF(TODAY()&gt;$K559,"En retard","En cours")))</f>
        <v/>
      </c>
      <c r="N559" s="139">
        <f>IF(OR($F559="",$I559=""),"",MAX(0,IF($L559&lt;&gt;"",$L559,TODAY())-$K559))</f>
        <v/>
      </c>
      <c r="O559" s="135">
        <f>IF(OR($F559="",$I559=""),"",$N559*P_Amende)</f>
        <v/>
      </c>
      <c r="P559" s="133" t="n"/>
      <c r="R559">
        <f>IF($M559="En retard",$N559+ROW()/100000,"")</f>
        <v/>
      </c>
      <c r="S559">
        <f>IF(OR($F559="",$I559=""),"",$F559+ROW()/100000)</f>
        <v/>
      </c>
      <c r="T559">
        <f>IF($I559="","",IFERROR(INDEX(LIV_Cat,MATCH($I559,LIV_Code,0)),""))</f>
        <v/>
      </c>
    </row>
    <row r="560" ht="21" customHeight="1">
      <c r="A560" s="1" t="n"/>
      <c r="B560" s="1" t="n"/>
      <c r="C560" s="2" t="n"/>
      <c r="E560" s="130">
        <f>IF($F560="","","EMP-"&amp;TEXT(ROW()-6,"0000"))</f>
        <v/>
      </c>
      <c r="F560" s="134" t="n"/>
      <c r="G560" s="127" t="n"/>
      <c r="H560" s="130">
        <f>IF($G560="","",IFERROR(INDEX(MEM_Nom,MATCH($G560,MEM_ID,0)),"⚠ ID inconnu"))</f>
        <v/>
      </c>
      <c r="I560" s="127" t="n"/>
      <c r="J560" s="130">
        <f>IF($I560="","",IFERROR(INDEX(LIV_Titre,MATCH($I560,LIV_Code,0)),"⚠ Code inconnu"))</f>
        <v/>
      </c>
      <c r="K560" s="138">
        <f>IF($F560="","",$F560+P_Duree)</f>
        <v/>
      </c>
      <c r="L560" s="134" t="n"/>
      <c r="M560" s="130">
        <f>IF(OR($F560="",$I560=""),"",IF($L560&lt;&gt;"",IF($L560&gt;$K560,"Rendu en retard","Rendu"),IF(TODAY()&gt;$K560,"En retard","En cours")))</f>
        <v/>
      </c>
      <c r="N560" s="139">
        <f>IF(OR($F560="",$I560=""),"",MAX(0,IF($L560&lt;&gt;"",$L560,TODAY())-$K560))</f>
        <v/>
      </c>
      <c r="O560" s="135">
        <f>IF(OR($F560="",$I560=""),"",$N560*P_Amende)</f>
        <v/>
      </c>
      <c r="P560" s="133" t="n"/>
      <c r="R560">
        <f>IF($M560="En retard",$N560+ROW()/100000,"")</f>
        <v/>
      </c>
      <c r="S560">
        <f>IF(OR($F560="",$I560=""),"",$F560+ROW()/100000)</f>
        <v/>
      </c>
      <c r="T560">
        <f>IF($I560="","",IFERROR(INDEX(LIV_Cat,MATCH($I560,LIV_Code,0)),""))</f>
        <v/>
      </c>
    </row>
    <row r="561" ht="21" customHeight="1">
      <c r="A561" s="1" t="n"/>
      <c r="B561" s="1" t="n"/>
      <c r="C561" s="2" t="n"/>
      <c r="E561" s="130">
        <f>IF($F561="","","EMP-"&amp;TEXT(ROW()-6,"0000"))</f>
        <v/>
      </c>
      <c r="F561" s="134" t="n"/>
      <c r="G561" s="127" t="n"/>
      <c r="H561" s="130">
        <f>IF($G561="","",IFERROR(INDEX(MEM_Nom,MATCH($G561,MEM_ID,0)),"⚠ ID inconnu"))</f>
        <v/>
      </c>
      <c r="I561" s="127" t="n"/>
      <c r="J561" s="130">
        <f>IF($I561="","",IFERROR(INDEX(LIV_Titre,MATCH($I561,LIV_Code,0)),"⚠ Code inconnu"))</f>
        <v/>
      </c>
      <c r="K561" s="138">
        <f>IF($F561="","",$F561+P_Duree)</f>
        <v/>
      </c>
      <c r="L561" s="134" t="n"/>
      <c r="M561" s="130">
        <f>IF(OR($F561="",$I561=""),"",IF($L561&lt;&gt;"",IF($L561&gt;$K561,"Rendu en retard","Rendu"),IF(TODAY()&gt;$K561,"En retard","En cours")))</f>
        <v/>
      </c>
      <c r="N561" s="139">
        <f>IF(OR($F561="",$I561=""),"",MAX(0,IF($L561&lt;&gt;"",$L561,TODAY())-$K561))</f>
        <v/>
      </c>
      <c r="O561" s="135">
        <f>IF(OR($F561="",$I561=""),"",$N561*P_Amende)</f>
        <v/>
      </c>
      <c r="P561" s="133" t="n"/>
      <c r="R561">
        <f>IF($M561="En retard",$N561+ROW()/100000,"")</f>
        <v/>
      </c>
      <c r="S561">
        <f>IF(OR($F561="",$I561=""),"",$F561+ROW()/100000)</f>
        <v/>
      </c>
      <c r="T561">
        <f>IF($I561="","",IFERROR(INDEX(LIV_Cat,MATCH($I561,LIV_Code,0)),""))</f>
        <v/>
      </c>
    </row>
    <row r="562" ht="21" customHeight="1">
      <c r="A562" s="1" t="n"/>
      <c r="B562" s="1" t="n"/>
      <c r="C562" s="2" t="n"/>
      <c r="E562" s="130">
        <f>IF($F562="","","EMP-"&amp;TEXT(ROW()-6,"0000"))</f>
        <v/>
      </c>
      <c r="F562" s="134" t="n"/>
      <c r="G562" s="127" t="n"/>
      <c r="H562" s="130">
        <f>IF($G562="","",IFERROR(INDEX(MEM_Nom,MATCH($G562,MEM_ID,0)),"⚠ ID inconnu"))</f>
        <v/>
      </c>
      <c r="I562" s="127" t="n"/>
      <c r="J562" s="130">
        <f>IF($I562="","",IFERROR(INDEX(LIV_Titre,MATCH($I562,LIV_Code,0)),"⚠ Code inconnu"))</f>
        <v/>
      </c>
      <c r="K562" s="138">
        <f>IF($F562="","",$F562+P_Duree)</f>
        <v/>
      </c>
      <c r="L562" s="134" t="n"/>
      <c r="M562" s="130">
        <f>IF(OR($F562="",$I562=""),"",IF($L562&lt;&gt;"",IF($L562&gt;$K562,"Rendu en retard","Rendu"),IF(TODAY()&gt;$K562,"En retard","En cours")))</f>
        <v/>
      </c>
      <c r="N562" s="139">
        <f>IF(OR($F562="",$I562=""),"",MAX(0,IF($L562&lt;&gt;"",$L562,TODAY())-$K562))</f>
        <v/>
      </c>
      <c r="O562" s="135">
        <f>IF(OR($F562="",$I562=""),"",$N562*P_Amende)</f>
        <v/>
      </c>
      <c r="P562" s="133" t="n"/>
      <c r="R562">
        <f>IF($M562="En retard",$N562+ROW()/100000,"")</f>
        <v/>
      </c>
      <c r="S562">
        <f>IF(OR($F562="",$I562=""),"",$F562+ROW()/100000)</f>
        <v/>
      </c>
      <c r="T562">
        <f>IF($I562="","",IFERROR(INDEX(LIV_Cat,MATCH($I562,LIV_Code,0)),""))</f>
        <v/>
      </c>
    </row>
    <row r="563" ht="21" customHeight="1">
      <c r="A563" s="1" t="n"/>
      <c r="B563" s="1" t="n"/>
      <c r="C563" s="2" t="n"/>
      <c r="E563" s="130">
        <f>IF($F563="","","EMP-"&amp;TEXT(ROW()-6,"0000"))</f>
        <v/>
      </c>
      <c r="F563" s="134" t="n"/>
      <c r="G563" s="127" t="n"/>
      <c r="H563" s="130">
        <f>IF($G563="","",IFERROR(INDEX(MEM_Nom,MATCH($G563,MEM_ID,0)),"⚠ ID inconnu"))</f>
        <v/>
      </c>
      <c r="I563" s="127" t="n"/>
      <c r="J563" s="130">
        <f>IF($I563="","",IFERROR(INDEX(LIV_Titre,MATCH($I563,LIV_Code,0)),"⚠ Code inconnu"))</f>
        <v/>
      </c>
      <c r="K563" s="138">
        <f>IF($F563="","",$F563+P_Duree)</f>
        <v/>
      </c>
      <c r="L563" s="134" t="n"/>
      <c r="M563" s="130">
        <f>IF(OR($F563="",$I563=""),"",IF($L563&lt;&gt;"",IF($L563&gt;$K563,"Rendu en retard","Rendu"),IF(TODAY()&gt;$K563,"En retard","En cours")))</f>
        <v/>
      </c>
      <c r="N563" s="139">
        <f>IF(OR($F563="",$I563=""),"",MAX(0,IF($L563&lt;&gt;"",$L563,TODAY())-$K563))</f>
        <v/>
      </c>
      <c r="O563" s="135">
        <f>IF(OR($F563="",$I563=""),"",$N563*P_Amende)</f>
        <v/>
      </c>
      <c r="P563" s="133" t="n"/>
      <c r="R563">
        <f>IF($M563="En retard",$N563+ROW()/100000,"")</f>
        <v/>
      </c>
      <c r="S563">
        <f>IF(OR($F563="",$I563=""),"",$F563+ROW()/100000)</f>
        <v/>
      </c>
      <c r="T563">
        <f>IF($I563="","",IFERROR(INDEX(LIV_Cat,MATCH($I563,LIV_Code,0)),""))</f>
        <v/>
      </c>
    </row>
    <row r="564" ht="21" customHeight="1">
      <c r="A564" s="1" t="n"/>
      <c r="B564" s="1" t="n"/>
      <c r="C564" s="2" t="n"/>
      <c r="E564" s="130">
        <f>IF($F564="","","EMP-"&amp;TEXT(ROW()-6,"0000"))</f>
        <v/>
      </c>
      <c r="F564" s="134" t="n"/>
      <c r="G564" s="127" t="n"/>
      <c r="H564" s="130">
        <f>IF($G564="","",IFERROR(INDEX(MEM_Nom,MATCH($G564,MEM_ID,0)),"⚠ ID inconnu"))</f>
        <v/>
      </c>
      <c r="I564" s="127" t="n"/>
      <c r="J564" s="130">
        <f>IF($I564="","",IFERROR(INDEX(LIV_Titre,MATCH($I564,LIV_Code,0)),"⚠ Code inconnu"))</f>
        <v/>
      </c>
      <c r="K564" s="138">
        <f>IF($F564="","",$F564+P_Duree)</f>
        <v/>
      </c>
      <c r="L564" s="134" t="n"/>
      <c r="M564" s="130">
        <f>IF(OR($F564="",$I564=""),"",IF($L564&lt;&gt;"",IF($L564&gt;$K564,"Rendu en retard","Rendu"),IF(TODAY()&gt;$K564,"En retard","En cours")))</f>
        <v/>
      </c>
      <c r="N564" s="139">
        <f>IF(OR($F564="",$I564=""),"",MAX(0,IF($L564&lt;&gt;"",$L564,TODAY())-$K564))</f>
        <v/>
      </c>
      <c r="O564" s="135">
        <f>IF(OR($F564="",$I564=""),"",$N564*P_Amende)</f>
        <v/>
      </c>
      <c r="P564" s="133" t="n"/>
      <c r="R564">
        <f>IF($M564="En retard",$N564+ROW()/100000,"")</f>
        <v/>
      </c>
      <c r="S564">
        <f>IF(OR($F564="",$I564=""),"",$F564+ROW()/100000)</f>
        <v/>
      </c>
      <c r="T564">
        <f>IF($I564="","",IFERROR(INDEX(LIV_Cat,MATCH($I564,LIV_Code,0)),""))</f>
        <v/>
      </c>
    </row>
    <row r="565" ht="21" customHeight="1">
      <c r="A565" s="1" t="n"/>
      <c r="B565" s="1" t="n"/>
      <c r="C565" s="2" t="n"/>
      <c r="E565" s="130">
        <f>IF($F565="","","EMP-"&amp;TEXT(ROW()-6,"0000"))</f>
        <v/>
      </c>
      <c r="F565" s="134" t="n"/>
      <c r="G565" s="127" t="n"/>
      <c r="H565" s="130">
        <f>IF($G565="","",IFERROR(INDEX(MEM_Nom,MATCH($G565,MEM_ID,0)),"⚠ ID inconnu"))</f>
        <v/>
      </c>
      <c r="I565" s="127" t="n"/>
      <c r="J565" s="130">
        <f>IF($I565="","",IFERROR(INDEX(LIV_Titre,MATCH($I565,LIV_Code,0)),"⚠ Code inconnu"))</f>
        <v/>
      </c>
      <c r="K565" s="138">
        <f>IF($F565="","",$F565+P_Duree)</f>
        <v/>
      </c>
      <c r="L565" s="134" t="n"/>
      <c r="M565" s="130">
        <f>IF(OR($F565="",$I565=""),"",IF($L565&lt;&gt;"",IF($L565&gt;$K565,"Rendu en retard","Rendu"),IF(TODAY()&gt;$K565,"En retard","En cours")))</f>
        <v/>
      </c>
      <c r="N565" s="139">
        <f>IF(OR($F565="",$I565=""),"",MAX(0,IF($L565&lt;&gt;"",$L565,TODAY())-$K565))</f>
        <v/>
      </c>
      <c r="O565" s="135">
        <f>IF(OR($F565="",$I565=""),"",$N565*P_Amende)</f>
        <v/>
      </c>
      <c r="P565" s="133" t="n"/>
      <c r="R565">
        <f>IF($M565="En retard",$N565+ROW()/100000,"")</f>
        <v/>
      </c>
      <c r="S565">
        <f>IF(OR($F565="",$I565=""),"",$F565+ROW()/100000)</f>
        <v/>
      </c>
      <c r="T565">
        <f>IF($I565="","",IFERROR(INDEX(LIV_Cat,MATCH($I565,LIV_Code,0)),""))</f>
        <v/>
      </c>
    </row>
    <row r="566" ht="21" customHeight="1">
      <c r="A566" s="1" t="n"/>
      <c r="B566" s="1" t="n"/>
      <c r="C566" s="2" t="n"/>
      <c r="E566" s="130">
        <f>IF($F566="","","EMP-"&amp;TEXT(ROW()-6,"0000"))</f>
        <v/>
      </c>
      <c r="F566" s="134" t="n"/>
      <c r="G566" s="127" t="n"/>
      <c r="H566" s="130">
        <f>IF($G566="","",IFERROR(INDEX(MEM_Nom,MATCH($G566,MEM_ID,0)),"⚠ ID inconnu"))</f>
        <v/>
      </c>
      <c r="I566" s="127" t="n"/>
      <c r="J566" s="130">
        <f>IF($I566="","",IFERROR(INDEX(LIV_Titre,MATCH($I566,LIV_Code,0)),"⚠ Code inconnu"))</f>
        <v/>
      </c>
      <c r="K566" s="138">
        <f>IF($F566="","",$F566+P_Duree)</f>
        <v/>
      </c>
      <c r="L566" s="134" t="n"/>
      <c r="M566" s="130">
        <f>IF(OR($F566="",$I566=""),"",IF($L566&lt;&gt;"",IF($L566&gt;$K566,"Rendu en retard","Rendu"),IF(TODAY()&gt;$K566,"En retard","En cours")))</f>
        <v/>
      </c>
      <c r="N566" s="139">
        <f>IF(OR($F566="",$I566=""),"",MAX(0,IF($L566&lt;&gt;"",$L566,TODAY())-$K566))</f>
        <v/>
      </c>
      <c r="O566" s="135">
        <f>IF(OR($F566="",$I566=""),"",$N566*P_Amende)</f>
        <v/>
      </c>
      <c r="P566" s="133" t="n"/>
      <c r="R566">
        <f>IF($M566="En retard",$N566+ROW()/100000,"")</f>
        <v/>
      </c>
      <c r="S566">
        <f>IF(OR($F566="",$I566=""),"",$F566+ROW()/100000)</f>
        <v/>
      </c>
      <c r="T566">
        <f>IF($I566="","",IFERROR(INDEX(LIV_Cat,MATCH($I566,LIV_Code,0)),""))</f>
        <v/>
      </c>
    </row>
    <row r="567" ht="21" customHeight="1">
      <c r="A567" s="1" t="n"/>
      <c r="B567" s="1" t="n"/>
      <c r="C567" s="2" t="n"/>
      <c r="E567" s="130">
        <f>IF($F567="","","EMP-"&amp;TEXT(ROW()-6,"0000"))</f>
        <v/>
      </c>
      <c r="F567" s="134" t="n"/>
      <c r="G567" s="127" t="n"/>
      <c r="H567" s="130">
        <f>IF($G567="","",IFERROR(INDEX(MEM_Nom,MATCH($G567,MEM_ID,0)),"⚠ ID inconnu"))</f>
        <v/>
      </c>
      <c r="I567" s="127" t="n"/>
      <c r="J567" s="130">
        <f>IF($I567="","",IFERROR(INDEX(LIV_Titre,MATCH($I567,LIV_Code,0)),"⚠ Code inconnu"))</f>
        <v/>
      </c>
      <c r="K567" s="138">
        <f>IF($F567="","",$F567+P_Duree)</f>
        <v/>
      </c>
      <c r="L567" s="134" t="n"/>
      <c r="M567" s="130">
        <f>IF(OR($F567="",$I567=""),"",IF($L567&lt;&gt;"",IF($L567&gt;$K567,"Rendu en retard","Rendu"),IF(TODAY()&gt;$K567,"En retard","En cours")))</f>
        <v/>
      </c>
      <c r="N567" s="139">
        <f>IF(OR($F567="",$I567=""),"",MAX(0,IF($L567&lt;&gt;"",$L567,TODAY())-$K567))</f>
        <v/>
      </c>
      <c r="O567" s="135">
        <f>IF(OR($F567="",$I567=""),"",$N567*P_Amende)</f>
        <v/>
      </c>
      <c r="P567" s="133" t="n"/>
      <c r="R567">
        <f>IF($M567="En retard",$N567+ROW()/100000,"")</f>
        <v/>
      </c>
      <c r="S567">
        <f>IF(OR($F567="",$I567=""),"",$F567+ROW()/100000)</f>
        <v/>
      </c>
      <c r="T567">
        <f>IF($I567="","",IFERROR(INDEX(LIV_Cat,MATCH($I567,LIV_Code,0)),""))</f>
        <v/>
      </c>
    </row>
    <row r="568" ht="21" customHeight="1">
      <c r="A568" s="1" t="n"/>
      <c r="B568" s="1" t="n"/>
      <c r="C568" s="2" t="n"/>
      <c r="E568" s="130">
        <f>IF($F568="","","EMP-"&amp;TEXT(ROW()-6,"0000"))</f>
        <v/>
      </c>
      <c r="F568" s="134" t="n"/>
      <c r="G568" s="127" t="n"/>
      <c r="H568" s="130">
        <f>IF($G568="","",IFERROR(INDEX(MEM_Nom,MATCH($G568,MEM_ID,0)),"⚠ ID inconnu"))</f>
        <v/>
      </c>
      <c r="I568" s="127" t="n"/>
      <c r="J568" s="130">
        <f>IF($I568="","",IFERROR(INDEX(LIV_Titre,MATCH($I568,LIV_Code,0)),"⚠ Code inconnu"))</f>
        <v/>
      </c>
      <c r="K568" s="138">
        <f>IF($F568="","",$F568+P_Duree)</f>
        <v/>
      </c>
      <c r="L568" s="134" t="n"/>
      <c r="M568" s="130">
        <f>IF(OR($F568="",$I568=""),"",IF($L568&lt;&gt;"",IF($L568&gt;$K568,"Rendu en retard","Rendu"),IF(TODAY()&gt;$K568,"En retard","En cours")))</f>
        <v/>
      </c>
      <c r="N568" s="139">
        <f>IF(OR($F568="",$I568=""),"",MAX(0,IF($L568&lt;&gt;"",$L568,TODAY())-$K568))</f>
        <v/>
      </c>
      <c r="O568" s="135">
        <f>IF(OR($F568="",$I568=""),"",$N568*P_Amende)</f>
        <v/>
      </c>
      <c r="P568" s="133" t="n"/>
      <c r="R568">
        <f>IF($M568="En retard",$N568+ROW()/100000,"")</f>
        <v/>
      </c>
      <c r="S568">
        <f>IF(OR($F568="",$I568=""),"",$F568+ROW()/100000)</f>
        <v/>
      </c>
      <c r="T568">
        <f>IF($I568="","",IFERROR(INDEX(LIV_Cat,MATCH($I568,LIV_Code,0)),""))</f>
        <v/>
      </c>
    </row>
    <row r="569" ht="21" customHeight="1">
      <c r="A569" s="1" t="n"/>
      <c r="B569" s="1" t="n"/>
      <c r="C569" s="2" t="n"/>
      <c r="E569" s="130">
        <f>IF($F569="","","EMP-"&amp;TEXT(ROW()-6,"0000"))</f>
        <v/>
      </c>
      <c r="F569" s="134" t="n"/>
      <c r="G569" s="127" t="n"/>
      <c r="H569" s="130">
        <f>IF($G569="","",IFERROR(INDEX(MEM_Nom,MATCH($G569,MEM_ID,0)),"⚠ ID inconnu"))</f>
        <v/>
      </c>
      <c r="I569" s="127" t="n"/>
      <c r="J569" s="130">
        <f>IF($I569="","",IFERROR(INDEX(LIV_Titre,MATCH($I569,LIV_Code,0)),"⚠ Code inconnu"))</f>
        <v/>
      </c>
      <c r="K569" s="138">
        <f>IF($F569="","",$F569+P_Duree)</f>
        <v/>
      </c>
      <c r="L569" s="134" t="n"/>
      <c r="M569" s="130">
        <f>IF(OR($F569="",$I569=""),"",IF($L569&lt;&gt;"",IF($L569&gt;$K569,"Rendu en retard","Rendu"),IF(TODAY()&gt;$K569,"En retard","En cours")))</f>
        <v/>
      </c>
      <c r="N569" s="139">
        <f>IF(OR($F569="",$I569=""),"",MAX(0,IF($L569&lt;&gt;"",$L569,TODAY())-$K569))</f>
        <v/>
      </c>
      <c r="O569" s="135">
        <f>IF(OR($F569="",$I569=""),"",$N569*P_Amende)</f>
        <v/>
      </c>
      <c r="P569" s="133" t="n"/>
      <c r="R569">
        <f>IF($M569="En retard",$N569+ROW()/100000,"")</f>
        <v/>
      </c>
      <c r="S569">
        <f>IF(OR($F569="",$I569=""),"",$F569+ROW()/100000)</f>
        <v/>
      </c>
      <c r="T569">
        <f>IF($I569="","",IFERROR(INDEX(LIV_Cat,MATCH($I569,LIV_Code,0)),""))</f>
        <v/>
      </c>
    </row>
    <row r="570" ht="21" customHeight="1">
      <c r="A570" s="1" t="n"/>
      <c r="B570" s="1" t="n"/>
      <c r="C570" s="2" t="n"/>
      <c r="E570" s="130">
        <f>IF($F570="","","EMP-"&amp;TEXT(ROW()-6,"0000"))</f>
        <v/>
      </c>
      <c r="F570" s="134" t="n"/>
      <c r="G570" s="127" t="n"/>
      <c r="H570" s="130">
        <f>IF($G570="","",IFERROR(INDEX(MEM_Nom,MATCH($G570,MEM_ID,0)),"⚠ ID inconnu"))</f>
        <v/>
      </c>
      <c r="I570" s="127" t="n"/>
      <c r="J570" s="130">
        <f>IF($I570="","",IFERROR(INDEX(LIV_Titre,MATCH($I570,LIV_Code,0)),"⚠ Code inconnu"))</f>
        <v/>
      </c>
      <c r="K570" s="138">
        <f>IF($F570="","",$F570+P_Duree)</f>
        <v/>
      </c>
      <c r="L570" s="134" t="n"/>
      <c r="M570" s="130">
        <f>IF(OR($F570="",$I570=""),"",IF($L570&lt;&gt;"",IF($L570&gt;$K570,"Rendu en retard","Rendu"),IF(TODAY()&gt;$K570,"En retard","En cours")))</f>
        <v/>
      </c>
      <c r="N570" s="139">
        <f>IF(OR($F570="",$I570=""),"",MAX(0,IF($L570&lt;&gt;"",$L570,TODAY())-$K570))</f>
        <v/>
      </c>
      <c r="O570" s="135">
        <f>IF(OR($F570="",$I570=""),"",$N570*P_Amende)</f>
        <v/>
      </c>
      <c r="P570" s="133" t="n"/>
      <c r="R570">
        <f>IF($M570="En retard",$N570+ROW()/100000,"")</f>
        <v/>
      </c>
      <c r="S570">
        <f>IF(OR($F570="",$I570=""),"",$F570+ROW()/100000)</f>
        <v/>
      </c>
      <c r="T570">
        <f>IF($I570="","",IFERROR(INDEX(LIV_Cat,MATCH($I570,LIV_Code,0)),""))</f>
        <v/>
      </c>
    </row>
    <row r="571" ht="21" customHeight="1">
      <c r="A571" s="1" t="n"/>
      <c r="B571" s="1" t="n"/>
      <c r="C571" s="2" t="n"/>
      <c r="E571" s="130">
        <f>IF($F571="","","EMP-"&amp;TEXT(ROW()-6,"0000"))</f>
        <v/>
      </c>
      <c r="F571" s="134" t="n"/>
      <c r="G571" s="127" t="n"/>
      <c r="H571" s="130">
        <f>IF($G571="","",IFERROR(INDEX(MEM_Nom,MATCH($G571,MEM_ID,0)),"⚠ ID inconnu"))</f>
        <v/>
      </c>
      <c r="I571" s="127" t="n"/>
      <c r="J571" s="130">
        <f>IF($I571="","",IFERROR(INDEX(LIV_Titre,MATCH($I571,LIV_Code,0)),"⚠ Code inconnu"))</f>
        <v/>
      </c>
      <c r="K571" s="138">
        <f>IF($F571="","",$F571+P_Duree)</f>
        <v/>
      </c>
      <c r="L571" s="134" t="n"/>
      <c r="M571" s="130">
        <f>IF(OR($F571="",$I571=""),"",IF($L571&lt;&gt;"",IF($L571&gt;$K571,"Rendu en retard","Rendu"),IF(TODAY()&gt;$K571,"En retard","En cours")))</f>
        <v/>
      </c>
      <c r="N571" s="139">
        <f>IF(OR($F571="",$I571=""),"",MAX(0,IF($L571&lt;&gt;"",$L571,TODAY())-$K571))</f>
        <v/>
      </c>
      <c r="O571" s="135">
        <f>IF(OR($F571="",$I571=""),"",$N571*P_Amende)</f>
        <v/>
      </c>
      <c r="P571" s="133" t="n"/>
      <c r="R571">
        <f>IF($M571="En retard",$N571+ROW()/100000,"")</f>
        <v/>
      </c>
      <c r="S571">
        <f>IF(OR($F571="",$I571=""),"",$F571+ROW()/100000)</f>
        <v/>
      </c>
      <c r="T571">
        <f>IF($I571="","",IFERROR(INDEX(LIV_Cat,MATCH($I571,LIV_Code,0)),""))</f>
        <v/>
      </c>
    </row>
    <row r="572" ht="21" customHeight="1">
      <c r="A572" s="1" t="n"/>
      <c r="B572" s="1" t="n"/>
      <c r="C572" s="2" t="n"/>
      <c r="E572" s="130">
        <f>IF($F572="","","EMP-"&amp;TEXT(ROW()-6,"0000"))</f>
        <v/>
      </c>
      <c r="F572" s="134" t="n"/>
      <c r="G572" s="127" t="n"/>
      <c r="H572" s="130">
        <f>IF($G572="","",IFERROR(INDEX(MEM_Nom,MATCH($G572,MEM_ID,0)),"⚠ ID inconnu"))</f>
        <v/>
      </c>
      <c r="I572" s="127" t="n"/>
      <c r="J572" s="130">
        <f>IF($I572="","",IFERROR(INDEX(LIV_Titre,MATCH($I572,LIV_Code,0)),"⚠ Code inconnu"))</f>
        <v/>
      </c>
      <c r="K572" s="138">
        <f>IF($F572="","",$F572+P_Duree)</f>
        <v/>
      </c>
      <c r="L572" s="134" t="n"/>
      <c r="M572" s="130">
        <f>IF(OR($F572="",$I572=""),"",IF($L572&lt;&gt;"",IF($L572&gt;$K572,"Rendu en retard","Rendu"),IF(TODAY()&gt;$K572,"En retard","En cours")))</f>
        <v/>
      </c>
      <c r="N572" s="139">
        <f>IF(OR($F572="",$I572=""),"",MAX(0,IF($L572&lt;&gt;"",$L572,TODAY())-$K572))</f>
        <v/>
      </c>
      <c r="O572" s="135">
        <f>IF(OR($F572="",$I572=""),"",$N572*P_Amende)</f>
        <v/>
      </c>
      <c r="P572" s="133" t="n"/>
      <c r="R572">
        <f>IF($M572="En retard",$N572+ROW()/100000,"")</f>
        <v/>
      </c>
      <c r="S572">
        <f>IF(OR($F572="",$I572=""),"",$F572+ROW()/100000)</f>
        <v/>
      </c>
      <c r="T572">
        <f>IF($I572="","",IFERROR(INDEX(LIV_Cat,MATCH($I572,LIV_Code,0)),""))</f>
        <v/>
      </c>
    </row>
    <row r="573" ht="21" customHeight="1">
      <c r="A573" s="1" t="n"/>
      <c r="B573" s="1" t="n"/>
      <c r="C573" s="2" t="n"/>
      <c r="E573" s="130">
        <f>IF($F573="","","EMP-"&amp;TEXT(ROW()-6,"0000"))</f>
        <v/>
      </c>
      <c r="F573" s="134" t="n"/>
      <c r="G573" s="127" t="n"/>
      <c r="H573" s="130">
        <f>IF($G573="","",IFERROR(INDEX(MEM_Nom,MATCH($G573,MEM_ID,0)),"⚠ ID inconnu"))</f>
        <v/>
      </c>
      <c r="I573" s="127" t="n"/>
      <c r="J573" s="130">
        <f>IF($I573="","",IFERROR(INDEX(LIV_Titre,MATCH($I573,LIV_Code,0)),"⚠ Code inconnu"))</f>
        <v/>
      </c>
      <c r="K573" s="138">
        <f>IF($F573="","",$F573+P_Duree)</f>
        <v/>
      </c>
      <c r="L573" s="134" t="n"/>
      <c r="M573" s="130">
        <f>IF(OR($F573="",$I573=""),"",IF($L573&lt;&gt;"",IF($L573&gt;$K573,"Rendu en retard","Rendu"),IF(TODAY()&gt;$K573,"En retard","En cours")))</f>
        <v/>
      </c>
      <c r="N573" s="139">
        <f>IF(OR($F573="",$I573=""),"",MAX(0,IF($L573&lt;&gt;"",$L573,TODAY())-$K573))</f>
        <v/>
      </c>
      <c r="O573" s="135">
        <f>IF(OR($F573="",$I573=""),"",$N573*P_Amende)</f>
        <v/>
      </c>
      <c r="P573" s="133" t="n"/>
      <c r="R573">
        <f>IF($M573="En retard",$N573+ROW()/100000,"")</f>
        <v/>
      </c>
      <c r="S573">
        <f>IF(OR($F573="",$I573=""),"",$F573+ROW()/100000)</f>
        <v/>
      </c>
      <c r="T573">
        <f>IF($I573="","",IFERROR(INDEX(LIV_Cat,MATCH($I573,LIV_Code,0)),""))</f>
        <v/>
      </c>
    </row>
    <row r="574" ht="21" customHeight="1">
      <c r="A574" s="1" t="n"/>
      <c r="B574" s="1" t="n"/>
      <c r="C574" s="2" t="n"/>
      <c r="E574" s="130">
        <f>IF($F574="","","EMP-"&amp;TEXT(ROW()-6,"0000"))</f>
        <v/>
      </c>
      <c r="F574" s="134" t="n"/>
      <c r="G574" s="127" t="n"/>
      <c r="H574" s="130">
        <f>IF($G574="","",IFERROR(INDEX(MEM_Nom,MATCH($G574,MEM_ID,0)),"⚠ ID inconnu"))</f>
        <v/>
      </c>
      <c r="I574" s="127" t="n"/>
      <c r="J574" s="130">
        <f>IF($I574="","",IFERROR(INDEX(LIV_Titre,MATCH($I574,LIV_Code,0)),"⚠ Code inconnu"))</f>
        <v/>
      </c>
      <c r="K574" s="138">
        <f>IF($F574="","",$F574+P_Duree)</f>
        <v/>
      </c>
      <c r="L574" s="134" t="n"/>
      <c r="M574" s="130">
        <f>IF(OR($F574="",$I574=""),"",IF($L574&lt;&gt;"",IF($L574&gt;$K574,"Rendu en retard","Rendu"),IF(TODAY()&gt;$K574,"En retard","En cours")))</f>
        <v/>
      </c>
      <c r="N574" s="139">
        <f>IF(OR($F574="",$I574=""),"",MAX(0,IF($L574&lt;&gt;"",$L574,TODAY())-$K574))</f>
        <v/>
      </c>
      <c r="O574" s="135">
        <f>IF(OR($F574="",$I574=""),"",$N574*P_Amende)</f>
        <v/>
      </c>
      <c r="P574" s="133" t="n"/>
      <c r="R574">
        <f>IF($M574="En retard",$N574+ROW()/100000,"")</f>
        <v/>
      </c>
      <c r="S574">
        <f>IF(OR($F574="",$I574=""),"",$F574+ROW()/100000)</f>
        <v/>
      </c>
      <c r="T574">
        <f>IF($I574="","",IFERROR(INDEX(LIV_Cat,MATCH($I574,LIV_Code,0)),""))</f>
        <v/>
      </c>
    </row>
    <row r="575" ht="21" customHeight="1">
      <c r="A575" s="1" t="n"/>
      <c r="B575" s="1" t="n"/>
      <c r="C575" s="2" t="n"/>
      <c r="E575" s="130">
        <f>IF($F575="","","EMP-"&amp;TEXT(ROW()-6,"0000"))</f>
        <v/>
      </c>
      <c r="F575" s="134" t="n"/>
      <c r="G575" s="127" t="n"/>
      <c r="H575" s="130">
        <f>IF($G575="","",IFERROR(INDEX(MEM_Nom,MATCH($G575,MEM_ID,0)),"⚠ ID inconnu"))</f>
        <v/>
      </c>
      <c r="I575" s="127" t="n"/>
      <c r="J575" s="130">
        <f>IF($I575="","",IFERROR(INDEX(LIV_Titre,MATCH($I575,LIV_Code,0)),"⚠ Code inconnu"))</f>
        <v/>
      </c>
      <c r="K575" s="138">
        <f>IF($F575="","",$F575+P_Duree)</f>
        <v/>
      </c>
      <c r="L575" s="134" t="n"/>
      <c r="M575" s="130">
        <f>IF(OR($F575="",$I575=""),"",IF($L575&lt;&gt;"",IF($L575&gt;$K575,"Rendu en retard","Rendu"),IF(TODAY()&gt;$K575,"En retard","En cours")))</f>
        <v/>
      </c>
      <c r="N575" s="139">
        <f>IF(OR($F575="",$I575=""),"",MAX(0,IF($L575&lt;&gt;"",$L575,TODAY())-$K575))</f>
        <v/>
      </c>
      <c r="O575" s="135">
        <f>IF(OR($F575="",$I575=""),"",$N575*P_Amende)</f>
        <v/>
      </c>
      <c r="P575" s="133" t="n"/>
      <c r="R575">
        <f>IF($M575="En retard",$N575+ROW()/100000,"")</f>
        <v/>
      </c>
      <c r="S575">
        <f>IF(OR($F575="",$I575=""),"",$F575+ROW()/100000)</f>
        <v/>
      </c>
      <c r="T575">
        <f>IF($I575="","",IFERROR(INDEX(LIV_Cat,MATCH($I575,LIV_Code,0)),""))</f>
        <v/>
      </c>
    </row>
    <row r="576" ht="21" customHeight="1">
      <c r="A576" s="1" t="n"/>
      <c r="B576" s="1" t="n"/>
      <c r="C576" s="2" t="n"/>
      <c r="E576" s="130">
        <f>IF($F576="","","EMP-"&amp;TEXT(ROW()-6,"0000"))</f>
        <v/>
      </c>
      <c r="F576" s="134" t="n"/>
      <c r="G576" s="127" t="n"/>
      <c r="H576" s="130">
        <f>IF($G576="","",IFERROR(INDEX(MEM_Nom,MATCH($G576,MEM_ID,0)),"⚠ ID inconnu"))</f>
        <v/>
      </c>
      <c r="I576" s="127" t="n"/>
      <c r="J576" s="130">
        <f>IF($I576="","",IFERROR(INDEX(LIV_Titre,MATCH($I576,LIV_Code,0)),"⚠ Code inconnu"))</f>
        <v/>
      </c>
      <c r="K576" s="138">
        <f>IF($F576="","",$F576+P_Duree)</f>
        <v/>
      </c>
      <c r="L576" s="134" t="n"/>
      <c r="M576" s="130">
        <f>IF(OR($F576="",$I576=""),"",IF($L576&lt;&gt;"",IF($L576&gt;$K576,"Rendu en retard","Rendu"),IF(TODAY()&gt;$K576,"En retard","En cours")))</f>
        <v/>
      </c>
      <c r="N576" s="139">
        <f>IF(OR($F576="",$I576=""),"",MAX(0,IF($L576&lt;&gt;"",$L576,TODAY())-$K576))</f>
        <v/>
      </c>
      <c r="O576" s="135">
        <f>IF(OR($F576="",$I576=""),"",$N576*P_Amende)</f>
        <v/>
      </c>
      <c r="P576" s="133" t="n"/>
      <c r="R576">
        <f>IF($M576="En retard",$N576+ROW()/100000,"")</f>
        <v/>
      </c>
      <c r="S576">
        <f>IF(OR($F576="",$I576=""),"",$F576+ROW()/100000)</f>
        <v/>
      </c>
      <c r="T576">
        <f>IF($I576="","",IFERROR(INDEX(LIV_Cat,MATCH($I576,LIV_Code,0)),""))</f>
        <v/>
      </c>
    </row>
    <row r="577" ht="21" customHeight="1">
      <c r="A577" s="1" t="n"/>
      <c r="B577" s="1" t="n"/>
      <c r="C577" s="2" t="n"/>
      <c r="E577" s="130">
        <f>IF($F577="","","EMP-"&amp;TEXT(ROW()-6,"0000"))</f>
        <v/>
      </c>
      <c r="F577" s="134" t="n"/>
      <c r="G577" s="127" t="n"/>
      <c r="H577" s="130">
        <f>IF($G577="","",IFERROR(INDEX(MEM_Nom,MATCH($G577,MEM_ID,0)),"⚠ ID inconnu"))</f>
        <v/>
      </c>
      <c r="I577" s="127" t="n"/>
      <c r="J577" s="130">
        <f>IF($I577="","",IFERROR(INDEX(LIV_Titre,MATCH($I577,LIV_Code,0)),"⚠ Code inconnu"))</f>
        <v/>
      </c>
      <c r="K577" s="138">
        <f>IF($F577="","",$F577+P_Duree)</f>
        <v/>
      </c>
      <c r="L577" s="134" t="n"/>
      <c r="M577" s="130">
        <f>IF(OR($F577="",$I577=""),"",IF($L577&lt;&gt;"",IF($L577&gt;$K577,"Rendu en retard","Rendu"),IF(TODAY()&gt;$K577,"En retard","En cours")))</f>
        <v/>
      </c>
      <c r="N577" s="139">
        <f>IF(OR($F577="",$I577=""),"",MAX(0,IF($L577&lt;&gt;"",$L577,TODAY())-$K577))</f>
        <v/>
      </c>
      <c r="O577" s="135">
        <f>IF(OR($F577="",$I577=""),"",$N577*P_Amende)</f>
        <v/>
      </c>
      <c r="P577" s="133" t="n"/>
      <c r="R577">
        <f>IF($M577="En retard",$N577+ROW()/100000,"")</f>
        <v/>
      </c>
      <c r="S577">
        <f>IF(OR($F577="",$I577=""),"",$F577+ROW()/100000)</f>
        <v/>
      </c>
      <c r="T577">
        <f>IF($I577="","",IFERROR(INDEX(LIV_Cat,MATCH($I577,LIV_Code,0)),""))</f>
        <v/>
      </c>
    </row>
    <row r="578" ht="21" customHeight="1">
      <c r="A578" s="1" t="n"/>
      <c r="B578" s="1" t="n"/>
      <c r="C578" s="2" t="n"/>
      <c r="E578" s="130">
        <f>IF($F578="","","EMP-"&amp;TEXT(ROW()-6,"0000"))</f>
        <v/>
      </c>
      <c r="F578" s="134" t="n"/>
      <c r="G578" s="127" t="n"/>
      <c r="H578" s="130">
        <f>IF($G578="","",IFERROR(INDEX(MEM_Nom,MATCH($G578,MEM_ID,0)),"⚠ ID inconnu"))</f>
        <v/>
      </c>
      <c r="I578" s="127" t="n"/>
      <c r="J578" s="130">
        <f>IF($I578="","",IFERROR(INDEX(LIV_Titre,MATCH($I578,LIV_Code,0)),"⚠ Code inconnu"))</f>
        <v/>
      </c>
      <c r="K578" s="138">
        <f>IF($F578="","",$F578+P_Duree)</f>
        <v/>
      </c>
      <c r="L578" s="134" t="n"/>
      <c r="M578" s="130">
        <f>IF(OR($F578="",$I578=""),"",IF($L578&lt;&gt;"",IF($L578&gt;$K578,"Rendu en retard","Rendu"),IF(TODAY()&gt;$K578,"En retard","En cours")))</f>
        <v/>
      </c>
      <c r="N578" s="139">
        <f>IF(OR($F578="",$I578=""),"",MAX(0,IF($L578&lt;&gt;"",$L578,TODAY())-$K578))</f>
        <v/>
      </c>
      <c r="O578" s="135">
        <f>IF(OR($F578="",$I578=""),"",$N578*P_Amende)</f>
        <v/>
      </c>
      <c r="P578" s="133" t="n"/>
      <c r="R578">
        <f>IF($M578="En retard",$N578+ROW()/100000,"")</f>
        <v/>
      </c>
      <c r="S578">
        <f>IF(OR($F578="",$I578=""),"",$F578+ROW()/100000)</f>
        <v/>
      </c>
      <c r="T578">
        <f>IF($I578="","",IFERROR(INDEX(LIV_Cat,MATCH($I578,LIV_Code,0)),""))</f>
        <v/>
      </c>
    </row>
    <row r="579" ht="21" customHeight="1">
      <c r="A579" s="1" t="n"/>
      <c r="B579" s="1" t="n"/>
      <c r="C579" s="2" t="n"/>
      <c r="E579" s="130">
        <f>IF($F579="","","EMP-"&amp;TEXT(ROW()-6,"0000"))</f>
        <v/>
      </c>
      <c r="F579" s="134" t="n"/>
      <c r="G579" s="127" t="n"/>
      <c r="H579" s="130">
        <f>IF($G579="","",IFERROR(INDEX(MEM_Nom,MATCH($G579,MEM_ID,0)),"⚠ ID inconnu"))</f>
        <v/>
      </c>
      <c r="I579" s="127" t="n"/>
      <c r="J579" s="130">
        <f>IF($I579="","",IFERROR(INDEX(LIV_Titre,MATCH($I579,LIV_Code,0)),"⚠ Code inconnu"))</f>
        <v/>
      </c>
      <c r="K579" s="138">
        <f>IF($F579="","",$F579+P_Duree)</f>
        <v/>
      </c>
      <c r="L579" s="134" t="n"/>
      <c r="M579" s="130">
        <f>IF(OR($F579="",$I579=""),"",IF($L579&lt;&gt;"",IF($L579&gt;$K579,"Rendu en retard","Rendu"),IF(TODAY()&gt;$K579,"En retard","En cours")))</f>
        <v/>
      </c>
      <c r="N579" s="139">
        <f>IF(OR($F579="",$I579=""),"",MAX(0,IF($L579&lt;&gt;"",$L579,TODAY())-$K579))</f>
        <v/>
      </c>
      <c r="O579" s="135">
        <f>IF(OR($F579="",$I579=""),"",$N579*P_Amende)</f>
        <v/>
      </c>
      <c r="P579" s="133" t="n"/>
      <c r="R579">
        <f>IF($M579="En retard",$N579+ROW()/100000,"")</f>
        <v/>
      </c>
      <c r="S579">
        <f>IF(OR($F579="",$I579=""),"",$F579+ROW()/100000)</f>
        <v/>
      </c>
      <c r="T579">
        <f>IF($I579="","",IFERROR(INDEX(LIV_Cat,MATCH($I579,LIV_Code,0)),""))</f>
        <v/>
      </c>
    </row>
    <row r="580" ht="21" customHeight="1">
      <c r="A580" s="1" t="n"/>
      <c r="B580" s="1" t="n"/>
      <c r="C580" s="2" t="n"/>
      <c r="E580" s="130">
        <f>IF($F580="","","EMP-"&amp;TEXT(ROW()-6,"0000"))</f>
        <v/>
      </c>
      <c r="F580" s="134" t="n"/>
      <c r="G580" s="127" t="n"/>
      <c r="H580" s="130">
        <f>IF($G580="","",IFERROR(INDEX(MEM_Nom,MATCH($G580,MEM_ID,0)),"⚠ ID inconnu"))</f>
        <v/>
      </c>
      <c r="I580" s="127" t="n"/>
      <c r="J580" s="130">
        <f>IF($I580="","",IFERROR(INDEX(LIV_Titre,MATCH($I580,LIV_Code,0)),"⚠ Code inconnu"))</f>
        <v/>
      </c>
      <c r="K580" s="138">
        <f>IF($F580="","",$F580+P_Duree)</f>
        <v/>
      </c>
      <c r="L580" s="134" t="n"/>
      <c r="M580" s="130">
        <f>IF(OR($F580="",$I580=""),"",IF($L580&lt;&gt;"",IF($L580&gt;$K580,"Rendu en retard","Rendu"),IF(TODAY()&gt;$K580,"En retard","En cours")))</f>
        <v/>
      </c>
      <c r="N580" s="139">
        <f>IF(OR($F580="",$I580=""),"",MAX(0,IF($L580&lt;&gt;"",$L580,TODAY())-$K580))</f>
        <v/>
      </c>
      <c r="O580" s="135">
        <f>IF(OR($F580="",$I580=""),"",$N580*P_Amende)</f>
        <v/>
      </c>
      <c r="P580" s="133" t="n"/>
      <c r="R580">
        <f>IF($M580="En retard",$N580+ROW()/100000,"")</f>
        <v/>
      </c>
      <c r="S580">
        <f>IF(OR($F580="",$I580=""),"",$F580+ROW()/100000)</f>
        <v/>
      </c>
      <c r="T580">
        <f>IF($I580="","",IFERROR(INDEX(LIV_Cat,MATCH($I580,LIV_Code,0)),""))</f>
        <v/>
      </c>
    </row>
    <row r="581" ht="21" customHeight="1">
      <c r="A581" s="1" t="n"/>
      <c r="B581" s="1" t="n"/>
      <c r="C581" s="2" t="n"/>
      <c r="E581" s="130">
        <f>IF($F581="","","EMP-"&amp;TEXT(ROW()-6,"0000"))</f>
        <v/>
      </c>
      <c r="F581" s="134" t="n"/>
      <c r="G581" s="127" t="n"/>
      <c r="H581" s="130">
        <f>IF($G581="","",IFERROR(INDEX(MEM_Nom,MATCH($G581,MEM_ID,0)),"⚠ ID inconnu"))</f>
        <v/>
      </c>
      <c r="I581" s="127" t="n"/>
      <c r="J581" s="130">
        <f>IF($I581="","",IFERROR(INDEX(LIV_Titre,MATCH($I581,LIV_Code,0)),"⚠ Code inconnu"))</f>
        <v/>
      </c>
      <c r="K581" s="138">
        <f>IF($F581="","",$F581+P_Duree)</f>
        <v/>
      </c>
      <c r="L581" s="134" t="n"/>
      <c r="M581" s="130">
        <f>IF(OR($F581="",$I581=""),"",IF($L581&lt;&gt;"",IF($L581&gt;$K581,"Rendu en retard","Rendu"),IF(TODAY()&gt;$K581,"En retard","En cours")))</f>
        <v/>
      </c>
      <c r="N581" s="139">
        <f>IF(OR($F581="",$I581=""),"",MAX(0,IF($L581&lt;&gt;"",$L581,TODAY())-$K581))</f>
        <v/>
      </c>
      <c r="O581" s="135">
        <f>IF(OR($F581="",$I581=""),"",$N581*P_Amende)</f>
        <v/>
      </c>
      <c r="P581" s="133" t="n"/>
      <c r="R581">
        <f>IF($M581="En retard",$N581+ROW()/100000,"")</f>
        <v/>
      </c>
      <c r="S581">
        <f>IF(OR($F581="",$I581=""),"",$F581+ROW()/100000)</f>
        <v/>
      </c>
      <c r="T581">
        <f>IF($I581="","",IFERROR(INDEX(LIV_Cat,MATCH($I581,LIV_Code,0)),""))</f>
        <v/>
      </c>
    </row>
    <row r="582" ht="21" customHeight="1">
      <c r="A582" s="1" t="n"/>
      <c r="B582" s="1" t="n"/>
      <c r="C582" s="2" t="n"/>
      <c r="E582" s="130">
        <f>IF($F582="","","EMP-"&amp;TEXT(ROW()-6,"0000"))</f>
        <v/>
      </c>
      <c r="F582" s="134" t="n"/>
      <c r="G582" s="127" t="n"/>
      <c r="H582" s="130">
        <f>IF($G582="","",IFERROR(INDEX(MEM_Nom,MATCH($G582,MEM_ID,0)),"⚠ ID inconnu"))</f>
        <v/>
      </c>
      <c r="I582" s="127" t="n"/>
      <c r="J582" s="130">
        <f>IF($I582="","",IFERROR(INDEX(LIV_Titre,MATCH($I582,LIV_Code,0)),"⚠ Code inconnu"))</f>
        <v/>
      </c>
      <c r="K582" s="138">
        <f>IF($F582="","",$F582+P_Duree)</f>
        <v/>
      </c>
      <c r="L582" s="134" t="n"/>
      <c r="M582" s="130">
        <f>IF(OR($F582="",$I582=""),"",IF($L582&lt;&gt;"",IF($L582&gt;$K582,"Rendu en retard","Rendu"),IF(TODAY()&gt;$K582,"En retard","En cours")))</f>
        <v/>
      </c>
      <c r="N582" s="139">
        <f>IF(OR($F582="",$I582=""),"",MAX(0,IF($L582&lt;&gt;"",$L582,TODAY())-$K582))</f>
        <v/>
      </c>
      <c r="O582" s="135">
        <f>IF(OR($F582="",$I582=""),"",$N582*P_Amende)</f>
        <v/>
      </c>
      <c r="P582" s="133" t="n"/>
      <c r="R582">
        <f>IF($M582="En retard",$N582+ROW()/100000,"")</f>
        <v/>
      </c>
      <c r="S582">
        <f>IF(OR($F582="",$I582=""),"",$F582+ROW()/100000)</f>
        <v/>
      </c>
      <c r="T582">
        <f>IF($I582="","",IFERROR(INDEX(LIV_Cat,MATCH($I582,LIV_Code,0)),""))</f>
        <v/>
      </c>
    </row>
    <row r="583" ht="21" customHeight="1">
      <c r="A583" s="1" t="n"/>
      <c r="B583" s="1" t="n"/>
      <c r="C583" s="2" t="n"/>
      <c r="E583" s="130">
        <f>IF($F583="","","EMP-"&amp;TEXT(ROW()-6,"0000"))</f>
        <v/>
      </c>
      <c r="F583" s="134" t="n"/>
      <c r="G583" s="127" t="n"/>
      <c r="H583" s="130">
        <f>IF($G583="","",IFERROR(INDEX(MEM_Nom,MATCH($G583,MEM_ID,0)),"⚠ ID inconnu"))</f>
        <v/>
      </c>
      <c r="I583" s="127" t="n"/>
      <c r="J583" s="130">
        <f>IF($I583="","",IFERROR(INDEX(LIV_Titre,MATCH($I583,LIV_Code,0)),"⚠ Code inconnu"))</f>
        <v/>
      </c>
      <c r="K583" s="138">
        <f>IF($F583="","",$F583+P_Duree)</f>
        <v/>
      </c>
      <c r="L583" s="134" t="n"/>
      <c r="M583" s="130">
        <f>IF(OR($F583="",$I583=""),"",IF($L583&lt;&gt;"",IF($L583&gt;$K583,"Rendu en retard","Rendu"),IF(TODAY()&gt;$K583,"En retard","En cours")))</f>
        <v/>
      </c>
      <c r="N583" s="139">
        <f>IF(OR($F583="",$I583=""),"",MAX(0,IF($L583&lt;&gt;"",$L583,TODAY())-$K583))</f>
        <v/>
      </c>
      <c r="O583" s="135">
        <f>IF(OR($F583="",$I583=""),"",$N583*P_Amende)</f>
        <v/>
      </c>
      <c r="P583" s="133" t="n"/>
      <c r="R583">
        <f>IF($M583="En retard",$N583+ROW()/100000,"")</f>
        <v/>
      </c>
      <c r="S583">
        <f>IF(OR($F583="",$I583=""),"",$F583+ROW()/100000)</f>
        <v/>
      </c>
      <c r="T583">
        <f>IF($I583="","",IFERROR(INDEX(LIV_Cat,MATCH($I583,LIV_Code,0)),""))</f>
        <v/>
      </c>
    </row>
    <row r="584" ht="21" customHeight="1">
      <c r="A584" s="1" t="n"/>
      <c r="B584" s="1" t="n"/>
      <c r="C584" s="2" t="n"/>
      <c r="E584" s="130">
        <f>IF($F584="","","EMP-"&amp;TEXT(ROW()-6,"0000"))</f>
        <v/>
      </c>
      <c r="F584" s="134" t="n"/>
      <c r="G584" s="127" t="n"/>
      <c r="H584" s="130">
        <f>IF($G584="","",IFERROR(INDEX(MEM_Nom,MATCH($G584,MEM_ID,0)),"⚠ ID inconnu"))</f>
        <v/>
      </c>
      <c r="I584" s="127" t="n"/>
      <c r="J584" s="130">
        <f>IF($I584="","",IFERROR(INDEX(LIV_Titre,MATCH($I584,LIV_Code,0)),"⚠ Code inconnu"))</f>
        <v/>
      </c>
      <c r="K584" s="138">
        <f>IF($F584="","",$F584+P_Duree)</f>
        <v/>
      </c>
      <c r="L584" s="134" t="n"/>
      <c r="M584" s="130">
        <f>IF(OR($F584="",$I584=""),"",IF($L584&lt;&gt;"",IF($L584&gt;$K584,"Rendu en retard","Rendu"),IF(TODAY()&gt;$K584,"En retard","En cours")))</f>
        <v/>
      </c>
      <c r="N584" s="139">
        <f>IF(OR($F584="",$I584=""),"",MAX(0,IF($L584&lt;&gt;"",$L584,TODAY())-$K584))</f>
        <v/>
      </c>
      <c r="O584" s="135">
        <f>IF(OR($F584="",$I584=""),"",$N584*P_Amende)</f>
        <v/>
      </c>
      <c r="P584" s="133" t="n"/>
      <c r="R584">
        <f>IF($M584="En retard",$N584+ROW()/100000,"")</f>
        <v/>
      </c>
      <c r="S584">
        <f>IF(OR($F584="",$I584=""),"",$F584+ROW()/100000)</f>
        <v/>
      </c>
      <c r="T584">
        <f>IF($I584="","",IFERROR(INDEX(LIV_Cat,MATCH($I584,LIV_Code,0)),""))</f>
        <v/>
      </c>
    </row>
    <row r="585" ht="21" customHeight="1">
      <c r="A585" s="1" t="n"/>
      <c r="B585" s="1" t="n"/>
      <c r="C585" s="2" t="n"/>
      <c r="E585" s="130">
        <f>IF($F585="","","EMP-"&amp;TEXT(ROW()-6,"0000"))</f>
        <v/>
      </c>
      <c r="F585" s="134" t="n"/>
      <c r="G585" s="127" t="n"/>
      <c r="H585" s="130">
        <f>IF($G585="","",IFERROR(INDEX(MEM_Nom,MATCH($G585,MEM_ID,0)),"⚠ ID inconnu"))</f>
        <v/>
      </c>
      <c r="I585" s="127" t="n"/>
      <c r="J585" s="130">
        <f>IF($I585="","",IFERROR(INDEX(LIV_Titre,MATCH($I585,LIV_Code,0)),"⚠ Code inconnu"))</f>
        <v/>
      </c>
      <c r="K585" s="138">
        <f>IF($F585="","",$F585+P_Duree)</f>
        <v/>
      </c>
      <c r="L585" s="134" t="n"/>
      <c r="M585" s="130">
        <f>IF(OR($F585="",$I585=""),"",IF($L585&lt;&gt;"",IF($L585&gt;$K585,"Rendu en retard","Rendu"),IF(TODAY()&gt;$K585,"En retard","En cours")))</f>
        <v/>
      </c>
      <c r="N585" s="139">
        <f>IF(OR($F585="",$I585=""),"",MAX(0,IF($L585&lt;&gt;"",$L585,TODAY())-$K585))</f>
        <v/>
      </c>
      <c r="O585" s="135">
        <f>IF(OR($F585="",$I585=""),"",$N585*P_Amende)</f>
        <v/>
      </c>
      <c r="P585" s="133" t="n"/>
      <c r="R585">
        <f>IF($M585="En retard",$N585+ROW()/100000,"")</f>
        <v/>
      </c>
      <c r="S585">
        <f>IF(OR($F585="",$I585=""),"",$F585+ROW()/100000)</f>
        <v/>
      </c>
      <c r="T585">
        <f>IF($I585="","",IFERROR(INDEX(LIV_Cat,MATCH($I585,LIV_Code,0)),""))</f>
        <v/>
      </c>
    </row>
    <row r="586" ht="21" customHeight="1">
      <c r="A586" s="1" t="n"/>
      <c r="B586" s="1" t="n"/>
      <c r="C586" s="2" t="n"/>
      <c r="E586" s="130">
        <f>IF($F586="","","EMP-"&amp;TEXT(ROW()-6,"0000"))</f>
        <v/>
      </c>
      <c r="F586" s="134" t="n"/>
      <c r="G586" s="127" t="n"/>
      <c r="H586" s="130">
        <f>IF($G586="","",IFERROR(INDEX(MEM_Nom,MATCH($G586,MEM_ID,0)),"⚠ ID inconnu"))</f>
        <v/>
      </c>
      <c r="I586" s="127" t="n"/>
      <c r="J586" s="130">
        <f>IF($I586="","",IFERROR(INDEX(LIV_Titre,MATCH($I586,LIV_Code,0)),"⚠ Code inconnu"))</f>
        <v/>
      </c>
      <c r="K586" s="138">
        <f>IF($F586="","",$F586+P_Duree)</f>
        <v/>
      </c>
      <c r="L586" s="134" t="n"/>
      <c r="M586" s="130">
        <f>IF(OR($F586="",$I586=""),"",IF($L586&lt;&gt;"",IF($L586&gt;$K586,"Rendu en retard","Rendu"),IF(TODAY()&gt;$K586,"En retard","En cours")))</f>
        <v/>
      </c>
      <c r="N586" s="139">
        <f>IF(OR($F586="",$I586=""),"",MAX(0,IF($L586&lt;&gt;"",$L586,TODAY())-$K586))</f>
        <v/>
      </c>
      <c r="O586" s="135">
        <f>IF(OR($F586="",$I586=""),"",$N586*P_Amende)</f>
        <v/>
      </c>
      <c r="P586" s="133" t="n"/>
      <c r="R586">
        <f>IF($M586="En retard",$N586+ROW()/100000,"")</f>
        <v/>
      </c>
      <c r="S586">
        <f>IF(OR($F586="",$I586=""),"",$F586+ROW()/100000)</f>
        <v/>
      </c>
      <c r="T586">
        <f>IF($I586="","",IFERROR(INDEX(LIV_Cat,MATCH($I586,LIV_Code,0)),""))</f>
        <v/>
      </c>
    </row>
    <row r="587" ht="21" customHeight="1">
      <c r="A587" s="1" t="n"/>
      <c r="B587" s="1" t="n"/>
      <c r="C587" s="2" t="n"/>
      <c r="E587" s="130">
        <f>IF($F587="","","EMP-"&amp;TEXT(ROW()-6,"0000"))</f>
        <v/>
      </c>
      <c r="F587" s="134" t="n"/>
      <c r="G587" s="127" t="n"/>
      <c r="H587" s="130">
        <f>IF($G587="","",IFERROR(INDEX(MEM_Nom,MATCH($G587,MEM_ID,0)),"⚠ ID inconnu"))</f>
        <v/>
      </c>
      <c r="I587" s="127" t="n"/>
      <c r="J587" s="130">
        <f>IF($I587="","",IFERROR(INDEX(LIV_Titre,MATCH($I587,LIV_Code,0)),"⚠ Code inconnu"))</f>
        <v/>
      </c>
      <c r="K587" s="138">
        <f>IF($F587="","",$F587+P_Duree)</f>
        <v/>
      </c>
      <c r="L587" s="134" t="n"/>
      <c r="M587" s="130">
        <f>IF(OR($F587="",$I587=""),"",IF($L587&lt;&gt;"",IF($L587&gt;$K587,"Rendu en retard","Rendu"),IF(TODAY()&gt;$K587,"En retard","En cours")))</f>
        <v/>
      </c>
      <c r="N587" s="139">
        <f>IF(OR($F587="",$I587=""),"",MAX(0,IF($L587&lt;&gt;"",$L587,TODAY())-$K587))</f>
        <v/>
      </c>
      <c r="O587" s="135">
        <f>IF(OR($F587="",$I587=""),"",$N587*P_Amende)</f>
        <v/>
      </c>
      <c r="P587" s="133" t="n"/>
      <c r="R587">
        <f>IF($M587="En retard",$N587+ROW()/100000,"")</f>
        <v/>
      </c>
      <c r="S587">
        <f>IF(OR($F587="",$I587=""),"",$F587+ROW()/100000)</f>
        <v/>
      </c>
      <c r="T587">
        <f>IF($I587="","",IFERROR(INDEX(LIV_Cat,MATCH($I587,LIV_Code,0)),""))</f>
        <v/>
      </c>
    </row>
    <row r="588" ht="21" customHeight="1">
      <c r="A588" s="1" t="n"/>
      <c r="B588" s="1" t="n"/>
      <c r="C588" s="2" t="n"/>
      <c r="E588" s="130">
        <f>IF($F588="","","EMP-"&amp;TEXT(ROW()-6,"0000"))</f>
        <v/>
      </c>
      <c r="F588" s="134" t="n"/>
      <c r="G588" s="127" t="n"/>
      <c r="H588" s="130">
        <f>IF($G588="","",IFERROR(INDEX(MEM_Nom,MATCH($G588,MEM_ID,0)),"⚠ ID inconnu"))</f>
        <v/>
      </c>
      <c r="I588" s="127" t="n"/>
      <c r="J588" s="130">
        <f>IF($I588="","",IFERROR(INDEX(LIV_Titre,MATCH($I588,LIV_Code,0)),"⚠ Code inconnu"))</f>
        <v/>
      </c>
      <c r="K588" s="138">
        <f>IF($F588="","",$F588+P_Duree)</f>
        <v/>
      </c>
      <c r="L588" s="134" t="n"/>
      <c r="M588" s="130">
        <f>IF(OR($F588="",$I588=""),"",IF($L588&lt;&gt;"",IF($L588&gt;$K588,"Rendu en retard","Rendu"),IF(TODAY()&gt;$K588,"En retard","En cours")))</f>
        <v/>
      </c>
      <c r="N588" s="139">
        <f>IF(OR($F588="",$I588=""),"",MAX(0,IF($L588&lt;&gt;"",$L588,TODAY())-$K588))</f>
        <v/>
      </c>
      <c r="O588" s="135">
        <f>IF(OR($F588="",$I588=""),"",$N588*P_Amende)</f>
        <v/>
      </c>
      <c r="P588" s="133" t="n"/>
      <c r="R588">
        <f>IF($M588="En retard",$N588+ROW()/100000,"")</f>
        <v/>
      </c>
      <c r="S588">
        <f>IF(OR($F588="",$I588=""),"",$F588+ROW()/100000)</f>
        <v/>
      </c>
      <c r="T588">
        <f>IF($I588="","",IFERROR(INDEX(LIV_Cat,MATCH($I588,LIV_Code,0)),""))</f>
        <v/>
      </c>
    </row>
    <row r="589" ht="21" customHeight="1">
      <c r="A589" s="1" t="n"/>
      <c r="B589" s="1" t="n"/>
      <c r="C589" s="2" t="n"/>
      <c r="E589" s="130">
        <f>IF($F589="","","EMP-"&amp;TEXT(ROW()-6,"0000"))</f>
        <v/>
      </c>
      <c r="F589" s="134" t="n"/>
      <c r="G589" s="127" t="n"/>
      <c r="H589" s="130">
        <f>IF($G589="","",IFERROR(INDEX(MEM_Nom,MATCH($G589,MEM_ID,0)),"⚠ ID inconnu"))</f>
        <v/>
      </c>
      <c r="I589" s="127" t="n"/>
      <c r="J589" s="130">
        <f>IF($I589="","",IFERROR(INDEX(LIV_Titre,MATCH($I589,LIV_Code,0)),"⚠ Code inconnu"))</f>
        <v/>
      </c>
      <c r="K589" s="138">
        <f>IF($F589="","",$F589+P_Duree)</f>
        <v/>
      </c>
      <c r="L589" s="134" t="n"/>
      <c r="M589" s="130">
        <f>IF(OR($F589="",$I589=""),"",IF($L589&lt;&gt;"",IF($L589&gt;$K589,"Rendu en retard","Rendu"),IF(TODAY()&gt;$K589,"En retard","En cours")))</f>
        <v/>
      </c>
      <c r="N589" s="139">
        <f>IF(OR($F589="",$I589=""),"",MAX(0,IF($L589&lt;&gt;"",$L589,TODAY())-$K589))</f>
        <v/>
      </c>
      <c r="O589" s="135">
        <f>IF(OR($F589="",$I589=""),"",$N589*P_Amende)</f>
        <v/>
      </c>
      <c r="P589" s="133" t="n"/>
      <c r="R589">
        <f>IF($M589="En retard",$N589+ROW()/100000,"")</f>
        <v/>
      </c>
      <c r="S589">
        <f>IF(OR($F589="",$I589=""),"",$F589+ROW()/100000)</f>
        <v/>
      </c>
      <c r="T589">
        <f>IF($I589="","",IFERROR(INDEX(LIV_Cat,MATCH($I589,LIV_Code,0)),""))</f>
        <v/>
      </c>
    </row>
    <row r="590" ht="21" customHeight="1">
      <c r="A590" s="1" t="n"/>
      <c r="B590" s="1" t="n"/>
      <c r="C590" s="2" t="n"/>
      <c r="E590" s="130">
        <f>IF($F590="","","EMP-"&amp;TEXT(ROW()-6,"0000"))</f>
        <v/>
      </c>
      <c r="F590" s="134" t="n"/>
      <c r="G590" s="127" t="n"/>
      <c r="H590" s="130">
        <f>IF($G590="","",IFERROR(INDEX(MEM_Nom,MATCH($G590,MEM_ID,0)),"⚠ ID inconnu"))</f>
        <v/>
      </c>
      <c r="I590" s="127" t="n"/>
      <c r="J590" s="130">
        <f>IF($I590="","",IFERROR(INDEX(LIV_Titre,MATCH($I590,LIV_Code,0)),"⚠ Code inconnu"))</f>
        <v/>
      </c>
      <c r="K590" s="138">
        <f>IF($F590="","",$F590+P_Duree)</f>
        <v/>
      </c>
      <c r="L590" s="134" t="n"/>
      <c r="M590" s="130">
        <f>IF(OR($F590="",$I590=""),"",IF($L590&lt;&gt;"",IF($L590&gt;$K590,"Rendu en retard","Rendu"),IF(TODAY()&gt;$K590,"En retard","En cours")))</f>
        <v/>
      </c>
      <c r="N590" s="139">
        <f>IF(OR($F590="",$I590=""),"",MAX(0,IF($L590&lt;&gt;"",$L590,TODAY())-$K590))</f>
        <v/>
      </c>
      <c r="O590" s="135">
        <f>IF(OR($F590="",$I590=""),"",$N590*P_Amende)</f>
        <v/>
      </c>
      <c r="P590" s="133" t="n"/>
      <c r="R590">
        <f>IF($M590="En retard",$N590+ROW()/100000,"")</f>
        <v/>
      </c>
      <c r="S590">
        <f>IF(OR($F590="",$I590=""),"",$F590+ROW()/100000)</f>
        <v/>
      </c>
      <c r="T590">
        <f>IF($I590="","",IFERROR(INDEX(LIV_Cat,MATCH($I590,LIV_Code,0)),""))</f>
        <v/>
      </c>
    </row>
    <row r="591" ht="21" customHeight="1">
      <c r="A591" s="1" t="n"/>
      <c r="B591" s="1" t="n"/>
      <c r="C591" s="2" t="n"/>
      <c r="E591" s="130">
        <f>IF($F591="","","EMP-"&amp;TEXT(ROW()-6,"0000"))</f>
        <v/>
      </c>
      <c r="F591" s="134" t="n"/>
      <c r="G591" s="127" t="n"/>
      <c r="H591" s="130">
        <f>IF($G591="","",IFERROR(INDEX(MEM_Nom,MATCH($G591,MEM_ID,0)),"⚠ ID inconnu"))</f>
        <v/>
      </c>
      <c r="I591" s="127" t="n"/>
      <c r="J591" s="130">
        <f>IF($I591="","",IFERROR(INDEX(LIV_Titre,MATCH($I591,LIV_Code,0)),"⚠ Code inconnu"))</f>
        <v/>
      </c>
      <c r="K591" s="138">
        <f>IF($F591="","",$F591+P_Duree)</f>
        <v/>
      </c>
      <c r="L591" s="134" t="n"/>
      <c r="M591" s="130">
        <f>IF(OR($F591="",$I591=""),"",IF($L591&lt;&gt;"",IF($L591&gt;$K591,"Rendu en retard","Rendu"),IF(TODAY()&gt;$K591,"En retard","En cours")))</f>
        <v/>
      </c>
      <c r="N591" s="139">
        <f>IF(OR($F591="",$I591=""),"",MAX(0,IF($L591&lt;&gt;"",$L591,TODAY())-$K591))</f>
        <v/>
      </c>
      <c r="O591" s="135">
        <f>IF(OR($F591="",$I591=""),"",$N591*P_Amende)</f>
        <v/>
      </c>
      <c r="P591" s="133" t="n"/>
      <c r="R591">
        <f>IF($M591="En retard",$N591+ROW()/100000,"")</f>
        <v/>
      </c>
      <c r="S591">
        <f>IF(OR($F591="",$I591=""),"",$F591+ROW()/100000)</f>
        <v/>
      </c>
      <c r="T591">
        <f>IF($I591="","",IFERROR(INDEX(LIV_Cat,MATCH($I591,LIV_Code,0)),""))</f>
        <v/>
      </c>
    </row>
    <row r="592" ht="21" customHeight="1">
      <c r="A592" s="1" t="n"/>
      <c r="B592" s="1" t="n"/>
      <c r="C592" s="2" t="n"/>
      <c r="E592" s="130">
        <f>IF($F592="","","EMP-"&amp;TEXT(ROW()-6,"0000"))</f>
        <v/>
      </c>
      <c r="F592" s="134" t="n"/>
      <c r="G592" s="127" t="n"/>
      <c r="H592" s="130">
        <f>IF($G592="","",IFERROR(INDEX(MEM_Nom,MATCH($G592,MEM_ID,0)),"⚠ ID inconnu"))</f>
        <v/>
      </c>
      <c r="I592" s="127" t="n"/>
      <c r="J592" s="130">
        <f>IF($I592="","",IFERROR(INDEX(LIV_Titre,MATCH($I592,LIV_Code,0)),"⚠ Code inconnu"))</f>
        <v/>
      </c>
      <c r="K592" s="138">
        <f>IF($F592="","",$F592+P_Duree)</f>
        <v/>
      </c>
      <c r="L592" s="134" t="n"/>
      <c r="M592" s="130">
        <f>IF(OR($F592="",$I592=""),"",IF($L592&lt;&gt;"",IF($L592&gt;$K592,"Rendu en retard","Rendu"),IF(TODAY()&gt;$K592,"En retard","En cours")))</f>
        <v/>
      </c>
      <c r="N592" s="139">
        <f>IF(OR($F592="",$I592=""),"",MAX(0,IF($L592&lt;&gt;"",$L592,TODAY())-$K592))</f>
        <v/>
      </c>
      <c r="O592" s="135">
        <f>IF(OR($F592="",$I592=""),"",$N592*P_Amende)</f>
        <v/>
      </c>
      <c r="P592" s="133" t="n"/>
      <c r="R592">
        <f>IF($M592="En retard",$N592+ROW()/100000,"")</f>
        <v/>
      </c>
      <c r="S592">
        <f>IF(OR($F592="",$I592=""),"",$F592+ROW()/100000)</f>
        <v/>
      </c>
      <c r="T592">
        <f>IF($I592="","",IFERROR(INDEX(LIV_Cat,MATCH($I592,LIV_Code,0)),""))</f>
        <v/>
      </c>
    </row>
    <row r="593" ht="21" customHeight="1">
      <c r="A593" s="1" t="n"/>
      <c r="B593" s="1" t="n"/>
      <c r="C593" s="2" t="n"/>
      <c r="E593" s="130">
        <f>IF($F593="","","EMP-"&amp;TEXT(ROW()-6,"0000"))</f>
        <v/>
      </c>
      <c r="F593" s="134" t="n"/>
      <c r="G593" s="127" t="n"/>
      <c r="H593" s="130">
        <f>IF($G593="","",IFERROR(INDEX(MEM_Nom,MATCH($G593,MEM_ID,0)),"⚠ ID inconnu"))</f>
        <v/>
      </c>
      <c r="I593" s="127" t="n"/>
      <c r="J593" s="130">
        <f>IF($I593="","",IFERROR(INDEX(LIV_Titre,MATCH($I593,LIV_Code,0)),"⚠ Code inconnu"))</f>
        <v/>
      </c>
      <c r="K593" s="138">
        <f>IF($F593="","",$F593+P_Duree)</f>
        <v/>
      </c>
      <c r="L593" s="134" t="n"/>
      <c r="M593" s="130">
        <f>IF(OR($F593="",$I593=""),"",IF($L593&lt;&gt;"",IF($L593&gt;$K593,"Rendu en retard","Rendu"),IF(TODAY()&gt;$K593,"En retard","En cours")))</f>
        <v/>
      </c>
      <c r="N593" s="139">
        <f>IF(OR($F593="",$I593=""),"",MAX(0,IF($L593&lt;&gt;"",$L593,TODAY())-$K593))</f>
        <v/>
      </c>
      <c r="O593" s="135">
        <f>IF(OR($F593="",$I593=""),"",$N593*P_Amende)</f>
        <v/>
      </c>
      <c r="P593" s="133" t="n"/>
      <c r="R593">
        <f>IF($M593="En retard",$N593+ROW()/100000,"")</f>
        <v/>
      </c>
      <c r="S593">
        <f>IF(OR($F593="",$I593=""),"",$F593+ROW()/100000)</f>
        <v/>
      </c>
      <c r="T593">
        <f>IF($I593="","",IFERROR(INDEX(LIV_Cat,MATCH($I593,LIV_Code,0)),""))</f>
        <v/>
      </c>
    </row>
    <row r="594" ht="21" customHeight="1">
      <c r="A594" s="1" t="n"/>
      <c r="B594" s="1" t="n"/>
      <c r="C594" s="2" t="n"/>
      <c r="E594" s="130">
        <f>IF($F594="","","EMP-"&amp;TEXT(ROW()-6,"0000"))</f>
        <v/>
      </c>
      <c r="F594" s="134" t="n"/>
      <c r="G594" s="127" t="n"/>
      <c r="H594" s="130">
        <f>IF($G594="","",IFERROR(INDEX(MEM_Nom,MATCH($G594,MEM_ID,0)),"⚠ ID inconnu"))</f>
        <v/>
      </c>
      <c r="I594" s="127" t="n"/>
      <c r="J594" s="130">
        <f>IF($I594="","",IFERROR(INDEX(LIV_Titre,MATCH($I594,LIV_Code,0)),"⚠ Code inconnu"))</f>
        <v/>
      </c>
      <c r="K594" s="138">
        <f>IF($F594="","",$F594+P_Duree)</f>
        <v/>
      </c>
      <c r="L594" s="134" t="n"/>
      <c r="M594" s="130">
        <f>IF(OR($F594="",$I594=""),"",IF($L594&lt;&gt;"",IF($L594&gt;$K594,"Rendu en retard","Rendu"),IF(TODAY()&gt;$K594,"En retard","En cours")))</f>
        <v/>
      </c>
      <c r="N594" s="139">
        <f>IF(OR($F594="",$I594=""),"",MAX(0,IF($L594&lt;&gt;"",$L594,TODAY())-$K594))</f>
        <v/>
      </c>
      <c r="O594" s="135">
        <f>IF(OR($F594="",$I594=""),"",$N594*P_Amende)</f>
        <v/>
      </c>
      <c r="P594" s="133" t="n"/>
      <c r="R594">
        <f>IF($M594="En retard",$N594+ROW()/100000,"")</f>
        <v/>
      </c>
      <c r="S594">
        <f>IF(OR($F594="",$I594=""),"",$F594+ROW()/100000)</f>
        <v/>
      </c>
      <c r="T594">
        <f>IF($I594="","",IFERROR(INDEX(LIV_Cat,MATCH($I594,LIV_Code,0)),""))</f>
        <v/>
      </c>
    </row>
    <row r="595" ht="21" customHeight="1">
      <c r="A595" s="1" t="n"/>
      <c r="B595" s="1" t="n"/>
      <c r="C595" s="2" t="n"/>
      <c r="E595" s="130">
        <f>IF($F595="","","EMP-"&amp;TEXT(ROW()-6,"0000"))</f>
        <v/>
      </c>
      <c r="F595" s="134" t="n"/>
      <c r="G595" s="127" t="n"/>
      <c r="H595" s="130">
        <f>IF($G595="","",IFERROR(INDEX(MEM_Nom,MATCH($G595,MEM_ID,0)),"⚠ ID inconnu"))</f>
        <v/>
      </c>
      <c r="I595" s="127" t="n"/>
      <c r="J595" s="130">
        <f>IF($I595="","",IFERROR(INDEX(LIV_Titre,MATCH($I595,LIV_Code,0)),"⚠ Code inconnu"))</f>
        <v/>
      </c>
      <c r="K595" s="138">
        <f>IF($F595="","",$F595+P_Duree)</f>
        <v/>
      </c>
      <c r="L595" s="134" t="n"/>
      <c r="M595" s="130">
        <f>IF(OR($F595="",$I595=""),"",IF($L595&lt;&gt;"",IF($L595&gt;$K595,"Rendu en retard","Rendu"),IF(TODAY()&gt;$K595,"En retard","En cours")))</f>
        <v/>
      </c>
      <c r="N595" s="139">
        <f>IF(OR($F595="",$I595=""),"",MAX(0,IF($L595&lt;&gt;"",$L595,TODAY())-$K595))</f>
        <v/>
      </c>
      <c r="O595" s="135">
        <f>IF(OR($F595="",$I595=""),"",$N595*P_Amende)</f>
        <v/>
      </c>
      <c r="P595" s="133" t="n"/>
      <c r="R595">
        <f>IF($M595="En retard",$N595+ROW()/100000,"")</f>
        <v/>
      </c>
      <c r="S595">
        <f>IF(OR($F595="",$I595=""),"",$F595+ROW()/100000)</f>
        <v/>
      </c>
      <c r="T595">
        <f>IF($I595="","",IFERROR(INDEX(LIV_Cat,MATCH($I595,LIV_Code,0)),""))</f>
        <v/>
      </c>
    </row>
    <row r="596" ht="21" customHeight="1">
      <c r="A596" s="1" t="n"/>
      <c r="B596" s="1" t="n"/>
      <c r="C596" s="2" t="n"/>
      <c r="E596" s="130">
        <f>IF($F596="","","EMP-"&amp;TEXT(ROW()-6,"0000"))</f>
        <v/>
      </c>
      <c r="F596" s="134" t="n"/>
      <c r="G596" s="127" t="n"/>
      <c r="H596" s="130">
        <f>IF($G596="","",IFERROR(INDEX(MEM_Nom,MATCH($G596,MEM_ID,0)),"⚠ ID inconnu"))</f>
        <v/>
      </c>
      <c r="I596" s="127" t="n"/>
      <c r="J596" s="130">
        <f>IF($I596="","",IFERROR(INDEX(LIV_Titre,MATCH($I596,LIV_Code,0)),"⚠ Code inconnu"))</f>
        <v/>
      </c>
      <c r="K596" s="138">
        <f>IF($F596="","",$F596+P_Duree)</f>
        <v/>
      </c>
      <c r="L596" s="134" t="n"/>
      <c r="M596" s="130">
        <f>IF(OR($F596="",$I596=""),"",IF($L596&lt;&gt;"",IF($L596&gt;$K596,"Rendu en retard","Rendu"),IF(TODAY()&gt;$K596,"En retard","En cours")))</f>
        <v/>
      </c>
      <c r="N596" s="139">
        <f>IF(OR($F596="",$I596=""),"",MAX(0,IF($L596&lt;&gt;"",$L596,TODAY())-$K596))</f>
        <v/>
      </c>
      <c r="O596" s="135">
        <f>IF(OR($F596="",$I596=""),"",$N596*P_Amende)</f>
        <v/>
      </c>
      <c r="P596" s="133" t="n"/>
      <c r="R596">
        <f>IF($M596="En retard",$N596+ROW()/100000,"")</f>
        <v/>
      </c>
      <c r="S596">
        <f>IF(OR($F596="",$I596=""),"",$F596+ROW()/100000)</f>
        <v/>
      </c>
      <c r="T596">
        <f>IF($I596="","",IFERROR(INDEX(LIV_Cat,MATCH($I596,LIV_Code,0)),""))</f>
        <v/>
      </c>
    </row>
    <row r="597" ht="21" customHeight="1">
      <c r="A597" s="1" t="n"/>
      <c r="B597" s="1" t="n"/>
      <c r="C597" s="2" t="n"/>
      <c r="E597" s="130">
        <f>IF($F597="","","EMP-"&amp;TEXT(ROW()-6,"0000"))</f>
        <v/>
      </c>
      <c r="F597" s="134" t="n"/>
      <c r="G597" s="127" t="n"/>
      <c r="H597" s="130">
        <f>IF($G597="","",IFERROR(INDEX(MEM_Nom,MATCH($G597,MEM_ID,0)),"⚠ ID inconnu"))</f>
        <v/>
      </c>
      <c r="I597" s="127" t="n"/>
      <c r="J597" s="130">
        <f>IF($I597="","",IFERROR(INDEX(LIV_Titre,MATCH($I597,LIV_Code,0)),"⚠ Code inconnu"))</f>
        <v/>
      </c>
      <c r="K597" s="138">
        <f>IF($F597="","",$F597+P_Duree)</f>
        <v/>
      </c>
      <c r="L597" s="134" t="n"/>
      <c r="M597" s="130">
        <f>IF(OR($F597="",$I597=""),"",IF($L597&lt;&gt;"",IF($L597&gt;$K597,"Rendu en retard","Rendu"),IF(TODAY()&gt;$K597,"En retard","En cours")))</f>
        <v/>
      </c>
      <c r="N597" s="139">
        <f>IF(OR($F597="",$I597=""),"",MAX(0,IF($L597&lt;&gt;"",$L597,TODAY())-$K597))</f>
        <v/>
      </c>
      <c r="O597" s="135">
        <f>IF(OR($F597="",$I597=""),"",$N597*P_Amende)</f>
        <v/>
      </c>
      <c r="P597" s="133" t="n"/>
      <c r="R597">
        <f>IF($M597="En retard",$N597+ROW()/100000,"")</f>
        <v/>
      </c>
      <c r="S597">
        <f>IF(OR($F597="",$I597=""),"",$F597+ROW()/100000)</f>
        <v/>
      </c>
      <c r="T597">
        <f>IF($I597="","",IFERROR(INDEX(LIV_Cat,MATCH($I597,LIV_Code,0)),""))</f>
        <v/>
      </c>
    </row>
    <row r="598" ht="21" customHeight="1">
      <c r="A598" s="1" t="n"/>
      <c r="B598" s="1" t="n"/>
      <c r="C598" s="2" t="n"/>
      <c r="E598" s="130">
        <f>IF($F598="","","EMP-"&amp;TEXT(ROW()-6,"0000"))</f>
        <v/>
      </c>
      <c r="F598" s="134" t="n"/>
      <c r="G598" s="127" t="n"/>
      <c r="H598" s="130">
        <f>IF($G598="","",IFERROR(INDEX(MEM_Nom,MATCH($G598,MEM_ID,0)),"⚠ ID inconnu"))</f>
        <v/>
      </c>
      <c r="I598" s="127" t="n"/>
      <c r="J598" s="130">
        <f>IF($I598="","",IFERROR(INDEX(LIV_Titre,MATCH($I598,LIV_Code,0)),"⚠ Code inconnu"))</f>
        <v/>
      </c>
      <c r="K598" s="138">
        <f>IF($F598="","",$F598+P_Duree)</f>
        <v/>
      </c>
      <c r="L598" s="134" t="n"/>
      <c r="M598" s="130">
        <f>IF(OR($F598="",$I598=""),"",IF($L598&lt;&gt;"",IF($L598&gt;$K598,"Rendu en retard","Rendu"),IF(TODAY()&gt;$K598,"En retard","En cours")))</f>
        <v/>
      </c>
      <c r="N598" s="139">
        <f>IF(OR($F598="",$I598=""),"",MAX(0,IF($L598&lt;&gt;"",$L598,TODAY())-$K598))</f>
        <v/>
      </c>
      <c r="O598" s="135">
        <f>IF(OR($F598="",$I598=""),"",$N598*P_Amende)</f>
        <v/>
      </c>
      <c r="P598" s="133" t="n"/>
      <c r="R598">
        <f>IF($M598="En retard",$N598+ROW()/100000,"")</f>
        <v/>
      </c>
      <c r="S598">
        <f>IF(OR($F598="",$I598=""),"",$F598+ROW()/100000)</f>
        <v/>
      </c>
      <c r="T598">
        <f>IF($I598="","",IFERROR(INDEX(LIV_Cat,MATCH($I598,LIV_Code,0)),""))</f>
        <v/>
      </c>
    </row>
    <row r="599" ht="21" customHeight="1">
      <c r="A599" s="1" t="n"/>
      <c r="B599" s="1" t="n"/>
      <c r="C599" s="2" t="n"/>
      <c r="E599" s="130">
        <f>IF($F599="","","EMP-"&amp;TEXT(ROW()-6,"0000"))</f>
        <v/>
      </c>
      <c r="F599" s="134" t="n"/>
      <c r="G599" s="127" t="n"/>
      <c r="H599" s="130">
        <f>IF($G599="","",IFERROR(INDEX(MEM_Nom,MATCH($G599,MEM_ID,0)),"⚠ ID inconnu"))</f>
        <v/>
      </c>
      <c r="I599" s="127" t="n"/>
      <c r="J599" s="130">
        <f>IF($I599="","",IFERROR(INDEX(LIV_Titre,MATCH($I599,LIV_Code,0)),"⚠ Code inconnu"))</f>
        <v/>
      </c>
      <c r="K599" s="138">
        <f>IF($F599="","",$F599+P_Duree)</f>
        <v/>
      </c>
      <c r="L599" s="134" t="n"/>
      <c r="M599" s="130">
        <f>IF(OR($F599="",$I599=""),"",IF($L599&lt;&gt;"",IF($L599&gt;$K599,"Rendu en retard","Rendu"),IF(TODAY()&gt;$K599,"En retard","En cours")))</f>
        <v/>
      </c>
      <c r="N599" s="139">
        <f>IF(OR($F599="",$I599=""),"",MAX(0,IF($L599&lt;&gt;"",$L599,TODAY())-$K599))</f>
        <v/>
      </c>
      <c r="O599" s="135">
        <f>IF(OR($F599="",$I599=""),"",$N599*P_Amende)</f>
        <v/>
      </c>
      <c r="P599" s="133" t="n"/>
      <c r="R599">
        <f>IF($M599="En retard",$N599+ROW()/100000,"")</f>
        <v/>
      </c>
      <c r="S599">
        <f>IF(OR($F599="",$I599=""),"",$F599+ROW()/100000)</f>
        <v/>
      </c>
      <c r="T599">
        <f>IF($I599="","",IFERROR(INDEX(LIV_Cat,MATCH($I599,LIV_Code,0)),""))</f>
        <v/>
      </c>
    </row>
    <row r="600" ht="21" customHeight="1">
      <c r="A600" s="1" t="n"/>
      <c r="B600" s="1" t="n"/>
      <c r="C600" s="2" t="n"/>
      <c r="E600" s="130">
        <f>IF($F600="","","EMP-"&amp;TEXT(ROW()-6,"0000"))</f>
        <v/>
      </c>
      <c r="F600" s="134" t="n"/>
      <c r="G600" s="127" t="n"/>
      <c r="H600" s="130">
        <f>IF($G600="","",IFERROR(INDEX(MEM_Nom,MATCH($G600,MEM_ID,0)),"⚠ ID inconnu"))</f>
        <v/>
      </c>
      <c r="I600" s="127" t="n"/>
      <c r="J600" s="130">
        <f>IF($I600="","",IFERROR(INDEX(LIV_Titre,MATCH($I600,LIV_Code,0)),"⚠ Code inconnu"))</f>
        <v/>
      </c>
      <c r="K600" s="138">
        <f>IF($F600="","",$F600+P_Duree)</f>
        <v/>
      </c>
      <c r="L600" s="134" t="n"/>
      <c r="M600" s="130">
        <f>IF(OR($F600="",$I600=""),"",IF($L600&lt;&gt;"",IF($L600&gt;$K600,"Rendu en retard","Rendu"),IF(TODAY()&gt;$K600,"En retard","En cours")))</f>
        <v/>
      </c>
      <c r="N600" s="139">
        <f>IF(OR($F600="",$I600=""),"",MAX(0,IF($L600&lt;&gt;"",$L600,TODAY())-$K600))</f>
        <v/>
      </c>
      <c r="O600" s="135">
        <f>IF(OR($F600="",$I600=""),"",$N600*P_Amende)</f>
        <v/>
      </c>
      <c r="P600" s="133" t="n"/>
      <c r="R600">
        <f>IF($M600="En retard",$N600+ROW()/100000,"")</f>
        <v/>
      </c>
      <c r="S600">
        <f>IF(OR($F600="",$I600=""),"",$F600+ROW()/100000)</f>
        <v/>
      </c>
      <c r="T600">
        <f>IF($I600="","",IFERROR(INDEX(LIV_Cat,MATCH($I600,LIV_Code,0)),""))</f>
        <v/>
      </c>
    </row>
    <row r="601" ht="21" customHeight="1">
      <c r="A601" s="1" t="n"/>
      <c r="B601" s="1" t="n"/>
      <c r="C601" s="2" t="n"/>
      <c r="E601" s="130">
        <f>IF($F601="","","EMP-"&amp;TEXT(ROW()-6,"0000"))</f>
        <v/>
      </c>
      <c r="F601" s="134" t="n"/>
      <c r="G601" s="127" t="n"/>
      <c r="H601" s="130">
        <f>IF($G601="","",IFERROR(INDEX(MEM_Nom,MATCH($G601,MEM_ID,0)),"⚠ ID inconnu"))</f>
        <v/>
      </c>
      <c r="I601" s="127" t="n"/>
      <c r="J601" s="130">
        <f>IF($I601="","",IFERROR(INDEX(LIV_Titre,MATCH($I601,LIV_Code,0)),"⚠ Code inconnu"))</f>
        <v/>
      </c>
      <c r="K601" s="138">
        <f>IF($F601="","",$F601+P_Duree)</f>
        <v/>
      </c>
      <c r="L601" s="134" t="n"/>
      <c r="M601" s="130">
        <f>IF(OR($F601="",$I601=""),"",IF($L601&lt;&gt;"",IF($L601&gt;$K601,"Rendu en retard","Rendu"),IF(TODAY()&gt;$K601,"En retard","En cours")))</f>
        <v/>
      </c>
      <c r="N601" s="139">
        <f>IF(OR($F601="",$I601=""),"",MAX(0,IF($L601&lt;&gt;"",$L601,TODAY())-$K601))</f>
        <v/>
      </c>
      <c r="O601" s="135">
        <f>IF(OR($F601="",$I601=""),"",$N601*P_Amende)</f>
        <v/>
      </c>
      <c r="P601" s="133" t="n"/>
      <c r="R601">
        <f>IF($M601="En retard",$N601+ROW()/100000,"")</f>
        <v/>
      </c>
      <c r="S601">
        <f>IF(OR($F601="",$I601=""),"",$F601+ROW()/100000)</f>
        <v/>
      </c>
      <c r="T601">
        <f>IF($I601="","",IFERROR(INDEX(LIV_Cat,MATCH($I601,LIV_Code,0)),""))</f>
        <v/>
      </c>
    </row>
    <row r="602" ht="21" customHeight="1">
      <c r="A602" s="1" t="n"/>
      <c r="B602" s="1" t="n"/>
      <c r="C602" s="2" t="n"/>
      <c r="E602" s="130">
        <f>IF($F602="","","EMP-"&amp;TEXT(ROW()-6,"0000"))</f>
        <v/>
      </c>
      <c r="F602" s="134" t="n"/>
      <c r="G602" s="127" t="n"/>
      <c r="H602" s="130">
        <f>IF($G602="","",IFERROR(INDEX(MEM_Nom,MATCH($G602,MEM_ID,0)),"⚠ ID inconnu"))</f>
        <v/>
      </c>
      <c r="I602" s="127" t="n"/>
      <c r="J602" s="130">
        <f>IF($I602="","",IFERROR(INDEX(LIV_Titre,MATCH($I602,LIV_Code,0)),"⚠ Code inconnu"))</f>
        <v/>
      </c>
      <c r="K602" s="138">
        <f>IF($F602="","",$F602+P_Duree)</f>
        <v/>
      </c>
      <c r="L602" s="134" t="n"/>
      <c r="M602" s="130">
        <f>IF(OR($F602="",$I602=""),"",IF($L602&lt;&gt;"",IF($L602&gt;$K602,"Rendu en retard","Rendu"),IF(TODAY()&gt;$K602,"En retard","En cours")))</f>
        <v/>
      </c>
      <c r="N602" s="139">
        <f>IF(OR($F602="",$I602=""),"",MAX(0,IF($L602&lt;&gt;"",$L602,TODAY())-$K602))</f>
        <v/>
      </c>
      <c r="O602" s="135">
        <f>IF(OR($F602="",$I602=""),"",$N602*P_Amende)</f>
        <v/>
      </c>
      <c r="P602" s="133" t="n"/>
      <c r="R602">
        <f>IF($M602="En retard",$N602+ROW()/100000,"")</f>
        <v/>
      </c>
      <c r="S602">
        <f>IF(OR($F602="",$I602=""),"",$F602+ROW()/100000)</f>
        <v/>
      </c>
      <c r="T602">
        <f>IF($I602="","",IFERROR(INDEX(LIV_Cat,MATCH($I602,LIV_Code,0)),""))</f>
        <v/>
      </c>
    </row>
    <row r="603" ht="21" customHeight="1">
      <c r="A603" s="1" t="n"/>
      <c r="B603" s="1" t="n"/>
      <c r="C603" s="2" t="n"/>
      <c r="E603" s="130">
        <f>IF($F603="","","EMP-"&amp;TEXT(ROW()-6,"0000"))</f>
        <v/>
      </c>
      <c r="F603" s="134" t="n"/>
      <c r="G603" s="127" t="n"/>
      <c r="H603" s="130">
        <f>IF($G603="","",IFERROR(INDEX(MEM_Nom,MATCH($G603,MEM_ID,0)),"⚠ ID inconnu"))</f>
        <v/>
      </c>
      <c r="I603" s="127" t="n"/>
      <c r="J603" s="130">
        <f>IF($I603="","",IFERROR(INDEX(LIV_Titre,MATCH($I603,LIV_Code,0)),"⚠ Code inconnu"))</f>
        <v/>
      </c>
      <c r="K603" s="138">
        <f>IF($F603="","",$F603+P_Duree)</f>
        <v/>
      </c>
      <c r="L603" s="134" t="n"/>
      <c r="M603" s="130">
        <f>IF(OR($F603="",$I603=""),"",IF($L603&lt;&gt;"",IF($L603&gt;$K603,"Rendu en retard","Rendu"),IF(TODAY()&gt;$K603,"En retard","En cours")))</f>
        <v/>
      </c>
      <c r="N603" s="139">
        <f>IF(OR($F603="",$I603=""),"",MAX(0,IF($L603&lt;&gt;"",$L603,TODAY())-$K603))</f>
        <v/>
      </c>
      <c r="O603" s="135">
        <f>IF(OR($F603="",$I603=""),"",$N603*P_Amende)</f>
        <v/>
      </c>
      <c r="P603" s="133" t="n"/>
      <c r="R603">
        <f>IF($M603="En retard",$N603+ROW()/100000,"")</f>
        <v/>
      </c>
      <c r="S603">
        <f>IF(OR($F603="",$I603=""),"",$F603+ROW()/100000)</f>
        <v/>
      </c>
      <c r="T603">
        <f>IF($I603="","",IFERROR(INDEX(LIV_Cat,MATCH($I603,LIV_Code,0)),""))</f>
        <v/>
      </c>
    </row>
    <row r="604" ht="21" customHeight="1">
      <c r="A604" s="1" t="n"/>
      <c r="B604" s="1" t="n"/>
      <c r="C604" s="2" t="n"/>
      <c r="E604" s="130">
        <f>IF($F604="","","EMP-"&amp;TEXT(ROW()-6,"0000"))</f>
        <v/>
      </c>
      <c r="F604" s="134" t="n"/>
      <c r="G604" s="127" t="n"/>
      <c r="H604" s="130">
        <f>IF($G604="","",IFERROR(INDEX(MEM_Nom,MATCH($G604,MEM_ID,0)),"⚠ ID inconnu"))</f>
        <v/>
      </c>
      <c r="I604" s="127" t="n"/>
      <c r="J604" s="130">
        <f>IF($I604="","",IFERROR(INDEX(LIV_Titre,MATCH($I604,LIV_Code,0)),"⚠ Code inconnu"))</f>
        <v/>
      </c>
      <c r="K604" s="138">
        <f>IF($F604="","",$F604+P_Duree)</f>
        <v/>
      </c>
      <c r="L604" s="134" t="n"/>
      <c r="M604" s="130">
        <f>IF(OR($F604="",$I604=""),"",IF($L604&lt;&gt;"",IF($L604&gt;$K604,"Rendu en retard","Rendu"),IF(TODAY()&gt;$K604,"En retard","En cours")))</f>
        <v/>
      </c>
      <c r="N604" s="139">
        <f>IF(OR($F604="",$I604=""),"",MAX(0,IF($L604&lt;&gt;"",$L604,TODAY())-$K604))</f>
        <v/>
      </c>
      <c r="O604" s="135">
        <f>IF(OR($F604="",$I604=""),"",$N604*P_Amende)</f>
        <v/>
      </c>
      <c r="P604" s="133" t="n"/>
      <c r="R604">
        <f>IF($M604="En retard",$N604+ROW()/100000,"")</f>
        <v/>
      </c>
      <c r="S604">
        <f>IF(OR($F604="",$I604=""),"",$F604+ROW()/100000)</f>
        <v/>
      </c>
      <c r="T604">
        <f>IF($I604="","",IFERROR(INDEX(LIV_Cat,MATCH($I604,LIV_Code,0)),""))</f>
        <v/>
      </c>
    </row>
    <row r="605" ht="21" customHeight="1">
      <c r="A605" s="1" t="n"/>
      <c r="B605" s="1" t="n"/>
      <c r="C605" s="2" t="n"/>
      <c r="E605" s="130">
        <f>IF($F605="","","EMP-"&amp;TEXT(ROW()-6,"0000"))</f>
        <v/>
      </c>
      <c r="F605" s="134" t="n"/>
      <c r="G605" s="127" t="n"/>
      <c r="H605" s="130">
        <f>IF($G605="","",IFERROR(INDEX(MEM_Nom,MATCH($G605,MEM_ID,0)),"⚠ ID inconnu"))</f>
        <v/>
      </c>
      <c r="I605" s="127" t="n"/>
      <c r="J605" s="130">
        <f>IF($I605="","",IFERROR(INDEX(LIV_Titre,MATCH($I605,LIV_Code,0)),"⚠ Code inconnu"))</f>
        <v/>
      </c>
      <c r="K605" s="138">
        <f>IF($F605="","",$F605+P_Duree)</f>
        <v/>
      </c>
      <c r="L605" s="134" t="n"/>
      <c r="M605" s="130">
        <f>IF(OR($F605="",$I605=""),"",IF($L605&lt;&gt;"",IF($L605&gt;$K605,"Rendu en retard","Rendu"),IF(TODAY()&gt;$K605,"En retard","En cours")))</f>
        <v/>
      </c>
      <c r="N605" s="139">
        <f>IF(OR($F605="",$I605=""),"",MAX(0,IF($L605&lt;&gt;"",$L605,TODAY())-$K605))</f>
        <v/>
      </c>
      <c r="O605" s="135">
        <f>IF(OR($F605="",$I605=""),"",$N605*P_Amende)</f>
        <v/>
      </c>
      <c r="P605" s="133" t="n"/>
      <c r="R605">
        <f>IF($M605="En retard",$N605+ROW()/100000,"")</f>
        <v/>
      </c>
      <c r="S605">
        <f>IF(OR($F605="",$I605=""),"",$F605+ROW()/100000)</f>
        <v/>
      </c>
      <c r="T605">
        <f>IF($I605="","",IFERROR(INDEX(LIV_Cat,MATCH($I605,LIV_Code,0)),""))</f>
        <v/>
      </c>
    </row>
    <row r="606" ht="21" customHeight="1">
      <c r="A606" s="1" t="n"/>
      <c r="B606" s="1" t="n"/>
      <c r="C606" s="2" t="n"/>
      <c r="E606" s="130">
        <f>IF($F606="","","EMP-"&amp;TEXT(ROW()-6,"0000"))</f>
        <v/>
      </c>
      <c r="F606" s="134" t="n"/>
      <c r="G606" s="127" t="n"/>
      <c r="H606" s="130">
        <f>IF($G606="","",IFERROR(INDEX(MEM_Nom,MATCH($G606,MEM_ID,0)),"⚠ ID inconnu"))</f>
        <v/>
      </c>
      <c r="I606" s="127" t="n"/>
      <c r="J606" s="130">
        <f>IF($I606="","",IFERROR(INDEX(LIV_Titre,MATCH($I606,LIV_Code,0)),"⚠ Code inconnu"))</f>
        <v/>
      </c>
      <c r="K606" s="138">
        <f>IF($F606="","",$F606+P_Duree)</f>
        <v/>
      </c>
      <c r="L606" s="134" t="n"/>
      <c r="M606" s="130">
        <f>IF(OR($F606="",$I606=""),"",IF($L606&lt;&gt;"",IF($L606&gt;$K606,"Rendu en retard","Rendu"),IF(TODAY()&gt;$K606,"En retard","En cours")))</f>
        <v/>
      </c>
      <c r="N606" s="139">
        <f>IF(OR($F606="",$I606=""),"",MAX(0,IF($L606&lt;&gt;"",$L606,TODAY())-$K606))</f>
        <v/>
      </c>
      <c r="O606" s="135">
        <f>IF(OR($F606="",$I606=""),"",$N606*P_Amende)</f>
        <v/>
      </c>
      <c r="P606" s="133" t="n"/>
      <c r="R606">
        <f>IF($M606="En retard",$N606+ROW()/100000,"")</f>
        <v/>
      </c>
      <c r="S606">
        <f>IF(OR($F606="",$I606=""),"",$F606+ROW()/100000)</f>
        <v/>
      </c>
      <c r="T606">
        <f>IF($I606="","",IFERROR(INDEX(LIV_Cat,MATCH($I606,LIV_Code,0)),""))</f>
        <v/>
      </c>
    </row>
    <row r="607" ht="21" customHeight="1">
      <c r="A607" s="1" t="n"/>
      <c r="B607" s="1" t="n"/>
      <c r="C607" s="2" t="n"/>
      <c r="E607" s="130">
        <f>IF($F607="","","EMP-"&amp;TEXT(ROW()-6,"0000"))</f>
        <v/>
      </c>
      <c r="F607" s="134" t="n"/>
      <c r="G607" s="127" t="n"/>
      <c r="H607" s="130">
        <f>IF($G607="","",IFERROR(INDEX(MEM_Nom,MATCH($G607,MEM_ID,0)),"⚠ ID inconnu"))</f>
        <v/>
      </c>
      <c r="I607" s="127" t="n"/>
      <c r="J607" s="130">
        <f>IF($I607="","",IFERROR(INDEX(LIV_Titre,MATCH($I607,LIV_Code,0)),"⚠ Code inconnu"))</f>
        <v/>
      </c>
      <c r="K607" s="138">
        <f>IF($F607="","",$F607+P_Duree)</f>
        <v/>
      </c>
      <c r="L607" s="134" t="n"/>
      <c r="M607" s="130">
        <f>IF(OR($F607="",$I607=""),"",IF($L607&lt;&gt;"",IF($L607&gt;$K607,"Rendu en retard","Rendu"),IF(TODAY()&gt;$K607,"En retard","En cours")))</f>
        <v/>
      </c>
      <c r="N607" s="139">
        <f>IF(OR($F607="",$I607=""),"",MAX(0,IF($L607&lt;&gt;"",$L607,TODAY())-$K607))</f>
        <v/>
      </c>
      <c r="O607" s="135">
        <f>IF(OR($F607="",$I607=""),"",$N607*P_Amende)</f>
        <v/>
      </c>
      <c r="P607" s="133" t="n"/>
      <c r="R607">
        <f>IF($M607="En retard",$N607+ROW()/100000,"")</f>
        <v/>
      </c>
      <c r="S607">
        <f>IF(OR($F607="",$I607=""),"",$F607+ROW()/100000)</f>
        <v/>
      </c>
      <c r="T607">
        <f>IF($I607="","",IFERROR(INDEX(LIV_Cat,MATCH($I607,LIV_Code,0)),""))</f>
        <v/>
      </c>
    </row>
    <row r="608" ht="21" customHeight="1">
      <c r="A608" s="1" t="n"/>
      <c r="B608" s="1" t="n"/>
      <c r="C608" s="2" t="n"/>
      <c r="E608" s="130">
        <f>IF($F608="","","EMP-"&amp;TEXT(ROW()-6,"0000"))</f>
        <v/>
      </c>
      <c r="F608" s="134" t="n"/>
      <c r="G608" s="127" t="n"/>
      <c r="H608" s="130">
        <f>IF($G608="","",IFERROR(INDEX(MEM_Nom,MATCH($G608,MEM_ID,0)),"⚠ ID inconnu"))</f>
        <v/>
      </c>
      <c r="I608" s="127" t="n"/>
      <c r="J608" s="130">
        <f>IF($I608="","",IFERROR(INDEX(LIV_Titre,MATCH($I608,LIV_Code,0)),"⚠ Code inconnu"))</f>
        <v/>
      </c>
      <c r="K608" s="138">
        <f>IF($F608="","",$F608+P_Duree)</f>
        <v/>
      </c>
      <c r="L608" s="134" t="n"/>
      <c r="M608" s="130">
        <f>IF(OR($F608="",$I608=""),"",IF($L608&lt;&gt;"",IF($L608&gt;$K608,"Rendu en retard","Rendu"),IF(TODAY()&gt;$K608,"En retard","En cours")))</f>
        <v/>
      </c>
      <c r="N608" s="139">
        <f>IF(OR($F608="",$I608=""),"",MAX(0,IF($L608&lt;&gt;"",$L608,TODAY())-$K608))</f>
        <v/>
      </c>
      <c r="O608" s="135">
        <f>IF(OR($F608="",$I608=""),"",$N608*P_Amende)</f>
        <v/>
      </c>
      <c r="P608" s="133" t="n"/>
      <c r="R608">
        <f>IF($M608="En retard",$N608+ROW()/100000,"")</f>
        <v/>
      </c>
      <c r="S608">
        <f>IF(OR($F608="",$I608=""),"",$F608+ROW()/100000)</f>
        <v/>
      </c>
      <c r="T608">
        <f>IF($I608="","",IFERROR(INDEX(LIV_Cat,MATCH($I608,LIV_Code,0)),""))</f>
        <v/>
      </c>
    </row>
    <row r="609" ht="21" customHeight="1">
      <c r="A609" s="1" t="n"/>
      <c r="B609" s="1" t="n"/>
      <c r="C609" s="2" t="n"/>
      <c r="E609" s="130">
        <f>IF($F609="","","EMP-"&amp;TEXT(ROW()-6,"0000"))</f>
        <v/>
      </c>
      <c r="F609" s="134" t="n"/>
      <c r="G609" s="127" t="n"/>
      <c r="H609" s="130">
        <f>IF($G609="","",IFERROR(INDEX(MEM_Nom,MATCH($G609,MEM_ID,0)),"⚠ ID inconnu"))</f>
        <v/>
      </c>
      <c r="I609" s="127" t="n"/>
      <c r="J609" s="130">
        <f>IF($I609="","",IFERROR(INDEX(LIV_Titre,MATCH($I609,LIV_Code,0)),"⚠ Code inconnu"))</f>
        <v/>
      </c>
      <c r="K609" s="138">
        <f>IF($F609="","",$F609+P_Duree)</f>
        <v/>
      </c>
      <c r="L609" s="134" t="n"/>
      <c r="M609" s="130">
        <f>IF(OR($F609="",$I609=""),"",IF($L609&lt;&gt;"",IF($L609&gt;$K609,"Rendu en retard","Rendu"),IF(TODAY()&gt;$K609,"En retard","En cours")))</f>
        <v/>
      </c>
      <c r="N609" s="139">
        <f>IF(OR($F609="",$I609=""),"",MAX(0,IF($L609&lt;&gt;"",$L609,TODAY())-$K609))</f>
        <v/>
      </c>
      <c r="O609" s="135">
        <f>IF(OR($F609="",$I609=""),"",$N609*P_Amende)</f>
        <v/>
      </c>
      <c r="P609" s="133" t="n"/>
      <c r="R609">
        <f>IF($M609="En retard",$N609+ROW()/100000,"")</f>
        <v/>
      </c>
      <c r="S609">
        <f>IF(OR($F609="",$I609=""),"",$F609+ROW()/100000)</f>
        <v/>
      </c>
      <c r="T609">
        <f>IF($I609="","",IFERROR(INDEX(LIV_Cat,MATCH($I609,LIV_Code,0)),""))</f>
        <v/>
      </c>
    </row>
    <row r="610" ht="21" customHeight="1">
      <c r="A610" s="1" t="n"/>
      <c r="B610" s="1" t="n"/>
      <c r="C610" s="2" t="n"/>
      <c r="E610" s="130">
        <f>IF($F610="","","EMP-"&amp;TEXT(ROW()-6,"0000"))</f>
        <v/>
      </c>
      <c r="F610" s="134" t="n"/>
      <c r="G610" s="127" t="n"/>
      <c r="H610" s="130">
        <f>IF($G610="","",IFERROR(INDEX(MEM_Nom,MATCH($G610,MEM_ID,0)),"⚠ ID inconnu"))</f>
        <v/>
      </c>
      <c r="I610" s="127" t="n"/>
      <c r="J610" s="130">
        <f>IF($I610="","",IFERROR(INDEX(LIV_Titre,MATCH($I610,LIV_Code,0)),"⚠ Code inconnu"))</f>
        <v/>
      </c>
      <c r="K610" s="138">
        <f>IF($F610="","",$F610+P_Duree)</f>
        <v/>
      </c>
      <c r="L610" s="134" t="n"/>
      <c r="M610" s="130">
        <f>IF(OR($F610="",$I610=""),"",IF($L610&lt;&gt;"",IF($L610&gt;$K610,"Rendu en retard","Rendu"),IF(TODAY()&gt;$K610,"En retard","En cours")))</f>
        <v/>
      </c>
      <c r="N610" s="139">
        <f>IF(OR($F610="",$I610=""),"",MAX(0,IF($L610&lt;&gt;"",$L610,TODAY())-$K610))</f>
        <v/>
      </c>
      <c r="O610" s="135">
        <f>IF(OR($F610="",$I610=""),"",$N610*P_Amende)</f>
        <v/>
      </c>
      <c r="P610" s="133" t="n"/>
      <c r="R610">
        <f>IF($M610="En retard",$N610+ROW()/100000,"")</f>
        <v/>
      </c>
      <c r="S610">
        <f>IF(OR($F610="",$I610=""),"",$F610+ROW()/100000)</f>
        <v/>
      </c>
      <c r="T610">
        <f>IF($I610="","",IFERROR(INDEX(LIV_Cat,MATCH($I610,LIV_Code,0)),""))</f>
        <v/>
      </c>
    </row>
    <row r="611" ht="21" customHeight="1">
      <c r="A611" s="1" t="n"/>
      <c r="B611" s="1" t="n"/>
      <c r="C611" s="2" t="n"/>
      <c r="E611" s="130">
        <f>IF($F611="","","EMP-"&amp;TEXT(ROW()-6,"0000"))</f>
        <v/>
      </c>
      <c r="F611" s="134" t="n"/>
      <c r="G611" s="127" t="n"/>
      <c r="H611" s="130">
        <f>IF($G611="","",IFERROR(INDEX(MEM_Nom,MATCH($G611,MEM_ID,0)),"⚠ ID inconnu"))</f>
        <v/>
      </c>
      <c r="I611" s="127" t="n"/>
      <c r="J611" s="130">
        <f>IF($I611="","",IFERROR(INDEX(LIV_Titre,MATCH($I611,LIV_Code,0)),"⚠ Code inconnu"))</f>
        <v/>
      </c>
      <c r="K611" s="138">
        <f>IF($F611="","",$F611+P_Duree)</f>
        <v/>
      </c>
      <c r="L611" s="134" t="n"/>
      <c r="M611" s="130">
        <f>IF(OR($F611="",$I611=""),"",IF($L611&lt;&gt;"",IF($L611&gt;$K611,"Rendu en retard","Rendu"),IF(TODAY()&gt;$K611,"En retard","En cours")))</f>
        <v/>
      </c>
      <c r="N611" s="139">
        <f>IF(OR($F611="",$I611=""),"",MAX(0,IF($L611&lt;&gt;"",$L611,TODAY())-$K611))</f>
        <v/>
      </c>
      <c r="O611" s="135">
        <f>IF(OR($F611="",$I611=""),"",$N611*P_Amende)</f>
        <v/>
      </c>
      <c r="P611" s="133" t="n"/>
      <c r="R611">
        <f>IF($M611="En retard",$N611+ROW()/100000,"")</f>
        <v/>
      </c>
      <c r="S611">
        <f>IF(OR($F611="",$I611=""),"",$F611+ROW()/100000)</f>
        <v/>
      </c>
      <c r="T611">
        <f>IF($I611="","",IFERROR(INDEX(LIV_Cat,MATCH($I611,LIV_Code,0)),""))</f>
        <v/>
      </c>
    </row>
    <row r="612" ht="21" customHeight="1">
      <c r="A612" s="1" t="n"/>
      <c r="B612" s="1" t="n"/>
      <c r="C612" s="2" t="n"/>
      <c r="E612" s="130">
        <f>IF($F612="","","EMP-"&amp;TEXT(ROW()-6,"0000"))</f>
        <v/>
      </c>
      <c r="F612" s="134" t="n"/>
      <c r="G612" s="127" t="n"/>
      <c r="H612" s="130">
        <f>IF($G612="","",IFERROR(INDEX(MEM_Nom,MATCH($G612,MEM_ID,0)),"⚠ ID inconnu"))</f>
        <v/>
      </c>
      <c r="I612" s="127" t="n"/>
      <c r="J612" s="130">
        <f>IF($I612="","",IFERROR(INDEX(LIV_Titre,MATCH($I612,LIV_Code,0)),"⚠ Code inconnu"))</f>
        <v/>
      </c>
      <c r="K612" s="138">
        <f>IF($F612="","",$F612+P_Duree)</f>
        <v/>
      </c>
      <c r="L612" s="134" t="n"/>
      <c r="M612" s="130">
        <f>IF(OR($F612="",$I612=""),"",IF($L612&lt;&gt;"",IF($L612&gt;$K612,"Rendu en retard","Rendu"),IF(TODAY()&gt;$K612,"En retard","En cours")))</f>
        <v/>
      </c>
      <c r="N612" s="139">
        <f>IF(OR($F612="",$I612=""),"",MAX(0,IF($L612&lt;&gt;"",$L612,TODAY())-$K612))</f>
        <v/>
      </c>
      <c r="O612" s="135">
        <f>IF(OR($F612="",$I612=""),"",$N612*P_Amende)</f>
        <v/>
      </c>
      <c r="P612" s="133" t="n"/>
      <c r="R612">
        <f>IF($M612="En retard",$N612+ROW()/100000,"")</f>
        <v/>
      </c>
      <c r="S612">
        <f>IF(OR($F612="",$I612=""),"",$F612+ROW()/100000)</f>
        <v/>
      </c>
      <c r="T612">
        <f>IF($I612="","",IFERROR(INDEX(LIV_Cat,MATCH($I612,LIV_Code,0)),""))</f>
        <v/>
      </c>
    </row>
    <row r="613" ht="21" customHeight="1">
      <c r="A613" s="1" t="n"/>
      <c r="B613" s="1" t="n"/>
      <c r="C613" s="2" t="n"/>
      <c r="E613" s="130">
        <f>IF($F613="","","EMP-"&amp;TEXT(ROW()-6,"0000"))</f>
        <v/>
      </c>
      <c r="F613" s="134" t="n"/>
      <c r="G613" s="127" t="n"/>
      <c r="H613" s="130">
        <f>IF($G613="","",IFERROR(INDEX(MEM_Nom,MATCH($G613,MEM_ID,0)),"⚠ ID inconnu"))</f>
        <v/>
      </c>
      <c r="I613" s="127" t="n"/>
      <c r="J613" s="130">
        <f>IF($I613="","",IFERROR(INDEX(LIV_Titre,MATCH($I613,LIV_Code,0)),"⚠ Code inconnu"))</f>
        <v/>
      </c>
      <c r="K613" s="138">
        <f>IF($F613="","",$F613+P_Duree)</f>
        <v/>
      </c>
      <c r="L613" s="134" t="n"/>
      <c r="M613" s="130">
        <f>IF(OR($F613="",$I613=""),"",IF($L613&lt;&gt;"",IF($L613&gt;$K613,"Rendu en retard","Rendu"),IF(TODAY()&gt;$K613,"En retard","En cours")))</f>
        <v/>
      </c>
      <c r="N613" s="139">
        <f>IF(OR($F613="",$I613=""),"",MAX(0,IF($L613&lt;&gt;"",$L613,TODAY())-$K613))</f>
        <v/>
      </c>
      <c r="O613" s="135">
        <f>IF(OR($F613="",$I613=""),"",$N613*P_Amende)</f>
        <v/>
      </c>
      <c r="P613" s="133" t="n"/>
      <c r="R613">
        <f>IF($M613="En retard",$N613+ROW()/100000,"")</f>
        <v/>
      </c>
      <c r="S613">
        <f>IF(OR($F613="",$I613=""),"",$F613+ROW()/100000)</f>
        <v/>
      </c>
      <c r="T613">
        <f>IF($I613="","",IFERROR(INDEX(LIV_Cat,MATCH($I613,LIV_Code,0)),""))</f>
        <v/>
      </c>
    </row>
    <row r="614" ht="21" customHeight="1">
      <c r="A614" s="1" t="n"/>
      <c r="B614" s="1" t="n"/>
      <c r="C614" s="2" t="n"/>
      <c r="E614" s="130">
        <f>IF($F614="","","EMP-"&amp;TEXT(ROW()-6,"0000"))</f>
        <v/>
      </c>
      <c r="F614" s="134" t="n"/>
      <c r="G614" s="127" t="n"/>
      <c r="H614" s="130">
        <f>IF($G614="","",IFERROR(INDEX(MEM_Nom,MATCH($G614,MEM_ID,0)),"⚠ ID inconnu"))</f>
        <v/>
      </c>
      <c r="I614" s="127" t="n"/>
      <c r="J614" s="130">
        <f>IF($I614="","",IFERROR(INDEX(LIV_Titre,MATCH($I614,LIV_Code,0)),"⚠ Code inconnu"))</f>
        <v/>
      </c>
      <c r="K614" s="138">
        <f>IF($F614="","",$F614+P_Duree)</f>
        <v/>
      </c>
      <c r="L614" s="134" t="n"/>
      <c r="M614" s="130">
        <f>IF(OR($F614="",$I614=""),"",IF($L614&lt;&gt;"",IF($L614&gt;$K614,"Rendu en retard","Rendu"),IF(TODAY()&gt;$K614,"En retard","En cours")))</f>
        <v/>
      </c>
      <c r="N614" s="139">
        <f>IF(OR($F614="",$I614=""),"",MAX(0,IF($L614&lt;&gt;"",$L614,TODAY())-$K614))</f>
        <v/>
      </c>
      <c r="O614" s="135">
        <f>IF(OR($F614="",$I614=""),"",$N614*P_Amende)</f>
        <v/>
      </c>
      <c r="P614" s="133" t="n"/>
      <c r="R614">
        <f>IF($M614="En retard",$N614+ROW()/100000,"")</f>
        <v/>
      </c>
      <c r="S614">
        <f>IF(OR($F614="",$I614=""),"",$F614+ROW()/100000)</f>
        <v/>
      </c>
      <c r="T614">
        <f>IF($I614="","",IFERROR(INDEX(LIV_Cat,MATCH($I614,LIV_Code,0)),""))</f>
        <v/>
      </c>
    </row>
    <row r="615" ht="21" customHeight="1">
      <c r="A615" s="1" t="n"/>
      <c r="B615" s="1" t="n"/>
      <c r="C615" s="2" t="n"/>
      <c r="E615" s="130">
        <f>IF($F615="","","EMP-"&amp;TEXT(ROW()-6,"0000"))</f>
        <v/>
      </c>
      <c r="F615" s="134" t="n"/>
      <c r="G615" s="127" t="n"/>
      <c r="H615" s="130">
        <f>IF($G615="","",IFERROR(INDEX(MEM_Nom,MATCH($G615,MEM_ID,0)),"⚠ ID inconnu"))</f>
        <v/>
      </c>
      <c r="I615" s="127" t="n"/>
      <c r="J615" s="130">
        <f>IF($I615="","",IFERROR(INDEX(LIV_Titre,MATCH($I615,LIV_Code,0)),"⚠ Code inconnu"))</f>
        <v/>
      </c>
      <c r="K615" s="138">
        <f>IF($F615="","",$F615+P_Duree)</f>
        <v/>
      </c>
      <c r="L615" s="134" t="n"/>
      <c r="M615" s="130">
        <f>IF(OR($F615="",$I615=""),"",IF($L615&lt;&gt;"",IF($L615&gt;$K615,"Rendu en retard","Rendu"),IF(TODAY()&gt;$K615,"En retard","En cours")))</f>
        <v/>
      </c>
      <c r="N615" s="139">
        <f>IF(OR($F615="",$I615=""),"",MAX(0,IF($L615&lt;&gt;"",$L615,TODAY())-$K615))</f>
        <v/>
      </c>
      <c r="O615" s="135">
        <f>IF(OR($F615="",$I615=""),"",$N615*P_Amende)</f>
        <v/>
      </c>
      <c r="P615" s="133" t="n"/>
      <c r="R615">
        <f>IF($M615="En retard",$N615+ROW()/100000,"")</f>
        <v/>
      </c>
      <c r="S615">
        <f>IF(OR($F615="",$I615=""),"",$F615+ROW()/100000)</f>
        <v/>
      </c>
      <c r="T615">
        <f>IF($I615="","",IFERROR(INDEX(LIV_Cat,MATCH($I615,LIV_Code,0)),""))</f>
        <v/>
      </c>
    </row>
    <row r="616" ht="21" customHeight="1">
      <c r="A616" s="1" t="n"/>
      <c r="B616" s="1" t="n"/>
      <c r="C616" s="2" t="n"/>
      <c r="E616" s="130">
        <f>IF($F616="","","EMP-"&amp;TEXT(ROW()-6,"0000"))</f>
        <v/>
      </c>
      <c r="F616" s="134" t="n"/>
      <c r="G616" s="127" t="n"/>
      <c r="H616" s="130">
        <f>IF($G616="","",IFERROR(INDEX(MEM_Nom,MATCH($G616,MEM_ID,0)),"⚠ ID inconnu"))</f>
        <v/>
      </c>
      <c r="I616" s="127" t="n"/>
      <c r="J616" s="130">
        <f>IF($I616="","",IFERROR(INDEX(LIV_Titre,MATCH($I616,LIV_Code,0)),"⚠ Code inconnu"))</f>
        <v/>
      </c>
      <c r="K616" s="138">
        <f>IF($F616="","",$F616+P_Duree)</f>
        <v/>
      </c>
      <c r="L616" s="134" t="n"/>
      <c r="M616" s="130">
        <f>IF(OR($F616="",$I616=""),"",IF($L616&lt;&gt;"",IF($L616&gt;$K616,"Rendu en retard","Rendu"),IF(TODAY()&gt;$K616,"En retard","En cours")))</f>
        <v/>
      </c>
      <c r="N616" s="139">
        <f>IF(OR($F616="",$I616=""),"",MAX(0,IF($L616&lt;&gt;"",$L616,TODAY())-$K616))</f>
        <v/>
      </c>
      <c r="O616" s="135">
        <f>IF(OR($F616="",$I616=""),"",$N616*P_Amende)</f>
        <v/>
      </c>
      <c r="P616" s="133" t="n"/>
      <c r="R616">
        <f>IF($M616="En retard",$N616+ROW()/100000,"")</f>
        <v/>
      </c>
      <c r="S616">
        <f>IF(OR($F616="",$I616=""),"",$F616+ROW()/100000)</f>
        <v/>
      </c>
      <c r="T616">
        <f>IF($I616="","",IFERROR(INDEX(LIV_Cat,MATCH($I616,LIV_Code,0)),""))</f>
        <v/>
      </c>
    </row>
    <row r="617" ht="21" customHeight="1">
      <c r="A617" s="1" t="n"/>
      <c r="B617" s="1" t="n"/>
      <c r="C617" s="2" t="n"/>
      <c r="E617" s="130">
        <f>IF($F617="","","EMP-"&amp;TEXT(ROW()-6,"0000"))</f>
        <v/>
      </c>
      <c r="F617" s="134" t="n"/>
      <c r="G617" s="127" t="n"/>
      <c r="H617" s="130">
        <f>IF($G617="","",IFERROR(INDEX(MEM_Nom,MATCH($G617,MEM_ID,0)),"⚠ ID inconnu"))</f>
        <v/>
      </c>
      <c r="I617" s="127" t="n"/>
      <c r="J617" s="130">
        <f>IF($I617="","",IFERROR(INDEX(LIV_Titre,MATCH($I617,LIV_Code,0)),"⚠ Code inconnu"))</f>
        <v/>
      </c>
      <c r="K617" s="138">
        <f>IF($F617="","",$F617+P_Duree)</f>
        <v/>
      </c>
      <c r="L617" s="134" t="n"/>
      <c r="M617" s="130">
        <f>IF(OR($F617="",$I617=""),"",IF($L617&lt;&gt;"",IF($L617&gt;$K617,"Rendu en retard","Rendu"),IF(TODAY()&gt;$K617,"En retard","En cours")))</f>
        <v/>
      </c>
      <c r="N617" s="139">
        <f>IF(OR($F617="",$I617=""),"",MAX(0,IF($L617&lt;&gt;"",$L617,TODAY())-$K617))</f>
        <v/>
      </c>
      <c r="O617" s="135">
        <f>IF(OR($F617="",$I617=""),"",$N617*P_Amende)</f>
        <v/>
      </c>
      <c r="P617" s="133" t="n"/>
      <c r="R617">
        <f>IF($M617="En retard",$N617+ROW()/100000,"")</f>
        <v/>
      </c>
      <c r="S617">
        <f>IF(OR($F617="",$I617=""),"",$F617+ROW()/100000)</f>
        <v/>
      </c>
      <c r="T617">
        <f>IF($I617="","",IFERROR(INDEX(LIV_Cat,MATCH($I617,LIV_Code,0)),""))</f>
        <v/>
      </c>
    </row>
    <row r="618" ht="21" customHeight="1">
      <c r="A618" s="1" t="n"/>
      <c r="B618" s="1" t="n"/>
      <c r="C618" s="2" t="n"/>
      <c r="E618" s="130">
        <f>IF($F618="","","EMP-"&amp;TEXT(ROW()-6,"0000"))</f>
        <v/>
      </c>
      <c r="F618" s="134" t="n"/>
      <c r="G618" s="127" t="n"/>
      <c r="H618" s="130">
        <f>IF($G618="","",IFERROR(INDEX(MEM_Nom,MATCH($G618,MEM_ID,0)),"⚠ ID inconnu"))</f>
        <v/>
      </c>
      <c r="I618" s="127" t="n"/>
      <c r="J618" s="130">
        <f>IF($I618="","",IFERROR(INDEX(LIV_Titre,MATCH($I618,LIV_Code,0)),"⚠ Code inconnu"))</f>
        <v/>
      </c>
      <c r="K618" s="138">
        <f>IF($F618="","",$F618+P_Duree)</f>
        <v/>
      </c>
      <c r="L618" s="134" t="n"/>
      <c r="M618" s="130">
        <f>IF(OR($F618="",$I618=""),"",IF($L618&lt;&gt;"",IF($L618&gt;$K618,"Rendu en retard","Rendu"),IF(TODAY()&gt;$K618,"En retard","En cours")))</f>
        <v/>
      </c>
      <c r="N618" s="139">
        <f>IF(OR($F618="",$I618=""),"",MAX(0,IF($L618&lt;&gt;"",$L618,TODAY())-$K618))</f>
        <v/>
      </c>
      <c r="O618" s="135">
        <f>IF(OR($F618="",$I618=""),"",$N618*P_Amende)</f>
        <v/>
      </c>
      <c r="P618" s="133" t="n"/>
      <c r="R618">
        <f>IF($M618="En retard",$N618+ROW()/100000,"")</f>
        <v/>
      </c>
      <c r="S618">
        <f>IF(OR($F618="",$I618=""),"",$F618+ROW()/100000)</f>
        <v/>
      </c>
      <c r="T618">
        <f>IF($I618="","",IFERROR(INDEX(LIV_Cat,MATCH($I618,LIV_Code,0)),""))</f>
        <v/>
      </c>
    </row>
    <row r="619" ht="21" customHeight="1">
      <c r="A619" s="1" t="n"/>
      <c r="B619" s="1" t="n"/>
      <c r="C619" s="2" t="n"/>
      <c r="E619" s="130">
        <f>IF($F619="","","EMP-"&amp;TEXT(ROW()-6,"0000"))</f>
        <v/>
      </c>
      <c r="F619" s="134" t="n"/>
      <c r="G619" s="127" t="n"/>
      <c r="H619" s="130">
        <f>IF($G619="","",IFERROR(INDEX(MEM_Nom,MATCH($G619,MEM_ID,0)),"⚠ ID inconnu"))</f>
        <v/>
      </c>
      <c r="I619" s="127" t="n"/>
      <c r="J619" s="130">
        <f>IF($I619="","",IFERROR(INDEX(LIV_Titre,MATCH($I619,LIV_Code,0)),"⚠ Code inconnu"))</f>
        <v/>
      </c>
      <c r="K619" s="138">
        <f>IF($F619="","",$F619+P_Duree)</f>
        <v/>
      </c>
      <c r="L619" s="134" t="n"/>
      <c r="M619" s="130">
        <f>IF(OR($F619="",$I619=""),"",IF($L619&lt;&gt;"",IF($L619&gt;$K619,"Rendu en retard","Rendu"),IF(TODAY()&gt;$K619,"En retard","En cours")))</f>
        <v/>
      </c>
      <c r="N619" s="139">
        <f>IF(OR($F619="",$I619=""),"",MAX(0,IF($L619&lt;&gt;"",$L619,TODAY())-$K619))</f>
        <v/>
      </c>
      <c r="O619" s="135">
        <f>IF(OR($F619="",$I619=""),"",$N619*P_Amende)</f>
        <v/>
      </c>
      <c r="P619" s="133" t="n"/>
      <c r="R619">
        <f>IF($M619="En retard",$N619+ROW()/100000,"")</f>
        <v/>
      </c>
      <c r="S619">
        <f>IF(OR($F619="",$I619=""),"",$F619+ROW()/100000)</f>
        <v/>
      </c>
      <c r="T619">
        <f>IF($I619="","",IFERROR(INDEX(LIV_Cat,MATCH($I619,LIV_Code,0)),""))</f>
        <v/>
      </c>
    </row>
    <row r="620" ht="21" customHeight="1">
      <c r="A620" s="1" t="n"/>
      <c r="B620" s="1" t="n"/>
      <c r="C620" s="2" t="n"/>
      <c r="E620" s="130">
        <f>IF($F620="","","EMP-"&amp;TEXT(ROW()-6,"0000"))</f>
        <v/>
      </c>
      <c r="F620" s="134" t="n"/>
      <c r="G620" s="127" t="n"/>
      <c r="H620" s="130">
        <f>IF($G620="","",IFERROR(INDEX(MEM_Nom,MATCH($G620,MEM_ID,0)),"⚠ ID inconnu"))</f>
        <v/>
      </c>
      <c r="I620" s="127" t="n"/>
      <c r="J620" s="130">
        <f>IF($I620="","",IFERROR(INDEX(LIV_Titre,MATCH($I620,LIV_Code,0)),"⚠ Code inconnu"))</f>
        <v/>
      </c>
      <c r="K620" s="138">
        <f>IF($F620="","",$F620+P_Duree)</f>
        <v/>
      </c>
      <c r="L620" s="134" t="n"/>
      <c r="M620" s="130">
        <f>IF(OR($F620="",$I620=""),"",IF($L620&lt;&gt;"",IF($L620&gt;$K620,"Rendu en retard","Rendu"),IF(TODAY()&gt;$K620,"En retard","En cours")))</f>
        <v/>
      </c>
      <c r="N620" s="139">
        <f>IF(OR($F620="",$I620=""),"",MAX(0,IF($L620&lt;&gt;"",$L620,TODAY())-$K620))</f>
        <v/>
      </c>
      <c r="O620" s="135">
        <f>IF(OR($F620="",$I620=""),"",$N620*P_Amende)</f>
        <v/>
      </c>
      <c r="P620" s="133" t="n"/>
      <c r="R620">
        <f>IF($M620="En retard",$N620+ROW()/100000,"")</f>
        <v/>
      </c>
      <c r="S620">
        <f>IF(OR($F620="",$I620=""),"",$F620+ROW()/100000)</f>
        <v/>
      </c>
      <c r="T620">
        <f>IF($I620="","",IFERROR(INDEX(LIV_Cat,MATCH($I620,LIV_Code,0)),""))</f>
        <v/>
      </c>
    </row>
    <row r="621" ht="21" customHeight="1">
      <c r="A621" s="1" t="n"/>
      <c r="B621" s="1" t="n"/>
      <c r="C621" s="2" t="n"/>
      <c r="E621" s="130">
        <f>IF($F621="","","EMP-"&amp;TEXT(ROW()-6,"0000"))</f>
        <v/>
      </c>
      <c r="F621" s="134" t="n"/>
      <c r="G621" s="127" t="n"/>
      <c r="H621" s="130">
        <f>IF($G621="","",IFERROR(INDEX(MEM_Nom,MATCH($G621,MEM_ID,0)),"⚠ ID inconnu"))</f>
        <v/>
      </c>
      <c r="I621" s="127" t="n"/>
      <c r="J621" s="130">
        <f>IF($I621="","",IFERROR(INDEX(LIV_Titre,MATCH($I621,LIV_Code,0)),"⚠ Code inconnu"))</f>
        <v/>
      </c>
      <c r="K621" s="138">
        <f>IF($F621="","",$F621+P_Duree)</f>
        <v/>
      </c>
      <c r="L621" s="134" t="n"/>
      <c r="M621" s="130">
        <f>IF(OR($F621="",$I621=""),"",IF($L621&lt;&gt;"",IF($L621&gt;$K621,"Rendu en retard","Rendu"),IF(TODAY()&gt;$K621,"En retard","En cours")))</f>
        <v/>
      </c>
      <c r="N621" s="139">
        <f>IF(OR($F621="",$I621=""),"",MAX(0,IF($L621&lt;&gt;"",$L621,TODAY())-$K621))</f>
        <v/>
      </c>
      <c r="O621" s="135">
        <f>IF(OR($F621="",$I621=""),"",$N621*P_Amende)</f>
        <v/>
      </c>
      <c r="P621" s="133" t="n"/>
      <c r="R621">
        <f>IF($M621="En retard",$N621+ROW()/100000,"")</f>
        <v/>
      </c>
      <c r="S621">
        <f>IF(OR($F621="",$I621=""),"",$F621+ROW()/100000)</f>
        <v/>
      </c>
      <c r="T621">
        <f>IF($I621="","",IFERROR(INDEX(LIV_Cat,MATCH($I621,LIV_Code,0)),""))</f>
        <v/>
      </c>
    </row>
    <row r="622" ht="21" customHeight="1">
      <c r="A622" s="1" t="n"/>
      <c r="B622" s="1" t="n"/>
      <c r="C622" s="2" t="n"/>
      <c r="E622" s="130">
        <f>IF($F622="","","EMP-"&amp;TEXT(ROW()-6,"0000"))</f>
        <v/>
      </c>
      <c r="F622" s="134" t="n"/>
      <c r="G622" s="127" t="n"/>
      <c r="H622" s="130">
        <f>IF($G622="","",IFERROR(INDEX(MEM_Nom,MATCH($G622,MEM_ID,0)),"⚠ ID inconnu"))</f>
        <v/>
      </c>
      <c r="I622" s="127" t="n"/>
      <c r="J622" s="130">
        <f>IF($I622="","",IFERROR(INDEX(LIV_Titre,MATCH($I622,LIV_Code,0)),"⚠ Code inconnu"))</f>
        <v/>
      </c>
      <c r="K622" s="138">
        <f>IF($F622="","",$F622+P_Duree)</f>
        <v/>
      </c>
      <c r="L622" s="134" t="n"/>
      <c r="M622" s="130">
        <f>IF(OR($F622="",$I622=""),"",IF($L622&lt;&gt;"",IF($L622&gt;$K622,"Rendu en retard","Rendu"),IF(TODAY()&gt;$K622,"En retard","En cours")))</f>
        <v/>
      </c>
      <c r="N622" s="139">
        <f>IF(OR($F622="",$I622=""),"",MAX(0,IF($L622&lt;&gt;"",$L622,TODAY())-$K622))</f>
        <v/>
      </c>
      <c r="O622" s="135">
        <f>IF(OR($F622="",$I622=""),"",$N622*P_Amende)</f>
        <v/>
      </c>
      <c r="P622" s="133" t="n"/>
      <c r="R622">
        <f>IF($M622="En retard",$N622+ROW()/100000,"")</f>
        <v/>
      </c>
      <c r="S622">
        <f>IF(OR($F622="",$I622=""),"",$F622+ROW()/100000)</f>
        <v/>
      </c>
      <c r="T622">
        <f>IF($I622="","",IFERROR(INDEX(LIV_Cat,MATCH($I622,LIV_Code,0)),""))</f>
        <v/>
      </c>
    </row>
    <row r="623" ht="21" customHeight="1">
      <c r="A623" s="1" t="n"/>
      <c r="B623" s="1" t="n"/>
      <c r="C623" s="2" t="n"/>
      <c r="E623" s="130">
        <f>IF($F623="","","EMP-"&amp;TEXT(ROW()-6,"0000"))</f>
        <v/>
      </c>
      <c r="F623" s="134" t="n"/>
      <c r="G623" s="127" t="n"/>
      <c r="H623" s="130">
        <f>IF($G623="","",IFERROR(INDEX(MEM_Nom,MATCH($G623,MEM_ID,0)),"⚠ ID inconnu"))</f>
        <v/>
      </c>
      <c r="I623" s="127" t="n"/>
      <c r="J623" s="130">
        <f>IF($I623="","",IFERROR(INDEX(LIV_Titre,MATCH($I623,LIV_Code,0)),"⚠ Code inconnu"))</f>
        <v/>
      </c>
      <c r="K623" s="138">
        <f>IF($F623="","",$F623+P_Duree)</f>
        <v/>
      </c>
      <c r="L623" s="134" t="n"/>
      <c r="M623" s="130">
        <f>IF(OR($F623="",$I623=""),"",IF($L623&lt;&gt;"",IF($L623&gt;$K623,"Rendu en retard","Rendu"),IF(TODAY()&gt;$K623,"En retard","En cours")))</f>
        <v/>
      </c>
      <c r="N623" s="139">
        <f>IF(OR($F623="",$I623=""),"",MAX(0,IF($L623&lt;&gt;"",$L623,TODAY())-$K623))</f>
        <v/>
      </c>
      <c r="O623" s="135">
        <f>IF(OR($F623="",$I623=""),"",$N623*P_Amende)</f>
        <v/>
      </c>
      <c r="P623" s="133" t="n"/>
      <c r="R623">
        <f>IF($M623="En retard",$N623+ROW()/100000,"")</f>
        <v/>
      </c>
      <c r="S623">
        <f>IF(OR($F623="",$I623=""),"",$F623+ROW()/100000)</f>
        <v/>
      </c>
      <c r="T623">
        <f>IF($I623="","",IFERROR(INDEX(LIV_Cat,MATCH($I623,LIV_Code,0)),""))</f>
        <v/>
      </c>
    </row>
    <row r="624" ht="21" customHeight="1">
      <c r="A624" s="1" t="n"/>
      <c r="B624" s="1" t="n"/>
      <c r="C624" s="2" t="n"/>
      <c r="E624" s="130">
        <f>IF($F624="","","EMP-"&amp;TEXT(ROW()-6,"0000"))</f>
        <v/>
      </c>
      <c r="F624" s="134" t="n"/>
      <c r="G624" s="127" t="n"/>
      <c r="H624" s="130">
        <f>IF($G624="","",IFERROR(INDEX(MEM_Nom,MATCH($G624,MEM_ID,0)),"⚠ ID inconnu"))</f>
        <v/>
      </c>
      <c r="I624" s="127" t="n"/>
      <c r="J624" s="130">
        <f>IF($I624="","",IFERROR(INDEX(LIV_Titre,MATCH($I624,LIV_Code,0)),"⚠ Code inconnu"))</f>
        <v/>
      </c>
      <c r="K624" s="138">
        <f>IF($F624="","",$F624+P_Duree)</f>
        <v/>
      </c>
      <c r="L624" s="134" t="n"/>
      <c r="M624" s="130">
        <f>IF(OR($F624="",$I624=""),"",IF($L624&lt;&gt;"",IF($L624&gt;$K624,"Rendu en retard","Rendu"),IF(TODAY()&gt;$K624,"En retard","En cours")))</f>
        <v/>
      </c>
      <c r="N624" s="139">
        <f>IF(OR($F624="",$I624=""),"",MAX(0,IF($L624&lt;&gt;"",$L624,TODAY())-$K624))</f>
        <v/>
      </c>
      <c r="O624" s="135">
        <f>IF(OR($F624="",$I624=""),"",$N624*P_Amende)</f>
        <v/>
      </c>
      <c r="P624" s="133" t="n"/>
      <c r="R624">
        <f>IF($M624="En retard",$N624+ROW()/100000,"")</f>
        <v/>
      </c>
      <c r="S624">
        <f>IF(OR($F624="",$I624=""),"",$F624+ROW()/100000)</f>
        <v/>
      </c>
      <c r="T624">
        <f>IF($I624="","",IFERROR(INDEX(LIV_Cat,MATCH($I624,LIV_Code,0)),""))</f>
        <v/>
      </c>
    </row>
    <row r="625" ht="21" customHeight="1">
      <c r="A625" s="1" t="n"/>
      <c r="B625" s="1" t="n"/>
      <c r="C625" s="2" t="n"/>
      <c r="E625" s="130">
        <f>IF($F625="","","EMP-"&amp;TEXT(ROW()-6,"0000"))</f>
        <v/>
      </c>
      <c r="F625" s="134" t="n"/>
      <c r="G625" s="127" t="n"/>
      <c r="H625" s="130">
        <f>IF($G625="","",IFERROR(INDEX(MEM_Nom,MATCH($G625,MEM_ID,0)),"⚠ ID inconnu"))</f>
        <v/>
      </c>
      <c r="I625" s="127" t="n"/>
      <c r="J625" s="130">
        <f>IF($I625="","",IFERROR(INDEX(LIV_Titre,MATCH($I625,LIV_Code,0)),"⚠ Code inconnu"))</f>
        <v/>
      </c>
      <c r="K625" s="138">
        <f>IF($F625="","",$F625+P_Duree)</f>
        <v/>
      </c>
      <c r="L625" s="134" t="n"/>
      <c r="M625" s="130">
        <f>IF(OR($F625="",$I625=""),"",IF($L625&lt;&gt;"",IF($L625&gt;$K625,"Rendu en retard","Rendu"),IF(TODAY()&gt;$K625,"En retard","En cours")))</f>
        <v/>
      </c>
      <c r="N625" s="139">
        <f>IF(OR($F625="",$I625=""),"",MAX(0,IF($L625&lt;&gt;"",$L625,TODAY())-$K625))</f>
        <v/>
      </c>
      <c r="O625" s="135">
        <f>IF(OR($F625="",$I625=""),"",$N625*P_Amende)</f>
        <v/>
      </c>
      <c r="P625" s="133" t="n"/>
      <c r="R625">
        <f>IF($M625="En retard",$N625+ROW()/100000,"")</f>
        <v/>
      </c>
      <c r="S625">
        <f>IF(OR($F625="",$I625=""),"",$F625+ROW()/100000)</f>
        <v/>
      </c>
      <c r="T625">
        <f>IF($I625="","",IFERROR(INDEX(LIV_Cat,MATCH($I625,LIV_Code,0)),""))</f>
        <v/>
      </c>
    </row>
    <row r="626" ht="21" customHeight="1">
      <c r="A626" s="1" t="n"/>
      <c r="B626" s="1" t="n"/>
      <c r="C626" s="2" t="n"/>
      <c r="E626" s="130">
        <f>IF($F626="","","EMP-"&amp;TEXT(ROW()-6,"0000"))</f>
        <v/>
      </c>
      <c r="F626" s="134" t="n"/>
      <c r="G626" s="127" t="n"/>
      <c r="H626" s="130">
        <f>IF($G626="","",IFERROR(INDEX(MEM_Nom,MATCH($G626,MEM_ID,0)),"⚠ ID inconnu"))</f>
        <v/>
      </c>
      <c r="I626" s="127" t="n"/>
      <c r="J626" s="130">
        <f>IF($I626="","",IFERROR(INDEX(LIV_Titre,MATCH($I626,LIV_Code,0)),"⚠ Code inconnu"))</f>
        <v/>
      </c>
      <c r="K626" s="138">
        <f>IF($F626="","",$F626+P_Duree)</f>
        <v/>
      </c>
      <c r="L626" s="134" t="n"/>
      <c r="M626" s="130">
        <f>IF(OR($F626="",$I626=""),"",IF($L626&lt;&gt;"",IF($L626&gt;$K626,"Rendu en retard","Rendu"),IF(TODAY()&gt;$K626,"En retard","En cours")))</f>
        <v/>
      </c>
      <c r="N626" s="139">
        <f>IF(OR($F626="",$I626=""),"",MAX(0,IF($L626&lt;&gt;"",$L626,TODAY())-$K626))</f>
        <v/>
      </c>
      <c r="O626" s="135">
        <f>IF(OR($F626="",$I626=""),"",$N626*P_Amende)</f>
        <v/>
      </c>
      <c r="P626" s="133" t="n"/>
      <c r="R626">
        <f>IF($M626="En retard",$N626+ROW()/100000,"")</f>
        <v/>
      </c>
      <c r="S626">
        <f>IF(OR($F626="",$I626=""),"",$F626+ROW()/100000)</f>
        <v/>
      </c>
      <c r="T626">
        <f>IF($I626="","",IFERROR(INDEX(LIV_Cat,MATCH($I626,LIV_Code,0)),""))</f>
        <v/>
      </c>
    </row>
    <row r="627" ht="21" customHeight="1">
      <c r="A627" s="1" t="n"/>
      <c r="B627" s="1" t="n"/>
      <c r="C627" s="2" t="n"/>
      <c r="E627" s="130">
        <f>IF($F627="","","EMP-"&amp;TEXT(ROW()-6,"0000"))</f>
        <v/>
      </c>
      <c r="F627" s="134" t="n"/>
      <c r="G627" s="127" t="n"/>
      <c r="H627" s="130">
        <f>IF($G627="","",IFERROR(INDEX(MEM_Nom,MATCH($G627,MEM_ID,0)),"⚠ ID inconnu"))</f>
        <v/>
      </c>
      <c r="I627" s="127" t="n"/>
      <c r="J627" s="130">
        <f>IF($I627="","",IFERROR(INDEX(LIV_Titre,MATCH($I627,LIV_Code,0)),"⚠ Code inconnu"))</f>
        <v/>
      </c>
      <c r="K627" s="138">
        <f>IF($F627="","",$F627+P_Duree)</f>
        <v/>
      </c>
      <c r="L627" s="134" t="n"/>
      <c r="M627" s="130">
        <f>IF(OR($F627="",$I627=""),"",IF($L627&lt;&gt;"",IF($L627&gt;$K627,"Rendu en retard","Rendu"),IF(TODAY()&gt;$K627,"En retard","En cours")))</f>
        <v/>
      </c>
      <c r="N627" s="139">
        <f>IF(OR($F627="",$I627=""),"",MAX(0,IF($L627&lt;&gt;"",$L627,TODAY())-$K627))</f>
        <v/>
      </c>
      <c r="O627" s="135">
        <f>IF(OR($F627="",$I627=""),"",$N627*P_Amende)</f>
        <v/>
      </c>
      <c r="P627" s="133" t="n"/>
      <c r="R627">
        <f>IF($M627="En retard",$N627+ROW()/100000,"")</f>
        <v/>
      </c>
      <c r="S627">
        <f>IF(OR($F627="",$I627=""),"",$F627+ROW()/100000)</f>
        <v/>
      </c>
      <c r="T627">
        <f>IF($I627="","",IFERROR(INDEX(LIV_Cat,MATCH($I627,LIV_Code,0)),""))</f>
        <v/>
      </c>
    </row>
    <row r="628" ht="21" customHeight="1">
      <c r="A628" s="1" t="n"/>
      <c r="B628" s="1" t="n"/>
      <c r="C628" s="2" t="n"/>
      <c r="E628" s="130">
        <f>IF($F628="","","EMP-"&amp;TEXT(ROW()-6,"0000"))</f>
        <v/>
      </c>
      <c r="F628" s="134" t="n"/>
      <c r="G628" s="127" t="n"/>
      <c r="H628" s="130">
        <f>IF($G628="","",IFERROR(INDEX(MEM_Nom,MATCH($G628,MEM_ID,0)),"⚠ ID inconnu"))</f>
        <v/>
      </c>
      <c r="I628" s="127" t="n"/>
      <c r="J628" s="130">
        <f>IF($I628="","",IFERROR(INDEX(LIV_Titre,MATCH($I628,LIV_Code,0)),"⚠ Code inconnu"))</f>
        <v/>
      </c>
      <c r="K628" s="138">
        <f>IF($F628="","",$F628+P_Duree)</f>
        <v/>
      </c>
      <c r="L628" s="134" t="n"/>
      <c r="M628" s="130">
        <f>IF(OR($F628="",$I628=""),"",IF($L628&lt;&gt;"",IF($L628&gt;$K628,"Rendu en retard","Rendu"),IF(TODAY()&gt;$K628,"En retard","En cours")))</f>
        <v/>
      </c>
      <c r="N628" s="139">
        <f>IF(OR($F628="",$I628=""),"",MAX(0,IF($L628&lt;&gt;"",$L628,TODAY())-$K628))</f>
        <v/>
      </c>
      <c r="O628" s="135">
        <f>IF(OR($F628="",$I628=""),"",$N628*P_Amende)</f>
        <v/>
      </c>
      <c r="P628" s="133" t="n"/>
      <c r="R628">
        <f>IF($M628="En retard",$N628+ROW()/100000,"")</f>
        <v/>
      </c>
      <c r="S628">
        <f>IF(OR($F628="",$I628=""),"",$F628+ROW()/100000)</f>
        <v/>
      </c>
      <c r="T628">
        <f>IF($I628="","",IFERROR(INDEX(LIV_Cat,MATCH($I628,LIV_Code,0)),""))</f>
        <v/>
      </c>
    </row>
    <row r="629" ht="21" customHeight="1">
      <c r="A629" s="1" t="n"/>
      <c r="B629" s="1" t="n"/>
      <c r="C629" s="2" t="n"/>
      <c r="E629" s="130">
        <f>IF($F629="","","EMP-"&amp;TEXT(ROW()-6,"0000"))</f>
        <v/>
      </c>
      <c r="F629" s="134" t="n"/>
      <c r="G629" s="127" t="n"/>
      <c r="H629" s="130">
        <f>IF($G629="","",IFERROR(INDEX(MEM_Nom,MATCH($G629,MEM_ID,0)),"⚠ ID inconnu"))</f>
        <v/>
      </c>
      <c r="I629" s="127" t="n"/>
      <c r="J629" s="130">
        <f>IF($I629="","",IFERROR(INDEX(LIV_Titre,MATCH($I629,LIV_Code,0)),"⚠ Code inconnu"))</f>
        <v/>
      </c>
      <c r="K629" s="138">
        <f>IF($F629="","",$F629+P_Duree)</f>
        <v/>
      </c>
      <c r="L629" s="134" t="n"/>
      <c r="M629" s="130">
        <f>IF(OR($F629="",$I629=""),"",IF($L629&lt;&gt;"",IF($L629&gt;$K629,"Rendu en retard","Rendu"),IF(TODAY()&gt;$K629,"En retard","En cours")))</f>
        <v/>
      </c>
      <c r="N629" s="139">
        <f>IF(OR($F629="",$I629=""),"",MAX(0,IF($L629&lt;&gt;"",$L629,TODAY())-$K629))</f>
        <v/>
      </c>
      <c r="O629" s="135">
        <f>IF(OR($F629="",$I629=""),"",$N629*P_Amende)</f>
        <v/>
      </c>
      <c r="P629" s="133" t="n"/>
      <c r="R629">
        <f>IF($M629="En retard",$N629+ROW()/100000,"")</f>
        <v/>
      </c>
      <c r="S629">
        <f>IF(OR($F629="",$I629=""),"",$F629+ROW()/100000)</f>
        <v/>
      </c>
      <c r="T629">
        <f>IF($I629="","",IFERROR(INDEX(LIV_Cat,MATCH($I629,LIV_Code,0)),""))</f>
        <v/>
      </c>
    </row>
    <row r="630" ht="21" customHeight="1">
      <c r="A630" s="1" t="n"/>
      <c r="B630" s="1" t="n"/>
      <c r="C630" s="2" t="n"/>
      <c r="E630" s="130">
        <f>IF($F630="","","EMP-"&amp;TEXT(ROW()-6,"0000"))</f>
        <v/>
      </c>
      <c r="F630" s="134" t="n"/>
      <c r="G630" s="127" t="n"/>
      <c r="H630" s="130">
        <f>IF($G630="","",IFERROR(INDEX(MEM_Nom,MATCH($G630,MEM_ID,0)),"⚠ ID inconnu"))</f>
        <v/>
      </c>
      <c r="I630" s="127" t="n"/>
      <c r="J630" s="130">
        <f>IF($I630="","",IFERROR(INDEX(LIV_Titre,MATCH($I630,LIV_Code,0)),"⚠ Code inconnu"))</f>
        <v/>
      </c>
      <c r="K630" s="138">
        <f>IF($F630="","",$F630+P_Duree)</f>
        <v/>
      </c>
      <c r="L630" s="134" t="n"/>
      <c r="M630" s="130">
        <f>IF(OR($F630="",$I630=""),"",IF($L630&lt;&gt;"",IF($L630&gt;$K630,"Rendu en retard","Rendu"),IF(TODAY()&gt;$K630,"En retard","En cours")))</f>
        <v/>
      </c>
      <c r="N630" s="139">
        <f>IF(OR($F630="",$I630=""),"",MAX(0,IF($L630&lt;&gt;"",$L630,TODAY())-$K630))</f>
        <v/>
      </c>
      <c r="O630" s="135">
        <f>IF(OR($F630="",$I630=""),"",$N630*P_Amende)</f>
        <v/>
      </c>
      <c r="P630" s="133" t="n"/>
      <c r="R630">
        <f>IF($M630="En retard",$N630+ROW()/100000,"")</f>
        <v/>
      </c>
      <c r="S630">
        <f>IF(OR($F630="",$I630=""),"",$F630+ROW()/100000)</f>
        <v/>
      </c>
      <c r="T630">
        <f>IF($I630="","",IFERROR(INDEX(LIV_Cat,MATCH($I630,LIV_Code,0)),""))</f>
        <v/>
      </c>
    </row>
    <row r="631" ht="21" customHeight="1">
      <c r="A631" s="1" t="n"/>
      <c r="B631" s="1" t="n"/>
      <c r="C631" s="2" t="n"/>
      <c r="E631" s="130">
        <f>IF($F631="","","EMP-"&amp;TEXT(ROW()-6,"0000"))</f>
        <v/>
      </c>
      <c r="F631" s="134" t="n"/>
      <c r="G631" s="127" t="n"/>
      <c r="H631" s="130">
        <f>IF($G631="","",IFERROR(INDEX(MEM_Nom,MATCH($G631,MEM_ID,0)),"⚠ ID inconnu"))</f>
        <v/>
      </c>
      <c r="I631" s="127" t="n"/>
      <c r="J631" s="130">
        <f>IF($I631="","",IFERROR(INDEX(LIV_Titre,MATCH($I631,LIV_Code,0)),"⚠ Code inconnu"))</f>
        <v/>
      </c>
      <c r="K631" s="138">
        <f>IF($F631="","",$F631+P_Duree)</f>
        <v/>
      </c>
      <c r="L631" s="134" t="n"/>
      <c r="M631" s="130">
        <f>IF(OR($F631="",$I631=""),"",IF($L631&lt;&gt;"",IF($L631&gt;$K631,"Rendu en retard","Rendu"),IF(TODAY()&gt;$K631,"En retard","En cours")))</f>
        <v/>
      </c>
      <c r="N631" s="139">
        <f>IF(OR($F631="",$I631=""),"",MAX(0,IF($L631&lt;&gt;"",$L631,TODAY())-$K631))</f>
        <v/>
      </c>
      <c r="O631" s="135">
        <f>IF(OR($F631="",$I631=""),"",$N631*P_Amende)</f>
        <v/>
      </c>
      <c r="P631" s="133" t="n"/>
      <c r="R631">
        <f>IF($M631="En retard",$N631+ROW()/100000,"")</f>
        <v/>
      </c>
      <c r="S631">
        <f>IF(OR($F631="",$I631=""),"",$F631+ROW()/100000)</f>
        <v/>
      </c>
      <c r="T631">
        <f>IF($I631="","",IFERROR(INDEX(LIV_Cat,MATCH($I631,LIV_Code,0)),""))</f>
        <v/>
      </c>
    </row>
    <row r="632" ht="21" customHeight="1">
      <c r="A632" s="1" t="n"/>
      <c r="B632" s="1" t="n"/>
      <c r="C632" s="2" t="n"/>
      <c r="E632" s="130">
        <f>IF($F632="","","EMP-"&amp;TEXT(ROW()-6,"0000"))</f>
        <v/>
      </c>
      <c r="F632" s="134" t="n"/>
      <c r="G632" s="127" t="n"/>
      <c r="H632" s="130">
        <f>IF($G632="","",IFERROR(INDEX(MEM_Nom,MATCH($G632,MEM_ID,0)),"⚠ ID inconnu"))</f>
        <v/>
      </c>
      <c r="I632" s="127" t="n"/>
      <c r="J632" s="130">
        <f>IF($I632="","",IFERROR(INDEX(LIV_Titre,MATCH($I632,LIV_Code,0)),"⚠ Code inconnu"))</f>
        <v/>
      </c>
      <c r="K632" s="138">
        <f>IF($F632="","",$F632+P_Duree)</f>
        <v/>
      </c>
      <c r="L632" s="134" t="n"/>
      <c r="M632" s="130">
        <f>IF(OR($F632="",$I632=""),"",IF($L632&lt;&gt;"",IF($L632&gt;$K632,"Rendu en retard","Rendu"),IF(TODAY()&gt;$K632,"En retard","En cours")))</f>
        <v/>
      </c>
      <c r="N632" s="139">
        <f>IF(OR($F632="",$I632=""),"",MAX(0,IF($L632&lt;&gt;"",$L632,TODAY())-$K632))</f>
        <v/>
      </c>
      <c r="O632" s="135">
        <f>IF(OR($F632="",$I632=""),"",$N632*P_Amende)</f>
        <v/>
      </c>
      <c r="P632" s="133" t="n"/>
      <c r="R632">
        <f>IF($M632="En retard",$N632+ROW()/100000,"")</f>
        <v/>
      </c>
      <c r="S632">
        <f>IF(OR($F632="",$I632=""),"",$F632+ROW()/100000)</f>
        <v/>
      </c>
      <c r="T632">
        <f>IF($I632="","",IFERROR(INDEX(LIV_Cat,MATCH($I632,LIV_Code,0)),""))</f>
        <v/>
      </c>
    </row>
    <row r="633" ht="21" customHeight="1">
      <c r="A633" s="1" t="n"/>
      <c r="B633" s="1" t="n"/>
      <c r="C633" s="2" t="n"/>
      <c r="E633" s="130">
        <f>IF($F633="","","EMP-"&amp;TEXT(ROW()-6,"0000"))</f>
        <v/>
      </c>
      <c r="F633" s="134" t="n"/>
      <c r="G633" s="127" t="n"/>
      <c r="H633" s="130">
        <f>IF($G633="","",IFERROR(INDEX(MEM_Nom,MATCH($G633,MEM_ID,0)),"⚠ ID inconnu"))</f>
        <v/>
      </c>
      <c r="I633" s="127" t="n"/>
      <c r="J633" s="130">
        <f>IF($I633="","",IFERROR(INDEX(LIV_Titre,MATCH($I633,LIV_Code,0)),"⚠ Code inconnu"))</f>
        <v/>
      </c>
      <c r="K633" s="138">
        <f>IF($F633="","",$F633+P_Duree)</f>
        <v/>
      </c>
      <c r="L633" s="134" t="n"/>
      <c r="M633" s="130">
        <f>IF(OR($F633="",$I633=""),"",IF($L633&lt;&gt;"",IF($L633&gt;$K633,"Rendu en retard","Rendu"),IF(TODAY()&gt;$K633,"En retard","En cours")))</f>
        <v/>
      </c>
      <c r="N633" s="139">
        <f>IF(OR($F633="",$I633=""),"",MAX(0,IF($L633&lt;&gt;"",$L633,TODAY())-$K633))</f>
        <v/>
      </c>
      <c r="O633" s="135">
        <f>IF(OR($F633="",$I633=""),"",$N633*P_Amende)</f>
        <v/>
      </c>
      <c r="P633" s="133" t="n"/>
      <c r="R633">
        <f>IF($M633="En retard",$N633+ROW()/100000,"")</f>
        <v/>
      </c>
      <c r="S633">
        <f>IF(OR($F633="",$I633=""),"",$F633+ROW()/100000)</f>
        <v/>
      </c>
      <c r="T633">
        <f>IF($I633="","",IFERROR(INDEX(LIV_Cat,MATCH($I633,LIV_Code,0)),""))</f>
        <v/>
      </c>
    </row>
    <row r="634" ht="21" customHeight="1">
      <c r="A634" s="1" t="n"/>
      <c r="B634" s="1" t="n"/>
      <c r="C634" s="2" t="n"/>
      <c r="E634" s="130">
        <f>IF($F634="","","EMP-"&amp;TEXT(ROW()-6,"0000"))</f>
        <v/>
      </c>
      <c r="F634" s="134" t="n"/>
      <c r="G634" s="127" t="n"/>
      <c r="H634" s="130">
        <f>IF($G634="","",IFERROR(INDEX(MEM_Nom,MATCH($G634,MEM_ID,0)),"⚠ ID inconnu"))</f>
        <v/>
      </c>
      <c r="I634" s="127" t="n"/>
      <c r="J634" s="130">
        <f>IF($I634="","",IFERROR(INDEX(LIV_Titre,MATCH($I634,LIV_Code,0)),"⚠ Code inconnu"))</f>
        <v/>
      </c>
      <c r="K634" s="138">
        <f>IF($F634="","",$F634+P_Duree)</f>
        <v/>
      </c>
      <c r="L634" s="134" t="n"/>
      <c r="M634" s="130">
        <f>IF(OR($F634="",$I634=""),"",IF($L634&lt;&gt;"",IF($L634&gt;$K634,"Rendu en retard","Rendu"),IF(TODAY()&gt;$K634,"En retard","En cours")))</f>
        <v/>
      </c>
      <c r="N634" s="139">
        <f>IF(OR($F634="",$I634=""),"",MAX(0,IF($L634&lt;&gt;"",$L634,TODAY())-$K634))</f>
        <v/>
      </c>
      <c r="O634" s="135">
        <f>IF(OR($F634="",$I634=""),"",$N634*P_Amende)</f>
        <v/>
      </c>
      <c r="P634" s="133" t="n"/>
      <c r="R634">
        <f>IF($M634="En retard",$N634+ROW()/100000,"")</f>
        <v/>
      </c>
      <c r="S634">
        <f>IF(OR($F634="",$I634=""),"",$F634+ROW()/100000)</f>
        <v/>
      </c>
      <c r="T634">
        <f>IF($I634="","",IFERROR(INDEX(LIV_Cat,MATCH($I634,LIV_Code,0)),""))</f>
        <v/>
      </c>
    </row>
    <row r="635" ht="21" customHeight="1">
      <c r="A635" s="1" t="n"/>
      <c r="B635" s="1" t="n"/>
      <c r="C635" s="2" t="n"/>
      <c r="E635" s="130">
        <f>IF($F635="","","EMP-"&amp;TEXT(ROW()-6,"0000"))</f>
        <v/>
      </c>
      <c r="F635" s="134" t="n"/>
      <c r="G635" s="127" t="n"/>
      <c r="H635" s="130">
        <f>IF($G635="","",IFERROR(INDEX(MEM_Nom,MATCH($G635,MEM_ID,0)),"⚠ ID inconnu"))</f>
        <v/>
      </c>
      <c r="I635" s="127" t="n"/>
      <c r="J635" s="130">
        <f>IF($I635="","",IFERROR(INDEX(LIV_Titre,MATCH($I635,LIV_Code,0)),"⚠ Code inconnu"))</f>
        <v/>
      </c>
      <c r="K635" s="138">
        <f>IF($F635="","",$F635+P_Duree)</f>
        <v/>
      </c>
      <c r="L635" s="134" t="n"/>
      <c r="M635" s="130">
        <f>IF(OR($F635="",$I635=""),"",IF($L635&lt;&gt;"",IF($L635&gt;$K635,"Rendu en retard","Rendu"),IF(TODAY()&gt;$K635,"En retard","En cours")))</f>
        <v/>
      </c>
      <c r="N635" s="139">
        <f>IF(OR($F635="",$I635=""),"",MAX(0,IF($L635&lt;&gt;"",$L635,TODAY())-$K635))</f>
        <v/>
      </c>
      <c r="O635" s="135">
        <f>IF(OR($F635="",$I635=""),"",$N635*P_Amende)</f>
        <v/>
      </c>
      <c r="P635" s="133" t="n"/>
      <c r="R635">
        <f>IF($M635="En retard",$N635+ROW()/100000,"")</f>
        <v/>
      </c>
      <c r="S635">
        <f>IF(OR($F635="",$I635=""),"",$F635+ROW()/100000)</f>
        <v/>
      </c>
      <c r="T635">
        <f>IF($I635="","",IFERROR(INDEX(LIV_Cat,MATCH($I635,LIV_Code,0)),""))</f>
        <v/>
      </c>
    </row>
    <row r="636" ht="21" customHeight="1">
      <c r="A636" s="1" t="n"/>
      <c r="B636" s="1" t="n"/>
      <c r="C636" s="2" t="n"/>
      <c r="E636" s="130">
        <f>IF($F636="","","EMP-"&amp;TEXT(ROW()-6,"0000"))</f>
        <v/>
      </c>
      <c r="F636" s="134" t="n"/>
      <c r="G636" s="127" t="n"/>
      <c r="H636" s="130">
        <f>IF($G636="","",IFERROR(INDEX(MEM_Nom,MATCH($G636,MEM_ID,0)),"⚠ ID inconnu"))</f>
        <v/>
      </c>
      <c r="I636" s="127" t="n"/>
      <c r="J636" s="130">
        <f>IF($I636="","",IFERROR(INDEX(LIV_Titre,MATCH($I636,LIV_Code,0)),"⚠ Code inconnu"))</f>
        <v/>
      </c>
      <c r="K636" s="138">
        <f>IF($F636="","",$F636+P_Duree)</f>
        <v/>
      </c>
      <c r="L636" s="134" t="n"/>
      <c r="M636" s="130">
        <f>IF(OR($F636="",$I636=""),"",IF($L636&lt;&gt;"",IF($L636&gt;$K636,"Rendu en retard","Rendu"),IF(TODAY()&gt;$K636,"En retard","En cours")))</f>
        <v/>
      </c>
      <c r="N636" s="139">
        <f>IF(OR($F636="",$I636=""),"",MAX(0,IF($L636&lt;&gt;"",$L636,TODAY())-$K636))</f>
        <v/>
      </c>
      <c r="O636" s="135">
        <f>IF(OR($F636="",$I636=""),"",$N636*P_Amende)</f>
        <v/>
      </c>
      <c r="P636" s="133" t="n"/>
      <c r="R636">
        <f>IF($M636="En retard",$N636+ROW()/100000,"")</f>
        <v/>
      </c>
      <c r="S636">
        <f>IF(OR($F636="",$I636=""),"",$F636+ROW()/100000)</f>
        <v/>
      </c>
      <c r="T636">
        <f>IF($I636="","",IFERROR(INDEX(LIV_Cat,MATCH($I636,LIV_Code,0)),""))</f>
        <v/>
      </c>
    </row>
    <row r="637" ht="21" customHeight="1">
      <c r="A637" s="1" t="n"/>
      <c r="B637" s="1" t="n"/>
      <c r="C637" s="2" t="n"/>
      <c r="E637" s="130">
        <f>IF($F637="","","EMP-"&amp;TEXT(ROW()-6,"0000"))</f>
        <v/>
      </c>
      <c r="F637" s="134" t="n"/>
      <c r="G637" s="127" t="n"/>
      <c r="H637" s="130">
        <f>IF($G637="","",IFERROR(INDEX(MEM_Nom,MATCH($G637,MEM_ID,0)),"⚠ ID inconnu"))</f>
        <v/>
      </c>
      <c r="I637" s="127" t="n"/>
      <c r="J637" s="130">
        <f>IF($I637="","",IFERROR(INDEX(LIV_Titre,MATCH($I637,LIV_Code,0)),"⚠ Code inconnu"))</f>
        <v/>
      </c>
      <c r="K637" s="138">
        <f>IF($F637="","",$F637+P_Duree)</f>
        <v/>
      </c>
      <c r="L637" s="134" t="n"/>
      <c r="M637" s="130">
        <f>IF(OR($F637="",$I637=""),"",IF($L637&lt;&gt;"",IF($L637&gt;$K637,"Rendu en retard","Rendu"),IF(TODAY()&gt;$K637,"En retard","En cours")))</f>
        <v/>
      </c>
      <c r="N637" s="139">
        <f>IF(OR($F637="",$I637=""),"",MAX(0,IF($L637&lt;&gt;"",$L637,TODAY())-$K637))</f>
        <v/>
      </c>
      <c r="O637" s="135">
        <f>IF(OR($F637="",$I637=""),"",$N637*P_Amende)</f>
        <v/>
      </c>
      <c r="P637" s="133" t="n"/>
      <c r="R637">
        <f>IF($M637="En retard",$N637+ROW()/100000,"")</f>
        <v/>
      </c>
      <c r="S637">
        <f>IF(OR($F637="",$I637=""),"",$F637+ROW()/100000)</f>
        <v/>
      </c>
      <c r="T637">
        <f>IF($I637="","",IFERROR(INDEX(LIV_Cat,MATCH($I637,LIV_Code,0)),""))</f>
        <v/>
      </c>
    </row>
    <row r="638" ht="21" customHeight="1">
      <c r="A638" s="1" t="n"/>
      <c r="B638" s="1" t="n"/>
      <c r="C638" s="2" t="n"/>
      <c r="E638" s="130">
        <f>IF($F638="","","EMP-"&amp;TEXT(ROW()-6,"0000"))</f>
        <v/>
      </c>
      <c r="F638" s="134" t="n"/>
      <c r="G638" s="127" t="n"/>
      <c r="H638" s="130">
        <f>IF($G638="","",IFERROR(INDEX(MEM_Nom,MATCH($G638,MEM_ID,0)),"⚠ ID inconnu"))</f>
        <v/>
      </c>
      <c r="I638" s="127" t="n"/>
      <c r="J638" s="130">
        <f>IF($I638="","",IFERROR(INDEX(LIV_Titre,MATCH($I638,LIV_Code,0)),"⚠ Code inconnu"))</f>
        <v/>
      </c>
      <c r="K638" s="138">
        <f>IF($F638="","",$F638+P_Duree)</f>
        <v/>
      </c>
      <c r="L638" s="134" t="n"/>
      <c r="M638" s="130">
        <f>IF(OR($F638="",$I638=""),"",IF($L638&lt;&gt;"",IF($L638&gt;$K638,"Rendu en retard","Rendu"),IF(TODAY()&gt;$K638,"En retard","En cours")))</f>
        <v/>
      </c>
      <c r="N638" s="139">
        <f>IF(OR($F638="",$I638=""),"",MAX(0,IF($L638&lt;&gt;"",$L638,TODAY())-$K638))</f>
        <v/>
      </c>
      <c r="O638" s="135">
        <f>IF(OR($F638="",$I638=""),"",$N638*P_Amende)</f>
        <v/>
      </c>
      <c r="P638" s="133" t="n"/>
      <c r="R638">
        <f>IF($M638="En retard",$N638+ROW()/100000,"")</f>
        <v/>
      </c>
      <c r="S638">
        <f>IF(OR($F638="",$I638=""),"",$F638+ROW()/100000)</f>
        <v/>
      </c>
      <c r="T638">
        <f>IF($I638="","",IFERROR(INDEX(LIV_Cat,MATCH($I638,LIV_Code,0)),""))</f>
        <v/>
      </c>
    </row>
    <row r="639" ht="21" customHeight="1">
      <c r="A639" s="1" t="n"/>
      <c r="B639" s="1" t="n"/>
      <c r="C639" s="2" t="n"/>
      <c r="E639" s="130">
        <f>IF($F639="","","EMP-"&amp;TEXT(ROW()-6,"0000"))</f>
        <v/>
      </c>
      <c r="F639" s="134" t="n"/>
      <c r="G639" s="127" t="n"/>
      <c r="H639" s="130">
        <f>IF($G639="","",IFERROR(INDEX(MEM_Nom,MATCH($G639,MEM_ID,0)),"⚠ ID inconnu"))</f>
        <v/>
      </c>
      <c r="I639" s="127" t="n"/>
      <c r="J639" s="130">
        <f>IF($I639="","",IFERROR(INDEX(LIV_Titre,MATCH($I639,LIV_Code,0)),"⚠ Code inconnu"))</f>
        <v/>
      </c>
      <c r="K639" s="138">
        <f>IF($F639="","",$F639+P_Duree)</f>
        <v/>
      </c>
      <c r="L639" s="134" t="n"/>
      <c r="M639" s="130">
        <f>IF(OR($F639="",$I639=""),"",IF($L639&lt;&gt;"",IF($L639&gt;$K639,"Rendu en retard","Rendu"),IF(TODAY()&gt;$K639,"En retard","En cours")))</f>
        <v/>
      </c>
      <c r="N639" s="139">
        <f>IF(OR($F639="",$I639=""),"",MAX(0,IF($L639&lt;&gt;"",$L639,TODAY())-$K639))</f>
        <v/>
      </c>
      <c r="O639" s="135">
        <f>IF(OR($F639="",$I639=""),"",$N639*P_Amende)</f>
        <v/>
      </c>
      <c r="P639" s="133" t="n"/>
      <c r="R639">
        <f>IF($M639="En retard",$N639+ROW()/100000,"")</f>
        <v/>
      </c>
      <c r="S639">
        <f>IF(OR($F639="",$I639=""),"",$F639+ROW()/100000)</f>
        <v/>
      </c>
      <c r="T639">
        <f>IF($I639="","",IFERROR(INDEX(LIV_Cat,MATCH($I639,LIV_Code,0)),""))</f>
        <v/>
      </c>
    </row>
    <row r="640" ht="21" customHeight="1">
      <c r="A640" s="1" t="n"/>
      <c r="B640" s="1" t="n"/>
      <c r="C640" s="2" t="n"/>
      <c r="E640" s="130">
        <f>IF($F640="","","EMP-"&amp;TEXT(ROW()-6,"0000"))</f>
        <v/>
      </c>
      <c r="F640" s="134" t="n"/>
      <c r="G640" s="127" t="n"/>
      <c r="H640" s="130">
        <f>IF($G640="","",IFERROR(INDEX(MEM_Nom,MATCH($G640,MEM_ID,0)),"⚠ ID inconnu"))</f>
        <v/>
      </c>
      <c r="I640" s="127" t="n"/>
      <c r="J640" s="130">
        <f>IF($I640="","",IFERROR(INDEX(LIV_Titre,MATCH($I640,LIV_Code,0)),"⚠ Code inconnu"))</f>
        <v/>
      </c>
      <c r="K640" s="138">
        <f>IF($F640="","",$F640+P_Duree)</f>
        <v/>
      </c>
      <c r="L640" s="134" t="n"/>
      <c r="M640" s="130">
        <f>IF(OR($F640="",$I640=""),"",IF($L640&lt;&gt;"",IF($L640&gt;$K640,"Rendu en retard","Rendu"),IF(TODAY()&gt;$K640,"En retard","En cours")))</f>
        <v/>
      </c>
      <c r="N640" s="139">
        <f>IF(OR($F640="",$I640=""),"",MAX(0,IF($L640&lt;&gt;"",$L640,TODAY())-$K640))</f>
        <v/>
      </c>
      <c r="O640" s="135">
        <f>IF(OR($F640="",$I640=""),"",$N640*P_Amende)</f>
        <v/>
      </c>
      <c r="P640" s="133" t="n"/>
      <c r="R640">
        <f>IF($M640="En retard",$N640+ROW()/100000,"")</f>
        <v/>
      </c>
      <c r="S640">
        <f>IF(OR($F640="",$I640=""),"",$F640+ROW()/100000)</f>
        <v/>
      </c>
      <c r="T640">
        <f>IF($I640="","",IFERROR(INDEX(LIV_Cat,MATCH($I640,LIV_Code,0)),""))</f>
        <v/>
      </c>
    </row>
    <row r="641" ht="21" customHeight="1">
      <c r="A641" s="1" t="n"/>
      <c r="B641" s="1" t="n"/>
      <c r="C641" s="2" t="n"/>
      <c r="E641" s="130">
        <f>IF($F641="","","EMP-"&amp;TEXT(ROW()-6,"0000"))</f>
        <v/>
      </c>
      <c r="F641" s="134" t="n"/>
      <c r="G641" s="127" t="n"/>
      <c r="H641" s="130">
        <f>IF($G641="","",IFERROR(INDEX(MEM_Nom,MATCH($G641,MEM_ID,0)),"⚠ ID inconnu"))</f>
        <v/>
      </c>
      <c r="I641" s="127" t="n"/>
      <c r="J641" s="130">
        <f>IF($I641="","",IFERROR(INDEX(LIV_Titre,MATCH($I641,LIV_Code,0)),"⚠ Code inconnu"))</f>
        <v/>
      </c>
      <c r="K641" s="138">
        <f>IF($F641="","",$F641+P_Duree)</f>
        <v/>
      </c>
      <c r="L641" s="134" t="n"/>
      <c r="M641" s="130">
        <f>IF(OR($F641="",$I641=""),"",IF($L641&lt;&gt;"",IF($L641&gt;$K641,"Rendu en retard","Rendu"),IF(TODAY()&gt;$K641,"En retard","En cours")))</f>
        <v/>
      </c>
      <c r="N641" s="139">
        <f>IF(OR($F641="",$I641=""),"",MAX(0,IF($L641&lt;&gt;"",$L641,TODAY())-$K641))</f>
        <v/>
      </c>
      <c r="O641" s="135">
        <f>IF(OR($F641="",$I641=""),"",$N641*P_Amende)</f>
        <v/>
      </c>
      <c r="P641" s="133" t="n"/>
      <c r="R641">
        <f>IF($M641="En retard",$N641+ROW()/100000,"")</f>
        <v/>
      </c>
      <c r="S641">
        <f>IF(OR($F641="",$I641=""),"",$F641+ROW()/100000)</f>
        <v/>
      </c>
      <c r="T641">
        <f>IF($I641="","",IFERROR(INDEX(LIV_Cat,MATCH($I641,LIV_Code,0)),""))</f>
        <v/>
      </c>
    </row>
    <row r="642" ht="21" customHeight="1">
      <c r="A642" s="1" t="n"/>
      <c r="B642" s="1" t="n"/>
      <c r="C642" s="2" t="n"/>
      <c r="E642" s="130">
        <f>IF($F642="","","EMP-"&amp;TEXT(ROW()-6,"0000"))</f>
        <v/>
      </c>
      <c r="F642" s="134" t="n"/>
      <c r="G642" s="127" t="n"/>
      <c r="H642" s="130">
        <f>IF($G642="","",IFERROR(INDEX(MEM_Nom,MATCH($G642,MEM_ID,0)),"⚠ ID inconnu"))</f>
        <v/>
      </c>
      <c r="I642" s="127" t="n"/>
      <c r="J642" s="130">
        <f>IF($I642="","",IFERROR(INDEX(LIV_Titre,MATCH($I642,LIV_Code,0)),"⚠ Code inconnu"))</f>
        <v/>
      </c>
      <c r="K642" s="138">
        <f>IF($F642="","",$F642+P_Duree)</f>
        <v/>
      </c>
      <c r="L642" s="134" t="n"/>
      <c r="M642" s="130">
        <f>IF(OR($F642="",$I642=""),"",IF($L642&lt;&gt;"",IF($L642&gt;$K642,"Rendu en retard","Rendu"),IF(TODAY()&gt;$K642,"En retard","En cours")))</f>
        <v/>
      </c>
      <c r="N642" s="139">
        <f>IF(OR($F642="",$I642=""),"",MAX(0,IF($L642&lt;&gt;"",$L642,TODAY())-$K642))</f>
        <v/>
      </c>
      <c r="O642" s="135">
        <f>IF(OR($F642="",$I642=""),"",$N642*P_Amende)</f>
        <v/>
      </c>
      <c r="P642" s="133" t="n"/>
      <c r="R642">
        <f>IF($M642="En retard",$N642+ROW()/100000,"")</f>
        <v/>
      </c>
      <c r="S642">
        <f>IF(OR($F642="",$I642=""),"",$F642+ROW()/100000)</f>
        <v/>
      </c>
      <c r="T642">
        <f>IF($I642="","",IFERROR(INDEX(LIV_Cat,MATCH($I642,LIV_Code,0)),""))</f>
        <v/>
      </c>
    </row>
    <row r="643" ht="21" customHeight="1">
      <c r="A643" s="1" t="n"/>
      <c r="B643" s="1" t="n"/>
      <c r="C643" s="2" t="n"/>
      <c r="E643" s="130">
        <f>IF($F643="","","EMP-"&amp;TEXT(ROW()-6,"0000"))</f>
        <v/>
      </c>
      <c r="F643" s="134" t="n"/>
      <c r="G643" s="127" t="n"/>
      <c r="H643" s="130">
        <f>IF($G643="","",IFERROR(INDEX(MEM_Nom,MATCH($G643,MEM_ID,0)),"⚠ ID inconnu"))</f>
        <v/>
      </c>
      <c r="I643" s="127" t="n"/>
      <c r="J643" s="130">
        <f>IF($I643="","",IFERROR(INDEX(LIV_Titre,MATCH($I643,LIV_Code,0)),"⚠ Code inconnu"))</f>
        <v/>
      </c>
      <c r="K643" s="138">
        <f>IF($F643="","",$F643+P_Duree)</f>
        <v/>
      </c>
      <c r="L643" s="134" t="n"/>
      <c r="M643" s="130">
        <f>IF(OR($F643="",$I643=""),"",IF($L643&lt;&gt;"",IF($L643&gt;$K643,"Rendu en retard","Rendu"),IF(TODAY()&gt;$K643,"En retard","En cours")))</f>
        <v/>
      </c>
      <c r="N643" s="139">
        <f>IF(OR($F643="",$I643=""),"",MAX(0,IF($L643&lt;&gt;"",$L643,TODAY())-$K643))</f>
        <v/>
      </c>
      <c r="O643" s="135">
        <f>IF(OR($F643="",$I643=""),"",$N643*P_Amende)</f>
        <v/>
      </c>
      <c r="P643" s="133" t="n"/>
      <c r="R643">
        <f>IF($M643="En retard",$N643+ROW()/100000,"")</f>
        <v/>
      </c>
      <c r="S643">
        <f>IF(OR($F643="",$I643=""),"",$F643+ROW()/100000)</f>
        <v/>
      </c>
      <c r="T643">
        <f>IF($I643="","",IFERROR(INDEX(LIV_Cat,MATCH($I643,LIV_Code,0)),""))</f>
        <v/>
      </c>
    </row>
    <row r="644" ht="21" customHeight="1">
      <c r="A644" s="1" t="n"/>
      <c r="B644" s="1" t="n"/>
      <c r="C644" s="2" t="n"/>
      <c r="E644" s="130">
        <f>IF($F644="","","EMP-"&amp;TEXT(ROW()-6,"0000"))</f>
        <v/>
      </c>
      <c r="F644" s="134" t="n"/>
      <c r="G644" s="127" t="n"/>
      <c r="H644" s="130">
        <f>IF($G644="","",IFERROR(INDEX(MEM_Nom,MATCH($G644,MEM_ID,0)),"⚠ ID inconnu"))</f>
        <v/>
      </c>
      <c r="I644" s="127" t="n"/>
      <c r="J644" s="130">
        <f>IF($I644="","",IFERROR(INDEX(LIV_Titre,MATCH($I644,LIV_Code,0)),"⚠ Code inconnu"))</f>
        <v/>
      </c>
      <c r="K644" s="138">
        <f>IF($F644="","",$F644+P_Duree)</f>
        <v/>
      </c>
      <c r="L644" s="134" t="n"/>
      <c r="M644" s="130">
        <f>IF(OR($F644="",$I644=""),"",IF($L644&lt;&gt;"",IF($L644&gt;$K644,"Rendu en retard","Rendu"),IF(TODAY()&gt;$K644,"En retard","En cours")))</f>
        <v/>
      </c>
      <c r="N644" s="139">
        <f>IF(OR($F644="",$I644=""),"",MAX(0,IF($L644&lt;&gt;"",$L644,TODAY())-$K644))</f>
        <v/>
      </c>
      <c r="O644" s="135">
        <f>IF(OR($F644="",$I644=""),"",$N644*P_Amende)</f>
        <v/>
      </c>
      <c r="P644" s="133" t="n"/>
      <c r="R644">
        <f>IF($M644="En retard",$N644+ROW()/100000,"")</f>
        <v/>
      </c>
      <c r="S644">
        <f>IF(OR($F644="",$I644=""),"",$F644+ROW()/100000)</f>
        <v/>
      </c>
      <c r="T644">
        <f>IF($I644="","",IFERROR(INDEX(LIV_Cat,MATCH($I644,LIV_Code,0)),""))</f>
        <v/>
      </c>
    </row>
    <row r="645" ht="21" customHeight="1">
      <c r="A645" s="1" t="n"/>
      <c r="B645" s="1" t="n"/>
      <c r="C645" s="2" t="n"/>
      <c r="E645" s="130">
        <f>IF($F645="","","EMP-"&amp;TEXT(ROW()-6,"0000"))</f>
        <v/>
      </c>
      <c r="F645" s="134" t="n"/>
      <c r="G645" s="127" t="n"/>
      <c r="H645" s="130">
        <f>IF($G645="","",IFERROR(INDEX(MEM_Nom,MATCH($G645,MEM_ID,0)),"⚠ ID inconnu"))</f>
        <v/>
      </c>
      <c r="I645" s="127" t="n"/>
      <c r="J645" s="130">
        <f>IF($I645="","",IFERROR(INDEX(LIV_Titre,MATCH($I645,LIV_Code,0)),"⚠ Code inconnu"))</f>
        <v/>
      </c>
      <c r="K645" s="138">
        <f>IF($F645="","",$F645+P_Duree)</f>
        <v/>
      </c>
      <c r="L645" s="134" t="n"/>
      <c r="M645" s="130">
        <f>IF(OR($F645="",$I645=""),"",IF($L645&lt;&gt;"",IF($L645&gt;$K645,"Rendu en retard","Rendu"),IF(TODAY()&gt;$K645,"En retard","En cours")))</f>
        <v/>
      </c>
      <c r="N645" s="139">
        <f>IF(OR($F645="",$I645=""),"",MAX(0,IF($L645&lt;&gt;"",$L645,TODAY())-$K645))</f>
        <v/>
      </c>
      <c r="O645" s="135">
        <f>IF(OR($F645="",$I645=""),"",$N645*P_Amende)</f>
        <v/>
      </c>
      <c r="P645" s="133" t="n"/>
      <c r="R645">
        <f>IF($M645="En retard",$N645+ROW()/100000,"")</f>
        <v/>
      </c>
      <c r="S645">
        <f>IF(OR($F645="",$I645=""),"",$F645+ROW()/100000)</f>
        <v/>
      </c>
      <c r="T645">
        <f>IF($I645="","",IFERROR(INDEX(LIV_Cat,MATCH($I645,LIV_Code,0)),""))</f>
        <v/>
      </c>
    </row>
    <row r="646" ht="21" customHeight="1">
      <c r="A646" s="1" t="n"/>
      <c r="B646" s="1" t="n"/>
      <c r="C646" s="2" t="n"/>
      <c r="E646" s="130">
        <f>IF($F646="","","EMP-"&amp;TEXT(ROW()-6,"0000"))</f>
        <v/>
      </c>
      <c r="F646" s="134" t="n"/>
      <c r="G646" s="127" t="n"/>
      <c r="H646" s="130">
        <f>IF($G646="","",IFERROR(INDEX(MEM_Nom,MATCH($G646,MEM_ID,0)),"⚠ ID inconnu"))</f>
        <v/>
      </c>
      <c r="I646" s="127" t="n"/>
      <c r="J646" s="130">
        <f>IF($I646="","",IFERROR(INDEX(LIV_Titre,MATCH($I646,LIV_Code,0)),"⚠ Code inconnu"))</f>
        <v/>
      </c>
      <c r="K646" s="138">
        <f>IF($F646="","",$F646+P_Duree)</f>
        <v/>
      </c>
      <c r="L646" s="134" t="n"/>
      <c r="M646" s="130">
        <f>IF(OR($F646="",$I646=""),"",IF($L646&lt;&gt;"",IF($L646&gt;$K646,"Rendu en retard","Rendu"),IF(TODAY()&gt;$K646,"En retard","En cours")))</f>
        <v/>
      </c>
      <c r="N646" s="139">
        <f>IF(OR($F646="",$I646=""),"",MAX(0,IF($L646&lt;&gt;"",$L646,TODAY())-$K646))</f>
        <v/>
      </c>
      <c r="O646" s="135">
        <f>IF(OR($F646="",$I646=""),"",$N646*P_Amende)</f>
        <v/>
      </c>
      <c r="P646" s="133" t="n"/>
      <c r="R646">
        <f>IF($M646="En retard",$N646+ROW()/100000,"")</f>
        <v/>
      </c>
      <c r="S646">
        <f>IF(OR($F646="",$I646=""),"",$F646+ROW()/100000)</f>
        <v/>
      </c>
      <c r="T646">
        <f>IF($I646="","",IFERROR(INDEX(LIV_Cat,MATCH($I646,LIV_Code,0)),""))</f>
        <v/>
      </c>
    </row>
    <row r="647" ht="21" customHeight="1">
      <c r="A647" s="1" t="n"/>
      <c r="B647" s="1" t="n"/>
      <c r="C647" s="2" t="n"/>
      <c r="E647" s="130">
        <f>IF($F647="","","EMP-"&amp;TEXT(ROW()-6,"0000"))</f>
        <v/>
      </c>
      <c r="F647" s="134" t="n"/>
      <c r="G647" s="127" t="n"/>
      <c r="H647" s="130">
        <f>IF($G647="","",IFERROR(INDEX(MEM_Nom,MATCH($G647,MEM_ID,0)),"⚠ ID inconnu"))</f>
        <v/>
      </c>
      <c r="I647" s="127" t="n"/>
      <c r="J647" s="130">
        <f>IF($I647="","",IFERROR(INDEX(LIV_Titre,MATCH($I647,LIV_Code,0)),"⚠ Code inconnu"))</f>
        <v/>
      </c>
      <c r="K647" s="138">
        <f>IF($F647="","",$F647+P_Duree)</f>
        <v/>
      </c>
      <c r="L647" s="134" t="n"/>
      <c r="M647" s="130">
        <f>IF(OR($F647="",$I647=""),"",IF($L647&lt;&gt;"",IF($L647&gt;$K647,"Rendu en retard","Rendu"),IF(TODAY()&gt;$K647,"En retard","En cours")))</f>
        <v/>
      </c>
      <c r="N647" s="139">
        <f>IF(OR($F647="",$I647=""),"",MAX(0,IF($L647&lt;&gt;"",$L647,TODAY())-$K647))</f>
        <v/>
      </c>
      <c r="O647" s="135">
        <f>IF(OR($F647="",$I647=""),"",$N647*P_Amende)</f>
        <v/>
      </c>
      <c r="P647" s="133" t="n"/>
      <c r="R647">
        <f>IF($M647="En retard",$N647+ROW()/100000,"")</f>
        <v/>
      </c>
      <c r="S647">
        <f>IF(OR($F647="",$I647=""),"",$F647+ROW()/100000)</f>
        <v/>
      </c>
      <c r="T647">
        <f>IF($I647="","",IFERROR(INDEX(LIV_Cat,MATCH($I647,LIV_Code,0)),""))</f>
        <v/>
      </c>
    </row>
    <row r="648" ht="21" customHeight="1">
      <c r="A648" s="1" t="n"/>
      <c r="B648" s="1" t="n"/>
      <c r="C648" s="2" t="n"/>
      <c r="E648" s="130">
        <f>IF($F648="","","EMP-"&amp;TEXT(ROW()-6,"0000"))</f>
        <v/>
      </c>
      <c r="F648" s="134" t="n"/>
      <c r="G648" s="127" t="n"/>
      <c r="H648" s="130">
        <f>IF($G648="","",IFERROR(INDEX(MEM_Nom,MATCH($G648,MEM_ID,0)),"⚠ ID inconnu"))</f>
        <v/>
      </c>
      <c r="I648" s="127" t="n"/>
      <c r="J648" s="130">
        <f>IF($I648="","",IFERROR(INDEX(LIV_Titre,MATCH($I648,LIV_Code,0)),"⚠ Code inconnu"))</f>
        <v/>
      </c>
      <c r="K648" s="138">
        <f>IF($F648="","",$F648+P_Duree)</f>
        <v/>
      </c>
      <c r="L648" s="134" t="n"/>
      <c r="M648" s="130">
        <f>IF(OR($F648="",$I648=""),"",IF($L648&lt;&gt;"",IF($L648&gt;$K648,"Rendu en retard","Rendu"),IF(TODAY()&gt;$K648,"En retard","En cours")))</f>
        <v/>
      </c>
      <c r="N648" s="139">
        <f>IF(OR($F648="",$I648=""),"",MAX(0,IF($L648&lt;&gt;"",$L648,TODAY())-$K648))</f>
        <v/>
      </c>
      <c r="O648" s="135">
        <f>IF(OR($F648="",$I648=""),"",$N648*P_Amende)</f>
        <v/>
      </c>
      <c r="P648" s="133" t="n"/>
      <c r="R648">
        <f>IF($M648="En retard",$N648+ROW()/100000,"")</f>
        <v/>
      </c>
      <c r="S648">
        <f>IF(OR($F648="",$I648=""),"",$F648+ROW()/100000)</f>
        <v/>
      </c>
      <c r="T648">
        <f>IF($I648="","",IFERROR(INDEX(LIV_Cat,MATCH($I648,LIV_Code,0)),""))</f>
        <v/>
      </c>
    </row>
    <row r="649" ht="21" customHeight="1">
      <c r="A649" s="1" t="n"/>
      <c r="B649" s="1" t="n"/>
      <c r="C649" s="2" t="n"/>
      <c r="E649" s="130">
        <f>IF($F649="","","EMP-"&amp;TEXT(ROW()-6,"0000"))</f>
        <v/>
      </c>
      <c r="F649" s="134" t="n"/>
      <c r="G649" s="127" t="n"/>
      <c r="H649" s="130">
        <f>IF($G649="","",IFERROR(INDEX(MEM_Nom,MATCH($G649,MEM_ID,0)),"⚠ ID inconnu"))</f>
        <v/>
      </c>
      <c r="I649" s="127" t="n"/>
      <c r="J649" s="130">
        <f>IF($I649="","",IFERROR(INDEX(LIV_Titre,MATCH($I649,LIV_Code,0)),"⚠ Code inconnu"))</f>
        <v/>
      </c>
      <c r="K649" s="138">
        <f>IF($F649="","",$F649+P_Duree)</f>
        <v/>
      </c>
      <c r="L649" s="134" t="n"/>
      <c r="M649" s="130">
        <f>IF(OR($F649="",$I649=""),"",IF($L649&lt;&gt;"",IF($L649&gt;$K649,"Rendu en retard","Rendu"),IF(TODAY()&gt;$K649,"En retard","En cours")))</f>
        <v/>
      </c>
      <c r="N649" s="139">
        <f>IF(OR($F649="",$I649=""),"",MAX(0,IF($L649&lt;&gt;"",$L649,TODAY())-$K649))</f>
        <v/>
      </c>
      <c r="O649" s="135">
        <f>IF(OR($F649="",$I649=""),"",$N649*P_Amende)</f>
        <v/>
      </c>
      <c r="P649" s="133" t="n"/>
      <c r="R649">
        <f>IF($M649="En retard",$N649+ROW()/100000,"")</f>
        <v/>
      </c>
      <c r="S649">
        <f>IF(OR($F649="",$I649=""),"",$F649+ROW()/100000)</f>
        <v/>
      </c>
      <c r="T649">
        <f>IF($I649="","",IFERROR(INDEX(LIV_Cat,MATCH($I649,LIV_Code,0)),""))</f>
        <v/>
      </c>
    </row>
    <row r="650" ht="21" customHeight="1">
      <c r="A650" s="1" t="n"/>
      <c r="B650" s="1" t="n"/>
      <c r="C650" s="2" t="n"/>
      <c r="E650" s="130">
        <f>IF($F650="","","EMP-"&amp;TEXT(ROW()-6,"0000"))</f>
        <v/>
      </c>
      <c r="F650" s="134" t="n"/>
      <c r="G650" s="127" t="n"/>
      <c r="H650" s="130">
        <f>IF($G650="","",IFERROR(INDEX(MEM_Nom,MATCH($G650,MEM_ID,0)),"⚠ ID inconnu"))</f>
        <v/>
      </c>
      <c r="I650" s="127" t="n"/>
      <c r="J650" s="130">
        <f>IF($I650="","",IFERROR(INDEX(LIV_Titre,MATCH($I650,LIV_Code,0)),"⚠ Code inconnu"))</f>
        <v/>
      </c>
      <c r="K650" s="138">
        <f>IF($F650="","",$F650+P_Duree)</f>
        <v/>
      </c>
      <c r="L650" s="134" t="n"/>
      <c r="M650" s="130">
        <f>IF(OR($F650="",$I650=""),"",IF($L650&lt;&gt;"",IF($L650&gt;$K650,"Rendu en retard","Rendu"),IF(TODAY()&gt;$K650,"En retard","En cours")))</f>
        <v/>
      </c>
      <c r="N650" s="139">
        <f>IF(OR($F650="",$I650=""),"",MAX(0,IF($L650&lt;&gt;"",$L650,TODAY())-$K650))</f>
        <v/>
      </c>
      <c r="O650" s="135">
        <f>IF(OR($F650="",$I650=""),"",$N650*P_Amende)</f>
        <v/>
      </c>
      <c r="P650" s="133" t="n"/>
      <c r="R650">
        <f>IF($M650="En retard",$N650+ROW()/100000,"")</f>
        <v/>
      </c>
      <c r="S650">
        <f>IF(OR($F650="",$I650=""),"",$F650+ROW()/100000)</f>
        <v/>
      </c>
      <c r="T650">
        <f>IF($I650="","",IFERROR(INDEX(LIV_Cat,MATCH($I650,LIV_Code,0)),""))</f>
        <v/>
      </c>
    </row>
    <row r="651" ht="21" customHeight="1">
      <c r="A651" s="1" t="n"/>
      <c r="B651" s="1" t="n"/>
      <c r="C651" s="2" t="n"/>
      <c r="E651" s="130">
        <f>IF($F651="","","EMP-"&amp;TEXT(ROW()-6,"0000"))</f>
        <v/>
      </c>
      <c r="F651" s="134" t="n"/>
      <c r="G651" s="127" t="n"/>
      <c r="H651" s="130">
        <f>IF($G651="","",IFERROR(INDEX(MEM_Nom,MATCH($G651,MEM_ID,0)),"⚠ ID inconnu"))</f>
        <v/>
      </c>
      <c r="I651" s="127" t="n"/>
      <c r="J651" s="130">
        <f>IF($I651="","",IFERROR(INDEX(LIV_Titre,MATCH($I651,LIV_Code,0)),"⚠ Code inconnu"))</f>
        <v/>
      </c>
      <c r="K651" s="138">
        <f>IF($F651="","",$F651+P_Duree)</f>
        <v/>
      </c>
      <c r="L651" s="134" t="n"/>
      <c r="M651" s="130">
        <f>IF(OR($F651="",$I651=""),"",IF($L651&lt;&gt;"",IF($L651&gt;$K651,"Rendu en retard","Rendu"),IF(TODAY()&gt;$K651,"En retard","En cours")))</f>
        <v/>
      </c>
      <c r="N651" s="139">
        <f>IF(OR($F651="",$I651=""),"",MAX(0,IF($L651&lt;&gt;"",$L651,TODAY())-$K651))</f>
        <v/>
      </c>
      <c r="O651" s="135">
        <f>IF(OR($F651="",$I651=""),"",$N651*P_Amende)</f>
        <v/>
      </c>
      <c r="P651" s="133" t="n"/>
      <c r="R651">
        <f>IF($M651="En retard",$N651+ROW()/100000,"")</f>
        <v/>
      </c>
      <c r="S651">
        <f>IF(OR($F651="",$I651=""),"",$F651+ROW()/100000)</f>
        <v/>
      </c>
      <c r="T651">
        <f>IF($I651="","",IFERROR(INDEX(LIV_Cat,MATCH($I651,LIV_Code,0)),""))</f>
        <v/>
      </c>
    </row>
    <row r="652" ht="21" customHeight="1">
      <c r="A652" s="1" t="n"/>
      <c r="B652" s="1" t="n"/>
      <c r="C652" s="2" t="n"/>
      <c r="E652" s="130">
        <f>IF($F652="","","EMP-"&amp;TEXT(ROW()-6,"0000"))</f>
        <v/>
      </c>
      <c r="F652" s="134" t="n"/>
      <c r="G652" s="127" t="n"/>
      <c r="H652" s="130">
        <f>IF($G652="","",IFERROR(INDEX(MEM_Nom,MATCH($G652,MEM_ID,0)),"⚠ ID inconnu"))</f>
        <v/>
      </c>
      <c r="I652" s="127" t="n"/>
      <c r="J652" s="130">
        <f>IF($I652="","",IFERROR(INDEX(LIV_Titre,MATCH($I652,LIV_Code,0)),"⚠ Code inconnu"))</f>
        <v/>
      </c>
      <c r="K652" s="138">
        <f>IF($F652="","",$F652+P_Duree)</f>
        <v/>
      </c>
      <c r="L652" s="134" t="n"/>
      <c r="M652" s="130">
        <f>IF(OR($F652="",$I652=""),"",IF($L652&lt;&gt;"",IF($L652&gt;$K652,"Rendu en retard","Rendu"),IF(TODAY()&gt;$K652,"En retard","En cours")))</f>
        <v/>
      </c>
      <c r="N652" s="139">
        <f>IF(OR($F652="",$I652=""),"",MAX(0,IF($L652&lt;&gt;"",$L652,TODAY())-$K652))</f>
        <v/>
      </c>
      <c r="O652" s="135">
        <f>IF(OR($F652="",$I652=""),"",$N652*P_Amende)</f>
        <v/>
      </c>
      <c r="P652" s="133" t="n"/>
      <c r="R652">
        <f>IF($M652="En retard",$N652+ROW()/100000,"")</f>
        <v/>
      </c>
      <c r="S652">
        <f>IF(OR($F652="",$I652=""),"",$F652+ROW()/100000)</f>
        <v/>
      </c>
      <c r="T652">
        <f>IF($I652="","",IFERROR(INDEX(LIV_Cat,MATCH($I652,LIV_Code,0)),""))</f>
        <v/>
      </c>
    </row>
    <row r="653" ht="21" customHeight="1">
      <c r="A653" s="1" t="n"/>
      <c r="B653" s="1" t="n"/>
      <c r="C653" s="2" t="n"/>
      <c r="E653" s="130">
        <f>IF($F653="","","EMP-"&amp;TEXT(ROW()-6,"0000"))</f>
        <v/>
      </c>
      <c r="F653" s="134" t="n"/>
      <c r="G653" s="127" t="n"/>
      <c r="H653" s="130">
        <f>IF($G653="","",IFERROR(INDEX(MEM_Nom,MATCH($G653,MEM_ID,0)),"⚠ ID inconnu"))</f>
        <v/>
      </c>
      <c r="I653" s="127" t="n"/>
      <c r="J653" s="130">
        <f>IF($I653="","",IFERROR(INDEX(LIV_Titre,MATCH($I653,LIV_Code,0)),"⚠ Code inconnu"))</f>
        <v/>
      </c>
      <c r="K653" s="138">
        <f>IF($F653="","",$F653+P_Duree)</f>
        <v/>
      </c>
      <c r="L653" s="134" t="n"/>
      <c r="M653" s="130">
        <f>IF(OR($F653="",$I653=""),"",IF($L653&lt;&gt;"",IF($L653&gt;$K653,"Rendu en retard","Rendu"),IF(TODAY()&gt;$K653,"En retard","En cours")))</f>
        <v/>
      </c>
      <c r="N653" s="139">
        <f>IF(OR($F653="",$I653=""),"",MAX(0,IF($L653&lt;&gt;"",$L653,TODAY())-$K653))</f>
        <v/>
      </c>
      <c r="O653" s="135">
        <f>IF(OR($F653="",$I653=""),"",$N653*P_Amende)</f>
        <v/>
      </c>
      <c r="P653" s="133" t="n"/>
      <c r="R653">
        <f>IF($M653="En retard",$N653+ROW()/100000,"")</f>
        <v/>
      </c>
      <c r="S653">
        <f>IF(OR($F653="",$I653=""),"",$F653+ROW()/100000)</f>
        <v/>
      </c>
      <c r="T653">
        <f>IF($I653="","",IFERROR(INDEX(LIV_Cat,MATCH($I653,LIV_Code,0)),""))</f>
        <v/>
      </c>
    </row>
    <row r="654" ht="21" customHeight="1">
      <c r="A654" s="1" t="n"/>
      <c r="B654" s="1" t="n"/>
      <c r="C654" s="2" t="n"/>
      <c r="E654" s="130">
        <f>IF($F654="","","EMP-"&amp;TEXT(ROW()-6,"0000"))</f>
        <v/>
      </c>
      <c r="F654" s="134" t="n"/>
      <c r="G654" s="127" t="n"/>
      <c r="H654" s="130">
        <f>IF($G654="","",IFERROR(INDEX(MEM_Nom,MATCH($G654,MEM_ID,0)),"⚠ ID inconnu"))</f>
        <v/>
      </c>
      <c r="I654" s="127" t="n"/>
      <c r="J654" s="130">
        <f>IF($I654="","",IFERROR(INDEX(LIV_Titre,MATCH($I654,LIV_Code,0)),"⚠ Code inconnu"))</f>
        <v/>
      </c>
      <c r="K654" s="138">
        <f>IF($F654="","",$F654+P_Duree)</f>
        <v/>
      </c>
      <c r="L654" s="134" t="n"/>
      <c r="M654" s="130">
        <f>IF(OR($F654="",$I654=""),"",IF($L654&lt;&gt;"",IF($L654&gt;$K654,"Rendu en retard","Rendu"),IF(TODAY()&gt;$K654,"En retard","En cours")))</f>
        <v/>
      </c>
      <c r="N654" s="139">
        <f>IF(OR($F654="",$I654=""),"",MAX(0,IF($L654&lt;&gt;"",$L654,TODAY())-$K654))</f>
        <v/>
      </c>
      <c r="O654" s="135">
        <f>IF(OR($F654="",$I654=""),"",$N654*P_Amende)</f>
        <v/>
      </c>
      <c r="P654" s="133" t="n"/>
      <c r="R654">
        <f>IF($M654="En retard",$N654+ROW()/100000,"")</f>
        <v/>
      </c>
      <c r="S654">
        <f>IF(OR($F654="",$I654=""),"",$F654+ROW()/100000)</f>
        <v/>
      </c>
      <c r="T654">
        <f>IF($I654="","",IFERROR(INDEX(LIV_Cat,MATCH($I654,LIV_Code,0)),""))</f>
        <v/>
      </c>
    </row>
    <row r="655" ht="21" customHeight="1">
      <c r="A655" s="1" t="n"/>
      <c r="B655" s="1" t="n"/>
      <c r="C655" s="2" t="n"/>
      <c r="E655" s="130">
        <f>IF($F655="","","EMP-"&amp;TEXT(ROW()-6,"0000"))</f>
        <v/>
      </c>
      <c r="F655" s="134" t="n"/>
      <c r="G655" s="127" t="n"/>
      <c r="H655" s="130">
        <f>IF($G655="","",IFERROR(INDEX(MEM_Nom,MATCH($G655,MEM_ID,0)),"⚠ ID inconnu"))</f>
        <v/>
      </c>
      <c r="I655" s="127" t="n"/>
      <c r="J655" s="130">
        <f>IF($I655="","",IFERROR(INDEX(LIV_Titre,MATCH($I655,LIV_Code,0)),"⚠ Code inconnu"))</f>
        <v/>
      </c>
      <c r="K655" s="138">
        <f>IF($F655="","",$F655+P_Duree)</f>
        <v/>
      </c>
      <c r="L655" s="134" t="n"/>
      <c r="M655" s="130">
        <f>IF(OR($F655="",$I655=""),"",IF($L655&lt;&gt;"",IF($L655&gt;$K655,"Rendu en retard","Rendu"),IF(TODAY()&gt;$K655,"En retard","En cours")))</f>
        <v/>
      </c>
      <c r="N655" s="139">
        <f>IF(OR($F655="",$I655=""),"",MAX(0,IF($L655&lt;&gt;"",$L655,TODAY())-$K655))</f>
        <v/>
      </c>
      <c r="O655" s="135">
        <f>IF(OR($F655="",$I655=""),"",$N655*P_Amende)</f>
        <v/>
      </c>
      <c r="P655" s="133" t="n"/>
      <c r="R655">
        <f>IF($M655="En retard",$N655+ROW()/100000,"")</f>
        <v/>
      </c>
      <c r="S655">
        <f>IF(OR($F655="",$I655=""),"",$F655+ROW()/100000)</f>
        <v/>
      </c>
      <c r="T655">
        <f>IF($I655="","",IFERROR(INDEX(LIV_Cat,MATCH($I655,LIV_Code,0)),""))</f>
        <v/>
      </c>
    </row>
    <row r="656" ht="21" customHeight="1">
      <c r="A656" s="1" t="n"/>
      <c r="B656" s="1" t="n"/>
      <c r="C656" s="2" t="n"/>
      <c r="E656" s="130">
        <f>IF($F656="","","EMP-"&amp;TEXT(ROW()-6,"0000"))</f>
        <v/>
      </c>
      <c r="F656" s="134" t="n"/>
      <c r="G656" s="127" t="n"/>
      <c r="H656" s="130">
        <f>IF($G656="","",IFERROR(INDEX(MEM_Nom,MATCH($G656,MEM_ID,0)),"⚠ ID inconnu"))</f>
        <v/>
      </c>
      <c r="I656" s="127" t="n"/>
      <c r="J656" s="130">
        <f>IF($I656="","",IFERROR(INDEX(LIV_Titre,MATCH($I656,LIV_Code,0)),"⚠ Code inconnu"))</f>
        <v/>
      </c>
      <c r="K656" s="138">
        <f>IF($F656="","",$F656+P_Duree)</f>
        <v/>
      </c>
      <c r="L656" s="134" t="n"/>
      <c r="M656" s="130">
        <f>IF(OR($F656="",$I656=""),"",IF($L656&lt;&gt;"",IF($L656&gt;$K656,"Rendu en retard","Rendu"),IF(TODAY()&gt;$K656,"En retard","En cours")))</f>
        <v/>
      </c>
      <c r="N656" s="139">
        <f>IF(OR($F656="",$I656=""),"",MAX(0,IF($L656&lt;&gt;"",$L656,TODAY())-$K656))</f>
        <v/>
      </c>
      <c r="O656" s="135">
        <f>IF(OR($F656="",$I656=""),"",$N656*P_Amende)</f>
        <v/>
      </c>
      <c r="P656" s="133" t="n"/>
      <c r="R656">
        <f>IF($M656="En retard",$N656+ROW()/100000,"")</f>
        <v/>
      </c>
      <c r="S656">
        <f>IF(OR($F656="",$I656=""),"",$F656+ROW()/100000)</f>
        <v/>
      </c>
      <c r="T656">
        <f>IF($I656="","",IFERROR(INDEX(LIV_Cat,MATCH($I656,LIV_Code,0)),""))</f>
        <v/>
      </c>
    </row>
    <row r="657" ht="21" customHeight="1">
      <c r="A657" s="1" t="n"/>
      <c r="B657" s="1" t="n"/>
      <c r="C657" s="2" t="n"/>
      <c r="E657" s="130">
        <f>IF($F657="","","EMP-"&amp;TEXT(ROW()-6,"0000"))</f>
        <v/>
      </c>
      <c r="F657" s="134" t="n"/>
      <c r="G657" s="127" t="n"/>
      <c r="H657" s="130">
        <f>IF($G657="","",IFERROR(INDEX(MEM_Nom,MATCH($G657,MEM_ID,0)),"⚠ ID inconnu"))</f>
        <v/>
      </c>
      <c r="I657" s="127" t="n"/>
      <c r="J657" s="130">
        <f>IF($I657="","",IFERROR(INDEX(LIV_Titre,MATCH($I657,LIV_Code,0)),"⚠ Code inconnu"))</f>
        <v/>
      </c>
      <c r="K657" s="138">
        <f>IF($F657="","",$F657+P_Duree)</f>
        <v/>
      </c>
      <c r="L657" s="134" t="n"/>
      <c r="M657" s="130">
        <f>IF(OR($F657="",$I657=""),"",IF($L657&lt;&gt;"",IF($L657&gt;$K657,"Rendu en retard","Rendu"),IF(TODAY()&gt;$K657,"En retard","En cours")))</f>
        <v/>
      </c>
      <c r="N657" s="139">
        <f>IF(OR($F657="",$I657=""),"",MAX(0,IF($L657&lt;&gt;"",$L657,TODAY())-$K657))</f>
        <v/>
      </c>
      <c r="O657" s="135">
        <f>IF(OR($F657="",$I657=""),"",$N657*P_Amende)</f>
        <v/>
      </c>
      <c r="P657" s="133" t="n"/>
      <c r="R657">
        <f>IF($M657="En retard",$N657+ROW()/100000,"")</f>
        <v/>
      </c>
      <c r="S657">
        <f>IF(OR($F657="",$I657=""),"",$F657+ROW()/100000)</f>
        <v/>
      </c>
      <c r="T657">
        <f>IF($I657="","",IFERROR(INDEX(LIV_Cat,MATCH($I657,LIV_Code,0)),""))</f>
        <v/>
      </c>
    </row>
    <row r="658" ht="21" customHeight="1">
      <c r="A658" s="1" t="n"/>
      <c r="B658" s="1" t="n"/>
      <c r="C658" s="2" t="n"/>
      <c r="E658" s="130">
        <f>IF($F658="","","EMP-"&amp;TEXT(ROW()-6,"0000"))</f>
        <v/>
      </c>
      <c r="F658" s="134" t="n"/>
      <c r="G658" s="127" t="n"/>
      <c r="H658" s="130">
        <f>IF($G658="","",IFERROR(INDEX(MEM_Nom,MATCH($G658,MEM_ID,0)),"⚠ ID inconnu"))</f>
        <v/>
      </c>
      <c r="I658" s="127" t="n"/>
      <c r="J658" s="130">
        <f>IF($I658="","",IFERROR(INDEX(LIV_Titre,MATCH($I658,LIV_Code,0)),"⚠ Code inconnu"))</f>
        <v/>
      </c>
      <c r="K658" s="138">
        <f>IF($F658="","",$F658+P_Duree)</f>
        <v/>
      </c>
      <c r="L658" s="134" t="n"/>
      <c r="M658" s="130">
        <f>IF(OR($F658="",$I658=""),"",IF($L658&lt;&gt;"",IF($L658&gt;$K658,"Rendu en retard","Rendu"),IF(TODAY()&gt;$K658,"En retard","En cours")))</f>
        <v/>
      </c>
      <c r="N658" s="139">
        <f>IF(OR($F658="",$I658=""),"",MAX(0,IF($L658&lt;&gt;"",$L658,TODAY())-$K658))</f>
        <v/>
      </c>
      <c r="O658" s="135">
        <f>IF(OR($F658="",$I658=""),"",$N658*P_Amende)</f>
        <v/>
      </c>
      <c r="P658" s="133" t="n"/>
      <c r="R658">
        <f>IF($M658="En retard",$N658+ROW()/100000,"")</f>
        <v/>
      </c>
      <c r="S658">
        <f>IF(OR($F658="",$I658=""),"",$F658+ROW()/100000)</f>
        <v/>
      </c>
      <c r="T658">
        <f>IF($I658="","",IFERROR(INDEX(LIV_Cat,MATCH($I658,LIV_Code,0)),""))</f>
        <v/>
      </c>
    </row>
    <row r="659" ht="21" customHeight="1">
      <c r="A659" s="1" t="n"/>
      <c r="B659" s="1" t="n"/>
      <c r="C659" s="2" t="n"/>
      <c r="E659" s="130">
        <f>IF($F659="","","EMP-"&amp;TEXT(ROW()-6,"0000"))</f>
        <v/>
      </c>
      <c r="F659" s="134" t="n"/>
      <c r="G659" s="127" t="n"/>
      <c r="H659" s="130">
        <f>IF($G659="","",IFERROR(INDEX(MEM_Nom,MATCH($G659,MEM_ID,0)),"⚠ ID inconnu"))</f>
        <v/>
      </c>
      <c r="I659" s="127" t="n"/>
      <c r="J659" s="130">
        <f>IF($I659="","",IFERROR(INDEX(LIV_Titre,MATCH($I659,LIV_Code,0)),"⚠ Code inconnu"))</f>
        <v/>
      </c>
      <c r="K659" s="138">
        <f>IF($F659="","",$F659+P_Duree)</f>
        <v/>
      </c>
      <c r="L659" s="134" t="n"/>
      <c r="M659" s="130">
        <f>IF(OR($F659="",$I659=""),"",IF($L659&lt;&gt;"",IF($L659&gt;$K659,"Rendu en retard","Rendu"),IF(TODAY()&gt;$K659,"En retard","En cours")))</f>
        <v/>
      </c>
      <c r="N659" s="139">
        <f>IF(OR($F659="",$I659=""),"",MAX(0,IF($L659&lt;&gt;"",$L659,TODAY())-$K659))</f>
        <v/>
      </c>
      <c r="O659" s="135">
        <f>IF(OR($F659="",$I659=""),"",$N659*P_Amende)</f>
        <v/>
      </c>
      <c r="P659" s="133" t="n"/>
      <c r="R659">
        <f>IF($M659="En retard",$N659+ROW()/100000,"")</f>
        <v/>
      </c>
      <c r="S659">
        <f>IF(OR($F659="",$I659=""),"",$F659+ROW()/100000)</f>
        <v/>
      </c>
      <c r="T659">
        <f>IF($I659="","",IFERROR(INDEX(LIV_Cat,MATCH($I659,LIV_Code,0)),""))</f>
        <v/>
      </c>
    </row>
    <row r="660" ht="21" customHeight="1">
      <c r="A660" s="1" t="n"/>
      <c r="B660" s="1" t="n"/>
      <c r="C660" s="2" t="n"/>
      <c r="E660" s="130">
        <f>IF($F660="","","EMP-"&amp;TEXT(ROW()-6,"0000"))</f>
        <v/>
      </c>
      <c r="F660" s="134" t="n"/>
      <c r="G660" s="127" t="n"/>
      <c r="H660" s="130">
        <f>IF($G660="","",IFERROR(INDEX(MEM_Nom,MATCH($G660,MEM_ID,0)),"⚠ ID inconnu"))</f>
        <v/>
      </c>
      <c r="I660" s="127" t="n"/>
      <c r="J660" s="130">
        <f>IF($I660="","",IFERROR(INDEX(LIV_Titre,MATCH($I660,LIV_Code,0)),"⚠ Code inconnu"))</f>
        <v/>
      </c>
      <c r="K660" s="138">
        <f>IF($F660="","",$F660+P_Duree)</f>
        <v/>
      </c>
      <c r="L660" s="134" t="n"/>
      <c r="M660" s="130">
        <f>IF(OR($F660="",$I660=""),"",IF($L660&lt;&gt;"",IF($L660&gt;$K660,"Rendu en retard","Rendu"),IF(TODAY()&gt;$K660,"En retard","En cours")))</f>
        <v/>
      </c>
      <c r="N660" s="139">
        <f>IF(OR($F660="",$I660=""),"",MAX(0,IF($L660&lt;&gt;"",$L660,TODAY())-$K660))</f>
        <v/>
      </c>
      <c r="O660" s="135">
        <f>IF(OR($F660="",$I660=""),"",$N660*P_Amende)</f>
        <v/>
      </c>
      <c r="P660" s="133" t="n"/>
      <c r="R660">
        <f>IF($M660="En retard",$N660+ROW()/100000,"")</f>
        <v/>
      </c>
      <c r="S660">
        <f>IF(OR($F660="",$I660=""),"",$F660+ROW()/100000)</f>
        <v/>
      </c>
      <c r="T660">
        <f>IF($I660="","",IFERROR(INDEX(LIV_Cat,MATCH($I660,LIV_Code,0)),""))</f>
        <v/>
      </c>
    </row>
    <row r="661" ht="21" customHeight="1">
      <c r="A661" s="1" t="n"/>
      <c r="B661" s="1" t="n"/>
      <c r="C661" s="2" t="n"/>
      <c r="E661" s="130">
        <f>IF($F661="","","EMP-"&amp;TEXT(ROW()-6,"0000"))</f>
        <v/>
      </c>
      <c r="F661" s="134" t="n"/>
      <c r="G661" s="127" t="n"/>
      <c r="H661" s="130">
        <f>IF($G661="","",IFERROR(INDEX(MEM_Nom,MATCH($G661,MEM_ID,0)),"⚠ ID inconnu"))</f>
        <v/>
      </c>
      <c r="I661" s="127" t="n"/>
      <c r="J661" s="130">
        <f>IF($I661="","",IFERROR(INDEX(LIV_Titre,MATCH($I661,LIV_Code,0)),"⚠ Code inconnu"))</f>
        <v/>
      </c>
      <c r="K661" s="138">
        <f>IF($F661="","",$F661+P_Duree)</f>
        <v/>
      </c>
      <c r="L661" s="134" t="n"/>
      <c r="M661" s="130">
        <f>IF(OR($F661="",$I661=""),"",IF($L661&lt;&gt;"",IF($L661&gt;$K661,"Rendu en retard","Rendu"),IF(TODAY()&gt;$K661,"En retard","En cours")))</f>
        <v/>
      </c>
      <c r="N661" s="139">
        <f>IF(OR($F661="",$I661=""),"",MAX(0,IF($L661&lt;&gt;"",$L661,TODAY())-$K661))</f>
        <v/>
      </c>
      <c r="O661" s="135">
        <f>IF(OR($F661="",$I661=""),"",$N661*P_Amende)</f>
        <v/>
      </c>
      <c r="P661" s="133" t="n"/>
      <c r="R661">
        <f>IF($M661="En retard",$N661+ROW()/100000,"")</f>
        <v/>
      </c>
      <c r="S661">
        <f>IF(OR($F661="",$I661=""),"",$F661+ROW()/100000)</f>
        <v/>
      </c>
      <c r="T661">
        <f>IF($I661="","",IFERROR(INDEX(LIV_Cat,MATCH($I661,LIV_Code,0)),""))</f>
        <v/>
      </c>
    </row>
    <row r="662" ht="21" customHeight="1">
      <c r="A662" s="1" t="n"/>
      <c r="B662" s="1" t="n"/>
      <c r="C662" s="2" t="n"/>
      <c r="E662" s="130">
        <f>IF($F662="","","EMP-"&amp;TEXT(ROW()-6,"0000"))</f>
        <v/>
      </c>
      <c r="F662" s="134" t="n"/>
      <c r="G662" s="127" t="n"/>
      <c r="H662" s="130">
        <f>IF($G662="","",IFERROR(INDEX(MEM_Nom,MATCH($G662,MEM_ID,0)),"⚠ ID inconnu"))</f>
        <v/>
      </c>
      <c r="I662" s="127" t="n"/>
      <c r="J662" s="130">
        <f>IF($I662="","",IFERROR(INDEX(LIV_Titre,MATCH($I662,LIV_Code,0)),"⚠ Code inconnu"))</f>
        <v/>
      </c>
      <c r="K662" s="138">
        <f>IF($F662="","",$F662+P_Duree)</f>
        <v/>
      </c>
      <c r="L662" s="134" t="n"/>
      <c r="M662" s="130">
        <f>IF(OR($F662="",$I662=""),"",IF($L662&lt;&gt;"",IF($L662&gt;$K662,"Rendu en retard","Rendu"),IF(TODAY()&gt;$K662,"En retard","En cours")))</f>
        <v/>
      </c>
      <c r="N662" s="139">
        <f>IF(OR($F662="",$I662=""),"",MAX(0,IF($L662&lt;&gt;"",$L662,TODAY())-$K662))</f>
        <v/>
      </c>
      <c r="O662" s="135">
        <f>IF(OR($F662="",$I662=""),"",$N662*P_Amende)</f>
        <v/>
      </c>
      <c r="P662" s="133" t="n"/>
      <c r="R662">
        <f>IF($M662="En retard",$N662+ROW()/100000,"")</f>
        <v/>
      </c>
      <c r="S662">
        <f>IF(OR($F662="",$I662=""),"",$F662+ROW()/100000)</f>
        <v/>
      </c>
      <c r="T662">
        <f>IF($I662="","",IFERROR(INDEX(LIV_Cat,MATCH($I662,LIV_Code,0)),""))</f>
        <v/>
      </c>
    </row>
    <row r="663" ht="21" customHeight="1">
      <c r="A663" s="1" t="n"/>
      <c r="B663" s="1" t="n"/>
      <c r="C663" s="2" t="n"/>
      <c r="E663" s="130">
        <f>IF($F663="","","EMP-"&amp;TEXT(ROW()-6,"0000"))</f>
        <v/>
      </c>
      <c r="F663" s="134" t="n"/>
      <c r="G663" s="127" t="n"/>
      <c r="H663" s="130">
        <f>IF($G663="","",IFERROR(INDEX(MEM_Nom,MATCH($G663,MEM_ID,0)),"⚠ ID inconnu"))</f>
        <v/>
      </c>
      <c r="I663" s="127" t="n"/>
      <c r="J663" s="130">
        <f>IF($I663="","",IFERROR(INDEX(LIV_Titre,MATCH($I663,LIV_Code,0)),"⚠ Code inconnu"))</f>
        <v/>
      </c>
      <c r="K663" s="138">
        <f>IF($F663="","",$F663+P_Duree)</f>
        <v/>
      </c>
      <c r="L663" s="134" t="n"/>
      <c r="M663" s="130">
        <f>IF(OR($F663="",$I663=""),"",IF($L663&lt;&gt;"",IF($L663&gt;$K663,"Rendu en retard","Rendu"),IF(TODAY()&gt;$K663,"En retard","En cours")))</f>
        <v/>
      </c>
      <c r="N663" s="139">
        <f>IF(OR($F663="",$I663=""),"",MAX(0,IF($L663&lt;&gt;"",$L663,TODAY())-$K663))</f>
        <v/>
      </c>
      <c r="O663" s="135">
        <f>IF(OR($F663="",$I663=""),"",$N663*P_Amende)</f>
        <v/>
      </c>
      <c r="P663" s="133" t="n"/>
      <c r="R663">
        <f>IF($M663="En retard",$N663+ROW()/100000,"")</f>
        <v/>
      </c>
      <c r="S663">
        <f>IF(OR($F663="",$I663=""),"",$F663+ROW()/100000)</f>
        <v/>
      </c>
      <c r="T663">
        <f>IF($I663="","",IFERROR(INDEX(LIV_Cat,MATCH($I663,LIV_Code,0)),""))</f>
        <v/>
      </c>
    </row>
    <row r="664" ht="21" customHeight="1">
      <c r="A664" s="1" t="n"/>
      <c r="B664" s="1" t="n"/>
      <c r="C664" s="2" t="n"/>
      <c r="E664" s="130">
        <f>IF($F664="","","EMP-"&amp;TEXT(ROW()-6,"0000"))</f>
        <v/>
      </c>
      <c r="F664" s="134" t="n"/>
      <c r="G664" s="127" t="n"/>
      <c r="H664" s="130">
        <f>IF($G664="","",IFERROR(INDEX(MEM_Nom,MATCH($G664,MEM_ID,0)),"⚠ ID inconnu"))</f>
        <v/>
      </c>
      <c r="I664" s="127" t="n"/>
      <c r="J664" s="130">
        <f>IF($I664="","",IFERROR(INDEX(LIV_Titre,MATCH($I664,LIV_Code,0)),"⚠ Code inconnu"))</f>
        <v/>
      </c>
      <c r="K664" s="138">
        <f>IF($F664="","",$F664+P_Duree)</f>
        <v/>
      </c>
      <c r="L664" s="134" t="n"/>
      <c r="M664" s="130">
        <f>IF(OR($F664="",$I664=""),"",IF($L664&lt;&gt;"",IF($L664&gt;$K664,"Rendu en retard","Rendu"),IF(TODAY()&gt;$K664,"En retard","En cours")))</f>
        <v/>
      </c>
      <c r="N664" s="139">
        <f>IF(OR($F664="",$I664=""),"",MAX(0,IF($L664&lt;&gt;"",$L664,TODAY())-$K664))</f>
        <v/>
      </c>
      <c r="O664" s="135">
        <f>IF(OR($F664="",$I664=""),"",$N664*P_Amende)</f>
        <v/>
      </c>
      <c r="P664" s="133" t="n"/>
      <c r="R664">
        <f>IF($M664="En retard",$N664+ROW()/100000,"")</f>
        <v/>
      </c>
      <c r="S664">
        <f>IF(OR($F664="",$I664=""),"",$F664+ROW()/100000)</f>
        <v/>
      </c>
      <c r="T664">
        <f>IF($I664="","",IFERROR(INDEX(LIV_Cat,MATCH($I664,LIV_Code,0)),""))</f>
        <v/>
      </c>
    </row>
    <row r="665" ht="21" customHeight="1">
      <c r="A665" s="1" t="n"/>
      <c r="B665" s="1" t="n"/>
      <c r="C665" s="2" t="n"/>
      <c r="E665" s="130">
        <f>IF($F665="","","EMP-"&amp;TEXT(ROW()-6,"0000"))</f>
        <v/>
      </c>
      <c r="F665" s="134" t="n"/>
      <c r="G665" s="127" t="n"/>
      <c r="H665" s="130">
        <f>IF($G665="","",IFERROR(INDEX(MEM_Nom,MATCH($G665,MEM_ID,0)),"⚠ ID inconnu"))</f>
        <v/>
      </c>
      <c r="I665" s="127" t="n"/>
      <c r="J665" s="130">
        <f>IF($I665="","",IFERROR(INDEX(LIV_Titre,MATCH($I665,LIV_Code,0)),"⚠ Code inconnu"))</f>
        <v/>
      </c>
      <c r="K665" s="138">
        <f>IF($F665="","",$F665+P_Duree)</f>
        <v/>
      </c>
      <c r="L665" s="134" t="n"/>
      <c r="M665" s="130">
        <f>IF(OR($F665="",$I665=""),"",IF($L665&lt;&gt;"",IF($L665&gt;$K665,"Rendu en retard","Rendu"),IF(TODAY()&gt;$K665,"En retard","En cours")))</f>
        <v/>
      </c>
      <c r="N665" s="139">
        <f>IF(OR($F665="",$I665=""),"",MAX(0,IF($L665&lt;&gt;"",$L665,TODAY())-$K665))</f>
        <v/>
      </c>
      <c r="O665" s="135">
        <f>IF(OR($F665="",$I665=""),"",$N665*P_Amende)</f>
        <v/>
      </c>
      <c r="P665" s="133" t="n"/>
      <c r="R665">
        <f>IF($M665="En retard",$N665+ROW()/100000,"")</f>
        <v/>
      </c>
      <c r="S665">
        <f>IF(OR($F665="",$I665=""),"",$F665+ROW()/100000)</f>
        <v/>
      </c>
      <c r="T665">
        <f>IF($I665="","",IFERROR(INDEX(LIV_Cat,MATCH($I665,LIV_Code,0)),""))</f>
        <v/>
      </c>
    </row>
    <row r="666" ht="21" customHeight="1">
      <c r="A666" s="1" t="n"/>
      <c r="B666" s="1" t="n"/>
      <c r="C666" s="2" t="n"/>
      <c r="E666" s="130">
        <f>IF($F666="","","EMP-"&amp;TEXT(ROW()-6,"0000"))</f>
        <v/>
      </c>
      <c r="F666" s="134" t="n"/>
      <c r="G666" s="127" t="n"/>
      <c r="H666" s="130">
        <f>IF($G666="","",IFERROR(INDEX(MEM_Nom,MATCH($G666,MEM_ID,0)),"⚠ ID inconnu"))</f>
        <v/>
      </c>
      <c r="I666" s="127" t="n"/>
      <c r="J666" s="130">
        <f>IF($I666="","",IFERROR(INDEX(LIV_Titre,MATCH($I666,LIV_Code,0)),"⚠ Code inconnu"))</f>
        <v/>
      </c>
      <c r="K666" s="138">
        <f>IF($F666="","",$F666+P_Duree)</f>
        <v/>
      </c>
      <c r="L666" s="134" t="n"/>
      <c r="M666" s="130">
        <f>IF(OR($F666="",$I666=""),"",IF($L666&lt;&gt;"",IF($L666&gt;$K666,"Rendu en retard","Rendu"),IF(TODAY()&gt;$K666,"En retard","En cours")))</f>
        <v/>
      </c>
      <c r="N666" s="139">
        <f>IF(OR($F666="",$I666=""),"",MAX(0,IF($L666&lt;&gt;"",$L666,TODAY())-$K666))</f>
        <v/>
      </c>
      <c r="O666" s="135">
        <f>IF(OR($F666="",$I666=""),"",$N666*P_Amende)</f>
        <v/>
      </c>
      <c r="P666" s="133" t="n"/>
      <c r="R666">
        <f>IF($M666="En retard",$N666+ROW()/100000,"")</f>
        <v/>
      </c>
      <c r="S666">
        <f>IF(OR($F666="",$I666=""),"",$F666+ROW()/100000)</f>
        <v/>
      </c>
      <c r="T666">
        <f>IF($I666="","",IFERROR(INDEX(LIV_Cat,MATCH($I666,LIV_Code,0)),""))</f>
        <v/>
      </c>
    </row>
    <row r="667" ht="21" customHeight="1">
      <c r="A667" s="1" t="n"/>
      <c r="B667" s="1" t="n"/>
      <c r="C667" s="2" t="n"/>
      <c r="E667" s="130">
        <f>IF($F667="","","EMP-"&amp;TEXT(ROW()-6,"0000"))</f>
        <v/>
      </c>
      <c r="F667" s="134" t="n"/>
      <c r="G667" s="127" t="n"/>
      <c r="H667" s="130">
        <f>IF($G667="","",IFERROR(INDEX(MEM_Nom,MATCH($G667,MEM_ID,0)),"⚠ ID inconnu"))</f>
        <v/>
      </c>
      <c r="I667" s="127" t="n"/>
      <c r="J667" s="130">
        <f>IF($I667="","",IFERROR(INDEX(LIV_Titre,MATCH($I667,LIV_Code,0)),"⚠ Code inconnu"))</f>
        <v/>
      </c>
      <c r="K667" s="138">
        <f>IF($F667="","",$F667+P_Duree)</f>
        <v/>
      </c>
      <c r="L667" s="134" t="n"/>
      <c r="M667" s="130">
        <f>IF(OR($F667="",$I667=""),"",IF($L667&lt;&gt;"",IF($L667&gt;$K667,"Rendu en retard","Rendu"),IF(TODAY()&gt;$K667,"En retard","En cours")))</f>
        <v/>
      </c>
      <c r="N667" s="139">
        <f>IF(OR($F667="",$I667=""),"",MAX(0,IF($L667&lt;&gt;"",$L667,TODAY())-$K667))</f>
        <v/>
      </c>
      <c r="O667" s="135">
        <f>IF(OR($F667="",$I667=""),"",$N667*P_Amende)</f>
        <v/>
      </c>
      <c r="P667" s="133" t="n"/>
      <c r="R667">
        <f>IF($M667="En retard",$N667+ROW()/100000,"")</f>
        <v/>
      </c>
      <c r="S667">
        <f>IF(OR($F667="",$I667=""),"",$F667+ROW()/100000)</f>
        <v/>
      </c>
      <c r="T667">
        <f>IF($I667="","",IFERROR(INDEX(LIV_Cat,MATCH($I667,LIV_Code,0)),""))</f>
        <v/>
      </c>
    </row>
    <row r="668" ht="21" customHeight="1">
      <c r="A668" s="1" t="n"/>
      <c r="B668" s="1" t="n"/>
      <c r="C668" s="2" t="n"/>
      <c r="E668" s="130">
        <f>IF($F668="","","EMP-"&amp;TEXT(ROW()-6,"0000"))</f>
        <v/>
      </c>
      <c r="F668" s="134" t="n"/>
      <c r="G668" s="127" t="n"/>
      <c r="H668" s="130">
        <f>IF($G668="","",IFERROR(INDEX(MEM_Nom,MATCH($G668,MEM_ID,0)),"⚠ ID inconnu"))</f>
        <v/>
      </c>
      <c r="I668" s="127" t="n"/>
      <c r="J668" s="130">
        <f>IF($I668="","",IFERROR(INDEX(LIV_Titre,MATCH($I668,LIV_Code,0)),"⚠ Code inconnu"))</f>
        <v/>
      </c>
      <c r="K668" s="138">
        <f>IF($F668="","",$F668+P_Duree)</f>
        <v/>
      </c>
      <c r="L668" s="134" t="n"/>
      <c r="M668" s="130">
        <f>IF(OR($F668="",$I668=""),"",IF($L668&lt;&gt;"",IF($L668&gt;$K668,"Rendu en retard","Rendu"),IF(TODAY()&gt;$K668,"En retard","En cours")))</f>
        <v/>
      </c>
      <c r="N668" s="139">
        <f>IF(OR($F668="",$I668=""),"",MAX(0,IF($L668&lt;&gt;"",$L668,TODAY())-$K668))</f>
        <v/>
      </c>
      <c r="O668" s="135">
        <f>IF(OR($F668="",$I668=""),"",$N668*P_Amende)</f>
        <v/>
      </c>
      <c r="P668" s="133" t="n"/>
      <c r="R668">
        <f>IF($M668="En retard",$N668+ROW()/100000,"")</f>
        <v/>
      </c>
      <c r="S668">
        <f>IF(OR($F668="",$I668=""),"",$F668+ROW()/100000)</f>
        <v/>
      </c>
      <c r="T668">
        <f>IF($I668="","",IFERROR(INDEX(LIV_Cat,MATCH($I668,LIV_Code,0)),""))</f>
        <v/>
      </c>
    </row>
    <row r="669" ht="21" customHeight="1">
      <c r="A669" s="1" t="n"/>
      <c r="B669" s="1" t="n"/>
      <c r="C669" s="2" t="n"/>
      <c r="E669" s="130">
        <f>IF($F669="","","EMP-"&amp;TEXT(ROW()-6,"0000"))</f>
        <v/>
      </c>
      <c r="F669" s="134" t="n"/>
      <c r="G669" s="127" t="n"/>
      <c r="H669" s="130">
        <f>IF($G669="","",IFERROR(INDEX(MEM_Nom,MATCH($G669,MEM_ID,0)),"⚠ ID inconnu"))</f>
        <v/>
      </c>
      <c r="I669" s="127" t="n"/>
      <c r="J669" s="130">
        <f>IF($I669="","",IFERROR(INDEX(LIV_Titre,MATCH($I669,LIV_Code,0)),"⚠ Code inconnu"))</f>
        <v/>
      </c>
      <c r="K669" s="138">
        <f>IF($F669="","",$F669+P_Duree)</f>
        <v/>
      </c>
      <c r="L669" s="134" t="n"/>
      <c r="M669" s="130">
        <f>IF(OR($F669="",$I669=""),"",IF($L669&lt;&gt;"",IF($L669&gt;$K669,"Rendu en retard","Rendu"),IF(TODAY()&gt;$K669,"En retard","En cours")))</f>
        <v/>
      </c>
      <c r="N669" s="139">
        <f>IF(OR($F669="",$I669=""),"",MAX(0,IF($L669&lt;&gt;"",$L669,TODAY())-$K669))</f>
        <v/>
      </c>
      <c r="O669" s="135">
        <f>IF(OR($F669="",$I669=""),"",$N669*P_Amende)</f>
        <v/>
      </c>
      <c r="P669" s="133" t="n"/>
      <c r="R669">
        <f>IF($M669="En retard",$N669+ROW()/100000,"")</f>
        <v/>
      </c>
      <c r="S669">
        <f>IF(OR($F669="",$I669=""),"",$F669+ROW()/100000)</f>
        <v/>
      </c>
      <c r="T669">
        <f>IF($I669="","",IFERROR(INDEX(LIV_Cat,MATCH($I669,LIV_Code,0)),""))</f>
        <v/>
      </c>
    </row>
    <row r="670" ht="21" customHeight="1">
      <c r="A670" s="1" t="n"/>
      <c r="B670" s="1" t="n"/>
      <c r="C670" s="2" t="n"/>
      <c r="E670" s="130">
        <f>IF($F670="","","EMP-"&amp;TEXT(ROW()-6,"0000"))</f>
        <v/>
      </c>
      <c r="F670" s="134" t="n"/>
      <c r="G670" s="127" t="n"/>
      <c r="H670" s="130">
        <f>IF($G670="","",IFERROR(INDEX(MEM_Nom,MATCH($G670,MEM_ID,0)),"⚠ ID inconnu"))</f>
        <v/>
      </c>
      <c r="I670" s="127" t="n"/>
      <c r="J670" s="130">
        <f>IF($I670="","",IFERROR(INDEX(LIV_Titre,MATCH($I670,LIV_Code,0)),"⚠ Code inconnu"))</f>
        <v/>
      </c>
      <c r="K670" s="138">
        <f>IF($F670="","",$F670+P_Duree)</f>
        <v/>
      </c>
      <c r="L670" s="134" t="n"/>
      <c r="M670" s="130">
        <f>IF(OR($F670="",$I670=""),"",IF($L670&lt;&gt;"",IF($L670&gt;$K670,"Rendu en retard","Rendu"),IF(TODAY()&gt;$K670,"En retard","En cours")))</f>
        <v/>
      </c>
      <c r="N670" s="139">
        <f>IF(OR($F670="",$I670=""),"",MAX(0,IF($L670&lt;&gt;"",$L670,TODAY())-$K670))</f>
        <v/>
      </c>
      <c r="O670" s="135">
        <f>IF(OR($F670="",$I670=""),"",$N670*P_Amende)</f>
        <v/>
      </c>
      <c r="P670" s="133" t="n"/>
      <c r="R670">
        <f>IF($M670="En retard",$N670+ROW()/100000,"")</f>
        <v/>
      </c>
      <c r="S670">
        <f>IF(OR($F670="",$I670=""),"",$F670+ROW()/100000)</f>
        <v/>
      </c>
      <c r="T670">
        <f>IF($I670="","",IFERROR(INDEX(LIV_Cat,MATCH($I670,LIV_Code,0)),""))</f>
        <v/>
      </c>
    </row>
    <row r="671" ht="21" customHeight="1">
      <c r="A671" s="1" t="n"/>
      <c r="B671" s="1" t="n"/>
      <c r="C671" s="2" t="n"/>
      <c r="E671" s="130">
        <f>IF($F671="","","EMP-"&amp;TEXT(ROW()-6,"0000"))</f>
        <v/>
      </c>
      <c r="F671" s="134" t="n"/>
      <c r="G671" s="127" t="n"/>
      <c r="H671" s="130">
        <f>IF($G671="","",IFERROR(INDEX(MEM_Nom,MATCH($G671,MEM_ID,0)),"⚠ ID inconnu"))</f>
        <v/>
      </c>
      <c r="I671" s="127" t="n"/>
      <c r="J671" s="130">
        <f>IF($I671="","",IFERROR(INDEX(LIV_Titre,MATCH($I671,LIV_Code,0)),"⚠ Code inconnu"))</f>
        <v/>
      </c>
      <c r="K671" s="138">
        <f>IF($F671="","",$F671+P_Duree)</f>
        <v/>
      </c>
      <c r="L671" s="134" t="n"/>
      <c r="M671" s="130">
        <f>IF(OR($F671="",$I671=""),"",IF($L671&lt;&gt;"",IF($L671&gt;$K671,"Rendu en retard","Rendu"),IF(TODAY()&gt;$K671,"En retard","En cours")))</f>
        <v/>
      </c>
      <c r="N671" s="139">
        <f>IF(OR($F671="",$I671=""),"",MAX(0,IF($L671&lt;&gt;"",$L671,TODAY())-$K671))</f>
        <v/>
      </c>
      <c r="O671" s="135">
        <f>IF(OR($F671="",$I671=""),"",$N671*P_Amende)</f>
        <v/>
      </c>
      <c r="P671" s="133" t="n"/>
      <c r="R671">
        <f>IF($M671="En retard",$N671+ROW()/100000,"")</f>
        <v/>
      </c>
      <c r="S671">
        <f>IF(OR($F671="",$I671=""),"",$F671+ROW()/100000)</f>
        <v/>
      </c>
      <c r="T671">
        <f>IF($I671="","",IFERROR(INDEX(LIV_Cat,MATCH($I671,LIV_Code,0)),""))</f>
        <v/>
      </c>
    </row>
    <row r="672" ht="21" customHeight="1">
      <c r="A672" s="1" t="n"/>
      <c r="B672" s="1" t="n"/>
      <c r="C672" s="2" t="n"/>
      <c r="E672" s="130">
        <f>IF($F672="","","EMP-"&amp;TEXT(ROW()-6,"0000"))</f>
        <v/>
      </c>
      <c r="F672" s="134" t="n"/>
      <c r="G672" s="127" t="n"/>
      <c r="H672" s="130">
        <f>IF($G672="","",IFERROR(INDEX(MEM_Nom,MATCH($G672,MEM_ID,0)),"⚠ ID inconnu"))</f>
        <v/>
      </c>
      <c r="I672" s="127" t="n"/>
      <c r="J672" s="130">
        <f>IF($I672="","",IFERROR(INDEX(LIV_Titre,MATCH($I672,LIV_Code,0)),"⚠ Code inconnu"))</f>
        <v/>
      </c>
      <c r="K672" s="138">
        <f>IF($F672="","",$F672+P_Duree)</f>
        <v/>
      </c>
      <c r="L672" s="134" t="n"/>
      <c r="M672" s="130">
        <f>IF(OR($F672="",$I672=""),"",IF($L672&lt;&gt;"",IF($L672&gt;$K672,"Rendu en retard","Rendu"),IF(TODAY()&gt;$K672,"En retard","En cours")))</f>
        <v/>
      </c>
      <c r="N672" s="139">
        <f>IF(OR($F672="",$I672=""),"",MAX(0,IF($L672&lt;&gt;"",$L672,TODAY())-$K672))</f>
        <v/>
      </c>
      <c r="O672" s="135">
        <f>IF(OR($F672="",$I672=""),"",$N672*P_Amende)</f>
        <v/>
      </c>
      <c r="P672" s="133" t="n"/>
      <c r="R672">
        <f>IF($M672="En retard",$N672+ROW()/100000,"")</f>
        <v/>
      </c>
      <c r="S672">
        <f>IF(OR($F672="",$I672=""),"",$F672+ROW()/100000)</f>
        <v/>
      </c>
      <c r="T672">
        <f>IF($I672="","",IFERROR(INDEX(LIV_Cat,MATCH($I672,LIV_Code,0)),""))</f>
        <v/>
      </c>
    </row>
    <row r="673" ht="21" customHeight="1">
      <c r="A673" s="1" t="n"/>
      <c r="B673" s="1" t="n"/>
      <c r="C673" s="2" t="n"/>
      <c r="E673" s="130">
        <f>IF($F673="","","EMP-"&amp;TEXT(ROW()-6,"0000"))</f>
        <v/>
      </c>
      <c r="F673" s="134" t="n"/>
      <c r="G673" s="127" t="n"/>
      <c r="H673" s="130">
        <f>IF($G673="","",IFERROR(INDEX(MEM_Nom,MATCH($G673,MEM_ID,0)),"⚠ ID inconnu"))</f>
        <v/>
      </c>
      <c r="I673" s="127" t="n"/>
      <c r="J673" s="130">
        <f>IF($I673="","",IFERROR(INDEX(LIV_Titre,MATCH($I673,LIV_Code,0)),"⚠ Code inconnu"))</f>
        <v/>
      </c>
      <c r="K673" s="138">
        <f>IF($F673="","",$F673+P_Duree)</f>
        <v/>
      </c>
      <c r="L673" s="134" t="n"/>
      <c r="M673" s="130">
        <f>IF(OR($F673="",$I673=""),"",IF($L673&lt;&gt;"",IF($L673&gt;$K673,"Rendu en retard","Rendu"),IF(TODAY()&gt;$K673,"En retard","En cours")))</f>
        <v/>
      </c>
      <c r="N673" s="139">
        <f>IF(OR($F673="",$I673=""),"",MAX(0,IF($L673&lt;&gt;"",$L673,TODAY())-$K673))</f>
        <v/>
      </c>
      <c r="O673" s="135">
        <f>IF(OR($F673="",$I673=""),"",$N673*P_Amende)</f>
        <v/>
      </c>
      <c r="P673" s="133" t="n"/>
      <c r="R673">
        <f>IF($M673="En retard",$N673+ROW()/100000,"")</f>
        <v/>
      </c>
      <c r="S673">
        <f>IF(OR($F673="",$I673=""),"",$F673+ROW()/100000)</f>
        <v/>
      </c>
      <c r="T673">
        <f>IF($I673="","",IFERROR(INDEX(LIV_Cat,MATCH($I673,LIV_Code,0)),""))</f>
        <v/>
      </c>
    </row>
    <row r="674" ht="21" customHeight="1">
      <c r="A674" s="1" t="n"/>
      <c r="B674" s="1" t="n"/>
      <c r="C674" s="2" t="n"/>
      <c r="E674" s="130">
        <f>IF($F674="","","EMP-"&amp;TEXT(ROW()-6,"0000"))</f>
        <v/>
      </c>
      <c r="F674" s="134" t="n"/>
      <c r="G674" s="127" t="n"/>
      <c r="H674" s="130">
        <f>IF($G674="","",IFERROR(INDEX(MEM_Nom,MATCH($G674,MEM_ID,0)),"⚠ ID inconnu"))</f>
        <v/>
      </c>
      <c r="I674" s="127" t="n"/>
      <c r="J674" s="130">
        <f>IF($I674="","",IFERROR(INDEX(LIV_Titre,MATCH($I674,LIV_Code,0)),"⚠ Code inconnu"))</f>
        <v/>
      </c>
      <c r="K674" s="138">
        <f>IF($F674="","",$F674+P_Duree)</f>
        <v/>
      </c>
      <c r="L674" s="134" t="n"/>
      <c r="M674" s="130">
        <f>IF(OR($F674="",$I674=""),"",IF($L674&lt;&gt;"",IF($L674&gt;$K674,"Rendu en retard","Rendu"),IF(TODAY()&gt;$K674,"En retard","En cours")))</f>
        <v/>
      </c>
      <c r="N674" s="139">
        <f>IF(OR($F674="",$I674=""),"",MAX(0,IF($L674&lt;&gt;"",$L674,TODAY())-$K674))</f>
        <v/>
      </c>
      <c r="O674" s="135">
        <f>IF(OR($F674="",$I674=""),"",$N674*P_Amende)</f>
        <v/>
      </c>
      <c r="P674" s="133" t="n"/>
      <c r="R674">
        <f>IF($M674="En retard",$N674+ROW()/100000,"")</f>
        <v/>
      </c>
      <c r="S674">
        <f>IF(OR($F674="",$I674=""),"",$F674+ROW()/100000)</f>
        <v/>
      </c>
      <c r="T674">
        <f>IF($I674="","",IFERROR(INDEX(LIV_Cat,MATCH($I674,LIV_Code,0)),""))</f>
        <v/>
      </c>
    </row>
    <row r="675" ht="21" customHeight="1">
      <c r="A675" s="1" t="n"/>
      <c r="B675" s="1" t="n"/>
      <c r="C675" s="2" t="n"/>
      <c r="E675" s="130">
        <f>IF($F675="","","EMP-"&amp;TEXT(ROW()-6,"0000"))</f>
        <v/>
      </c>
      <c r="F675" s="134" t="n"/>
      <c r="G675" s="127" t="n"/>
      <c r="H675" s="130">
        <f>IF($G675="","",IFERROR(INDEX(MEM_Nom,MATCH($G675,MEM_ID,0)),"⚠ ID inconnu"))</f>
        <v/>
      </c>
      <c r="I675" s="127" t="n"/>
      <c r="J675" s="130">
        <f>IF($I675="","",IFERROR(INDEX(LIV_Titre,MATCH($I675,LIV_Code,0)),"⚠ Code inconnu"))</f>
        <v/>
      </c>
      <c r="K675" s="138">
        <f>IF($F675="","",$F675+P_Duree)</f>
        <v/>
      </c>
      <c r="L675" s="134" t="n"/>
      <c r="M675" s="130">
        <f>IF(OR($F675="",$I675=""),"",IF($L675&lt;&gt;"",IF($L675&gt;$K675,"Rendu en retard","Rendu"),IF(TODAY()&gt;$K675,"En retard","En cours")))</f>
        <v/>
      </c>
      <c r="N675" s="139">
        <f>IF(OR($F675="",$I675=""),"",MAX(0,IF($L675&lt;&gt;"",$L675,TODAY())-$K675))</f>
        <v/>
      </c>
      <c r="O675" s="135">
        <f>IF(OR($F675="",$I675=""),"",$N675*P_Amende)</f>
        <v/>
      </c>
      <c r="P675" s="133" t="n"/>
      <c r="R675">
        <f>IF($M675="En retard",$N675+ROW()/100000,"")</f>
        <v/>
      </c>
      <c r="S675">
        <f>IF(OR($F675="",$I675=""),"",$F675+ROW()/100000)</f>
        <v/>
      </c>
      <c r="T675">
        <f>IF($I675="","",IFERROR(INDEX(LIV_Cat,MATCH($I675,LIV_Code,0)),""))</f>
        <v/>
      </c>
    </row>
    <row r="676" ht="21" customHeight="1">
      <c r="A676" s="1" t="n"/>
      <c r="B676" s="1" t="n"/>
      <c r="C676" s="2" t="n"/>
      <c r="E676" s="130">
        <f>IF($F676="","","EMP-"&amp;TEXT(ROW()-6,"0000"))</f>
        <v/>
      </c>
      <c r="F676" s="134" t="n"/>
      <c r="G676" s="127" t="n"/>
      <c r="H676" s="130">
        <f>IF($G676="","",IFERROR(INDEX(MEM_Nom,MATCH($G676,MEM_ID,0)),"⚠ ID inconnu"))</f>
        <v/>
      </c>
      <c r="I676" s="127" t="n"/>
      <c r="J676" s="130">
        <f>IF($I676="","",IFERROR(INDEX(LIV_Titre,MATCH($I676,LIV_Code,0)),"⚠ Code inconnu"))</f>
        <v/>
      </c>
      <c r="K676" s="138">
        <f>IF($F676="","",$F676+P_Duree)</f>
        <v/>
      </c>
      <c r="L676" s="134" t="n"/>
      <c r="M676" s="130">
        <f>IF(OR($F676="",$I676=""),"",IF($L676&lt;&gt;"",IF($L676&gt;$K676,"Rendu en retard","Rendu"),IF(TODAY()&gt;$K676,"En retard","En cours")))</f>
        <v/>
      </c>
      <c r="N676" s="139">
        <f>IF(OR($F676="",$I676=""),"",MAX(0,IF($L676&lt;&gt;"",$L676,TODAY())-$K676))</f>
        <v/>
      </c>
      <c r="O676" s="135">
        <f>IF(OR($F676="",$I676=""),"",$N676*P_Amende)</f>
        <v/>
      </c>
      <c r="P676" s="133" t="n"/>
      <c r="R676">
        <f>IF($M676="En retard",$N676+ROW()/100000,"")</f>
        <v/>
      </c>
      <c r="S676">
        <f>IF(OR($F676="",$I676=""),"",$F676+ROW()/100000)</f>
        <v/>
      </c>
      <c r="T676">
        <f>IF($I676="","",IFERROR(INDEX(LIV_Cat,MATCH($I676,LIV_Code,0)),""))</f>
        <v/>
      </c>
    </row>
    <row r="677" ht="21" customHeight="1">
      <c r="A677" s="1" t="n"/>
      <c r="B677" s="1" t="n"/>
      <c r="C677" s="2" t="n"/>
      <c r="E677" s="130">
        <f>IF($F677="","","EMP-"&amp;TEXT(ROW()-6,"0000"))</f>
        <v/>
      </c>
      <c r="F677" s="134" t="n"/>
      <c r="G677" s="127" t="n"/>
      <c r="H677" s="130">
        <f>IF($G677="","",IFERROR(INDEX(MEM_Nom,MATCH($G677,MEM_ID,0)),"⚠ ID inconnu"))</f>
        <v/>
      </c>
      <c r="I677" s="127" t="n"/>
      <c r="J677" s="130">
        <f>IF($I677="","",IFERROR(INDEX(LIV_Titre,MATCH($I677,LIV_Code,0)),"⚠ Code inconnu"))</f>
        <v/>
      </c>
      <c r="K677" s="138">
        <f>IF($F677="","",$F677+P_Duree)</f>
        <v/>
      </c>
      <c r="L677" s="134" t="n"/>
      <c r="M677" s="130">
        <f>IF(OR($F677="",$I677=""),"",IF($L677&lt;&gt;"",IF($L677&gt;$K677,"Rendu en retard","Rendu"),IF(TODAY()&gt;$K677,"En retard","En cours")))</f>
        <v/>
      </c>
      <c r="N677" s="139">
        <f>IF(OR($F677="",$I677=""),"",MAX(0,IF($L677&lt;&gt;"",$L677,TODAY())-$K677))</f>
        <v/>
      </c>
      <c r="O677" s="135">
        <f>IF(OR($F677="",$I677=""),"",$N677*P_Amende)</f>
        <v/>
      </c>
      <c r="P677" s="133" t="n"/>
      <c r="R677">
        <f>IF($M677="En retard",$N677+ROW()/100000,"")</f>
        <v/>
      </c>
      <c r="S677">
        <f>IF(OR($F677="",$I677=""),"",$F677+ROW()/100000)</f>
        <v/>
      </c>
      <c r="T677">
        <f>IF($I677="","",IFERROR(INDEX(LIV_Cat,MATCH($I677,LIV_Code,0)),""))</f>
        <v/>
      </c>
    </row>
    <row r="678" ht="21" customHeight="1">
      <c r="A678" s="1" t="n"/>
      <c r="B678" s="1" t="n"/>
      <c r="C678" s="2" t="n"/>
      <c r="E678" s="130">
        <f>IF($F678="","","EMP-"&amp;TEXT(ROW()-6,"0000"))</f>
        <v/>
      </c>
      <c r="F678" s="134" t="n"/>
      <c r="G678" s="127" t="n"/>
      <c r="H678" s="130">
        <f>IF($G678="","",IFERROR(INDEX(MEM_Nom,MATCH($G678,MEM_ID,0)),"⚠ ID inconnu"))</f>
        <v/>
      </c>
      <c r="I678" s="127" t="n"/>
      <c r="J678" s="130">
        <f>IF($I678="","",IFERROR(INDEX(LIV_Titre,MATCH($I678,LIV_Code,0)),"⚠ Code inconnu"))</f>
        <v/>
      </c>
      <c r="K678" s="138">
        <f>IF($F678="","",$F678+P_Duree)</f>
        <v/>
      </c>
      <c r="L678" s="134" t="n"/>
      <c r="M678" s="130">
        <f>IF(OR($F678="",$I678=""),"",IF($L678&lt;&gt;"",IF($L678&gt;$K678,"Rendu en retard","Rendu"),IF(TODAY()&gt;$K678,"En retard","En cours")))</f>
        <v/>
      </c>
      <c r="N678" s="139">
        <f>IF(OR($F678="",$I678=""),"",MAX(0,IF($L678&lt;&gt;"",$L678,TODAY())-$K678))</f>
        <v/>
      </c>
      <c r="O678" s="135">
        <f>IF(OR($F678="",$I678=""),"",$N678*P_Amende)</f>
        <v/>
      </c>
      <c r="P678" s="133" t="n"/>
      <c r="R678">
        <f>IF($M678="En retard",$N678+ROW()/100000,"")</f>
        <v/>
      </c>
      <c r="S678">
        <f>IF(OR($F678="",$I678=""),"",$F678+ROW()/100000)</f>
        <v/>
      </c>
      <c r="T678">
        <f>IF($I678="","",IFERROR(INDEX(LIV_Cat,MATCH($I678,LIV_Code,0)),""))</f>
        <v/>
      </c>
    </row>
    <row r="679" ht="21" customHeight="1">
      <c r="A679" s="1" t="n"/>
      <c r="B679" s="1" t="n"/>
      <c r="C679" s="2" t="n"/>
      <c r="E679" s="130">
        <f>IF($F679="","","EMP-"&amp;TEXT(ROW()-6,"0000"))</f>
        <v/>
      </c>
      <c r="F679" s="134" t="n"/>
      <c r="G679" s="127" t="n"/>
      <c r="H679" s="130">
        <f>IF($G679="","",IFERROR(INDEX(MEM_Nom,MATCH($G679,MEM_ID,0)),"⚠ ID inconnu"))</f>
        <v/>
      </c>
      <c r="I679" s="127" t="n"/>
      <c r="J679" s="130">
        <f>IF($I679="","",IFERROR(INDEX(LIV_Titre,MATCH($I679,LIV_Code,0)),"⚠ Code inconnu"))</f>
        <v/>
      </c>
      <c r="K679" s="138">
        <f>IF($F679="","",$F679+P_Duree)</f>
        <v/>
      </c>
      <c r="L679" s="134" t="n"/>
      <c r="M679" s="130">
        <f>IF(OR($F679="",$I679=""),"",IF($L679&lt;&gt;"",IF($L679&gt;$K679,"Rendu en retard","Rendu"),IF(TODAY()&gt;$K679,"En retard","En cours")))</f>
        <v/>
      </c>
      <c r="N679" s="139">
        <f>IF(OR($F679="",$I679=""),"",MAX(0,IF($L679&lt;&gt;"",$L679,TODAY())-$K679))</f>
        <v/>
      </c>
      <c r="O679" s="135">
        <f>IF(OR($F679="",$I679=""),"",$N679*P_Amende)</f>
        <v/>
      </c>
      <c r="P679" s="133" t="n"/>
      <c r="R679">
        <f>IF($M679="En retard",$N679+ROW()/100000,"")</f>
        <v/>
      </c>
      <c r="S679">
        <f>IF(OR($F679="",$I679=""),"",$F679+ROW()/100000)</f>
        <v/>
      </c>
      <c r="T679">
        <f>IF($I679="","",IFERROR(INDEX(LIV_Cat,MATCH($I679,LIV_Code,0)),""))</f>
        <v/>
      </c>
    </row>
    <row r="680" ht="21" customHeight="1">
      <c r="A680" s="1" t="n"/>
      <c r="B680" s="1" t="n"/>
      <c r="C680" s="2" t="n"/>
      <c r="E680" s="130">
        <f>IF($F680="","","EMP-"&amp;TEXT(ROW()-6,"0000"))</f>
        <v/>
      </c>
      <c r="F680" s="134" t="n"/>
      <c r="G680" s="127" t="n"/>
      <c r="H680" s="130">
        <f>IF($G680="","",IFERROR(INDEX(MEM_Nom,MATCH($G680,MEM_ID,0)),"⚠ ID inconnu"))</f>
        <v/>
      </c>
      <c r="I680" s="127" t="n"/>
      <c r="J680" s="130">
        <f>IF($I680="","",IFERROR(INDEX(LIV_Titre,MATCH($I680,LIV_Code,0)),"⚠ Code inconnu"))</f>
        <v/>
      </c>
      <c r="K680" s="138">
        <f>IF($F680="","",$F680+P_Duree)</f>
        <v/>
      </c>
      <c r="L680" s="134" t="n"/>
      <c r="M680" s="130">
        <f>IF(OR($F680="",$I680=""),"",IF($L680&lt;&gt;"",IF($L680&gt;$K680,"Rendu en retard","Rendu"),IF(TODAY()&gt;$K680,"En retard","En cours")))</f>
        <v/>
      </c>
      <c r="N680" s="139">
        <f>IF(OR($F680="",$I680=""),"",MAX(0,IF($L680&lt;&gt;"",$L680,TODAY())-$K680))</f>
        <v/>
      </c>
      <c r="O680" s="135">
        <f>IF(OR($F680="",$I680=""),"",$N680*P_Amende)</f>
        <v/>
      </c>
      <c r="P680" s="133" t="n"/>
      <c r="R680">
        <f>IF($M680="En retard",$N680+ROW()/100000,"")</f>
        <v/>
      </c>
      <c r="S680">
        <f>IF(OR($F680="",$I680=""),"",$F680+ROW()/100000)</f>
        <v/>
      </c>
      <c r="T680">
        <f>IF($I680="","",IFERROR(INDEX(LIV_Cat,MATCH($I680,LIV_Code,0)),""))</f>
        <v/>
      </c>
    </row>
    <row r="681" ht="21" customHeight="1">
      <c r="A681" s="1" t="n"/>
      <c r="B681" s="1" t="n"/>
      <c r="C681" s="2" t="n"/>
      <c r="E681" s="130">
        <f>IF($F681="","","EMP-"&amp;TEXT(ROW()-6,"0000"))</f>
        <v/>
      </c>
      <c r="F681" s="134" t="n"/>
      <c r="G681" s="127" t="n"/>
      <c r="H681" s="130">
        <f>IF($G681="","",IFERROR(INDEX(MEM_Nom,MATCH($G681,MEM_ID,0)),"⚠ ID inconnu"))</f>
        <v/>
      </c>
      <c r="I681" s="127" t="n"/>
      <c r="J681" s="130">
        <f>IF($I681="","",IFERROR(INDEX(LIV_Titre,MATCH($I681,LIV_Code,0)),"⚠ Code inconnu"))</f>
        <v/>
      </c>
      <c r="K681" s="138">
        <f>IF($F681="","",$F681+P_Duree)</f>
        <v/>
      </c>
      <c r="L681" s="134" t="n"/>
      <c r="M681" s="130">
        <f>IF(OR($F681="",$I681=""),"",IF($L681&lt;&gt;"",IF($L681&gt;$K681,"Rendu en retard","Rendu"),IF(TODAY()&gt;$K681,"En retard","En cours")))</f>
        <v/>
      </c>
      <c r="N681" s="139">
        <f>IF(OR($F681="",$I681=""),"",MAX(0,IF($L681&lt;&gt;"",$L681,TODAY())-$K681))</f>
        <v/>
      </c>
      <c r="O681" s="135">
        <f>IF(OR($F681="",$I681=""),"",$N681*P_Amende)</f>
        <v/>
      </c>
      <c r="P681" s="133" t="n"/>
      <c r="R681">
        <f>IF($M681="En retard",$N681+ROW()/100000,"")</f>
        <v/>
      </c>
      <c r="S681">
        <f>IF(OR($F681="",$I681=""),"",$F681+ROW()/100000)</f>
        <v/>
      </c>
      <c r="T681">
        <f>IF($I681="","",IFERROR(INDEX(LIV_Cat,MATCH($I681,LIV_Code,0)),""))</f>
        <v/>
      </c>
    </row>
    <row r="682" ht="21" customHeight="1">
      <c r="A682" s="1" t="n"/>
      <c r="B682" s="1" t="n"/>
      <c r="C682" s="2" t="n"/>
      <c r="E682" s="130">
        <f>IF($F682="","","EMP-"&amp;TEXT(ROW()-6,"0000"))</f>
        <v/>
      </c>
      <c r="F682" s="134" t="n"/>
      <c r="G682" s="127" t="n"/>
      <c r="H682" s="130">
        <f>IF($G682="","",IFERROR(INDEX(MEM_Nom,MATCH($G682,MEM_ID,0)),"⚠ ID inconnu"))</f>
        <v/>
      </c>
      <c r="I682" s="127" t="n"/>
      <c r="J682" s="130">
        <f>IF($I682="","",IFERROR(INDEX(LIV_Titre,MATCH($I682,LIV_Code,0)),"⚠ Code inconnu"))</f>
        <v/>
      </c>
      <c r="K682" s="138">
        <f>IF($F682="","",$F682+P_Duree)</f>
        <v/>
      </c>
      <c r="L682" s="134" t="n"/>
      <c r="M682" s="130">
        <f>IF(OR($F682="",$I682=""),"",IF($L682&lt;&gt;"",IF($L682&gt;$K682,"Rendu en retard","Rendu"),IF(TODAY()&gt;$K682,"En retard","En cours")))</f>
        <v/>
      </c>
      <c r="N682" s="139">
        <f>IF(OR($F682="",$I682=""),"",MAX(0,IF($L682&lt;&gt;"",$L682,TODAY())-$K682))</f>
        <v/>
      </c>
      <c r="O682" s="135">
        <f>IF(OR($F682="",$I682=""),"",$N682*P_Amende)</f>
        <v/>
      </c>
      <c r="P682" s="133" t="n"/>
      <c r="R682">
        <f>IF($M682="En retard",$N682+ROW()/100000,"")</f>
        <v/>
      </c>
      <c r="S682">
        <f>IF(OR($F682="",$I682=""),"",$F682+ROW()/100000)</f>
        <v/>
      </c>
      <c r="T682">
        <f>IF($I682="","",IFERROR(INDEX(LIV_Cat,MATCH($I682,LIV_Code,0)),""))</f>
        <v/>
      </c>
    </row>
    <row r="683" ht="21" customHeight="1">
      <c r="A683" s="1" t="n"/>
      <c r="B683" s="1" t="n"/>
      <c r="C683" s="2" t="n"/>
      <c r="E683" s="130">
        <f>IF($F683="","","EMP-"&amp;TEXT(ROW()-6,"0000"))</f>
        <v/>
      </c>
      <c r="F683" s="134" t="n"/>
      <c r="G683" s="127" t="n"/>
      <c r="H683" s="130">
        <f>IF($G683="","",IFERROR(INDEX(MEM_Nom,MATCH($G683,MEM_ID,0)),"⚠ ID inconnu"))</f>
        <v/>
      </c>
      <c r="I683" s="127" t="n"/>
      <c r="J683" s="130">
        <f>IF($I683="","",IFERROR(INDEX(LIV_Titre,MATCH($I683,LIV_Code,0)),"⚠ Code inconnu"))</f>
        <v/>
      </c>
      <c r="K683" s="138">
        <f>IF($F683="","",$F683+P_Duree)</f>
        <v/>
      </c>
      <c r="L683" s="134" t="n"/>
      <c r="M683" s="130">
        <f>IF(OR($F683="",$I683=""),"",IF($L683&lt;&gt;"",IF($L683&gt;$K683,"Rendu en retard","Rendu"),IF(TODAY()&gt;$K683,"En retard","En cours")))</f>
        <v/>
      </c>
      <c r="N683" s="139">
        <f>IF(OR($F683="",$I683=""),"",MAX(0,IF($L683&lt;&gt;"",$L683,TODAY())-$K683))</f>
        <v/>
      </c>
      <c r="O683" s="135">
        <f>IF(OR($F683="",$I683=""),"",$N683*P_Amende)</f>
        <v/>
      </c>
      <c r="P683" s="133" t="n"/>
      <c r="R683">
        <f>IF($M683="En retard",$N683+ROW()/100000,"")</f>
        <v/>
      </c>
      <c r="S683">
        <f>IF(OR($F683="",$I683=""),"",$F683+ROW()/100000)</f>
        <v/>
      </c>
      <c r="T683">
        <f>IF($I683="","",IFERROR(INDEX(LIV_Cat,MATCH($I683,LIV_Code,0)),""))</f>
        <v/>
      </c>
    </row>
    <row r="684" ht="21" customHeight="1">
      <c r="A684" s="1" t="n"/>
      <c r="B684" s="1" t="n"/>
      <c r="C684" s="2" t="n"/>
      <c r="E684" s="130">
        <f>IF($F684="","","EMP-"&amp;TEXT(ROW()-6,"0000"))</f>
        <v/>
      </c>
      <c r="F684" s="134" t="n"/>
      <c r="G684" s="127" t="n"/>
      <c r="H684" s="130">
        <f>IF($G684="","",IFERROR(INDEX(MEM_Nom,MATCH($G684,MEM_ID,0)),"⚠ ID inconnu"))</f>
        <v/>
      </c>
      <c r="I684" s="127" t="n"/>
      <c r="J684" s="130">
        <f>IF($I684="","",IFERROR(INDEX(LIV_Titre,MATCH($I684,LIV_Code,0)),"⚠ Code inconnu"))</f>
        <v/>
      </c>
      <c r="K684" s="138">
        <f>IF($F684="","",$F684+P_Duree)</f>
        <v/>
      </c>
      <c r="L684" s="134" t="n"/>
      <c r="M684" s="130">
        <f>IF(OR($F684="",$I684=""),"",IF($L684&lt;&gt;"",IF($L684&gt;$K684,"Rendu en retard","Rendu"),IF(TODAY()&gt;$K684,"En retard","En cours")))</f>
        <v/>
      </c>
      <c r="N684" s="139">
        <f>IF(OR($F684="",$I684=""),"",MAX(0,IF($L684&lt;&gt;"",$L684,TODAY())-$K684))</f>
        <v/>
      </c>
      <c r="O684" s="135">
        <f>IF(OR($F684="",$I684=""),"",$N684*P_Amende)</f>
        <v/>
      </c>
      <c r="P684" s="133" t="n"/>
      <c r="R684">
        <f>IF($M684="En retard",$N684+ROW()/100000,"")</f>
        <v/>
      </c>
      <c r="S684">
        <f>IF(OR($F684="",$I684=""),"",$F684+ROW()/100000)</f>
        <v/>
      </c>
      <c r="T684">
        <f>IF($I684="","",IFERROR(INDEX(LIV_Cat,MATCH($I684,LIV_Code,0)),""))</f>
        <v/>
      </c>
    </row>
    <row r="685" ht="21" customHeight="1">
      <c r="A685" s="1" t="n"/>
      <c r="B685" s="1" t="n"/>
      <c r="C685" s="2" t="n"/>
      <c r="E685" s="130">
        <f>IF($F685="","","EMP-"&amp;TEXT(ROW()-6,"0000"))</f>
        <v/>
      </c>
      <c r="F685" s="134" t="n"/>
      <c r="G685" s="127" t="n"/>
      <c r="H685" s="130">
        <f>IF($G685="","",IFERROR(INDEX(MEM_Nom,MATCH($G685,MEM_ID,0)),"⚠ ID inconnu"))</f>
        <v/>
      </c>
      <c r="I685" s="127" t="n"/>
      <c r="J685" s="130">
        <f>IF($I685="","",IFERROR(INDEX(LIV_Titre,MATCH($I685,LIV_Code,0)),"⚠ Code inconnu"))</f>
        <v/>
      </c>
      <c r="K685" s="138">
        <f>IF($F685="","",$F685+P_Duree)</f>
        <v/>
      </c>
      <c r="L685" s="134" t="n"/>
      <c r="M685" s="130">
        <f>IF(OR($F685="",$I685=""),"",IF($L685&lt;&gt;"",IF($L685&gt;$K685,"Rendu en retard","Rendu"),IF(TODAY()&gt;$K685,"En retard","En cours")))</f>
        <v/>
      </c>
      <c r="N685" s="139">
        <f>IF(OR($F685="",$I685=""),"",MAX(0,IF($L685&lt;&gt;"",$L685,TODAY())-$K685))</f>
        <v/>
      </c>
      <c r="O685" s="135">
        <f>IF(OR($F685="",$I685=""),"",$N685*P_Amende)</f>
        <v/>
      </c>
      <c r="P685" s="133" t="n"/>
      <c r="R685">
        <f>IF($M685="En retard",$N685+ROW()/100000,"")</f>
        <v/>
      </c>
      <c r="S685">
        <f>IF(OR($F685="",$I685=""),"",$F685+ROW()/100000)</f>
        <v/>
      </c>
      <c r="T685">
        <f>IF($I685="","",IFERROR(INDEX(LIV_Cat,MATCH($I685,LIV_Code,0)),""))</f>
        <v/>
      </c>
    </row>
    <row r="686" ht="21" customHeight="1">
      <c r="A686" s="1" t="n"/>
      <c r="B686" s="1" t="n"/>
      <c r="C686" s="2" t="n"/>
      <c r="E686" s="130">
        <f>IF($F686="","","EMP-"&amp;TEXT(ROW()-6,"0000"))</f>
        <v/>
      </c>
      <c r="F686" s="134" t="n"/>
      <c r="G686" s="127" t="n"/>
      <c r="H686" s="130">
        <f>IF($G686="","",IFERROR(INDEX(MEM_Nom,MATCH($G686,MEM_ID,0)),"⚠ ID inconnu"))</f>
        <v/>
      </c>
      <c r="I686" s="127" t="n"/>
      <c r="J686" s="130">
        <f>IF($I686="","",IFERROR(INDEX(LIV_Titre,MATCH($I686,LIV_Code,0)),"⚠ Code inconnu"))</f>
        <v/>
      </c>
      <c r="K686" s="138">
        <f>IF($F686="","",$F686+P_Duree)</f>
        <v/>
      </c>
      <c r="L686" s="134" t="n"/>
      <c r="M686" s="130">
        <f>IF(OR($F686="",$I686=""),"",IF($L686&lt;&gt;"",IF($L686&gt;$K686,"Rendu en retard","Rendu"),IF(TODAY()&gt;$K686,"En retard","En cours")))</f>
        <v/>
      </c>
      <c r="N686" s="139">
        <f>IF(OR($F686="",$I686=""),"",MAX(0,IF($L686&lt;&gt;"",$L686,TODAY())-$K686))</f>
        <v/>
      </c>
      <c r="O686" s="135">
        <f>IF(OR($F686="",$I686=""),"",$N686*P_Amende)</f>
        <v/>
      </c>
      <c r="P686" s="133" t="n"/>
      <c r="R686">
        <f>IF($M686="En retard",$N686+ROW()/100000,"")</f>
        <v/>
      </c>
      <c r="S686">
        <f>IF(OR($F686="",$I686=""),"",$F686+ROW()/100000)</f>
        <v/>
      </c>
      <c r="T686">
        <f>IF($I686="","",IFERROR(INDEX(LIV_Cat,MATCH($I686,LIV_Code,0)),""))</f>
        <v/>
      </c>
    </row>
    <row r="687" ht="21" customHeight="1">
      <c r="A687" s="1" t="n"/>
      <c r="B687" s="1" t="n"/>
      <c r="C687" s="2" t="n"/>
      <c r="E687" s="130">
        <f>IF($F687="","","EMP-"&amp;TEXT(ROW()-6,"0000"))</f>
        <v/>
      </c>
      <c r="F687" s="134" t="n"/>
      <c r="G687" s="127" t="n"/>
      <c r="H687" s="130">
        <f>IF($G687="","",IFERROR(INDEX(MEM_Nom,MATCH($G687,MEM_ID,0)),"⚠ ID inconnu"))</f>
        <v/>
      </c>
      <c r="I687" s="127" t="n"/>
      <c r="J687" s="130">
        <f>IF($I687="","",IFERROR(INDEX(LIV_Titre,MATCH($I687,LIV_Code,0)),"⚠ Code inconnu"))</f>
        <v/>
      </c>
      <c r="K687" s="138">
        <f>IF($F687="","",$F687+P_Duree)</f>
        <v/>
      </c>
      <c r="L687" s="134" t="n"/>
      <c r="M687" s="130">
        <f>IF(OR($F687="",$I687=""),"",IF($L687&lt;&gt;"",IF($L687&gt;$K687,"Rendu en retard","Rendu"),IF(TODAY()&gt;$K687,"En retard","En cours")))</f>
        <v/>
      </c>
      <c r="N687" s="139">
        <f>IF(OR($F687="",$I687=""),"",MAX(0,IF($L687&lt;&gt;"",$L687,TODAY())-$K687))</f>
        <v/>
      </c>
      <c r="O687" s="135">
        <f>IF(OR($F687="",$I687=""),"",$N687*P_Amende)</f>
        <v/>
      </c>
      <c r="P687" s="133" t="n"/>
      <c r="R687">
        <f>IF($M687="En retard",$N687+ROW()/100000,"")</f>
        <v/>
      </c>
      <c r="S687">
        <f>IF(OR($F687="",$I687=""),"",$F687+ROW()/100000)</f>
        <v/>
      </c>
      <c r="T687">
        <f>IF($I687="","",IFERROR(INDEX(LIV_Cat,MATCH($I687,LIV_Code,0)),""))</f>
        <v/>
      </c>
    </row>
    <row r="688" ht="21" customHeight="1">
      <c r="A688" s="1" t="n"/>
      <c r="B688" s="1" t="n"/>
      <c r="C688" s="2" t="n"/>
      <c r="E688" s="130">
        <f>IF($F688="","","EMP-"&amp;TEXT(ROW()-6,"0000"))</f>
        <v/>
      </c>
      <c r="F688" s="134" t="n"/>
      <c r="G688" s="127" t="n"/>
      <c r="H688" s="130">
        <f>IF($G688="","",IFERROR(INDEX(MEM_Nom,MATCH($G688,MEM_ID,0)),"⚠ ID inconnu"))</f>
        <v/>
      </c>
      <c r="I688" s="127" t="n"/>
      <c r="J688" s="130">
        <f>IF($I688="","",IFERROR(INDEX(LIV_Titre,MATCH($I688,LIV_Code,0)),"⚠ Code inconnu"))</f>
        <v/>
      </c>
      <c r="K688" s="138">
        <f>IF($F688="","",$F688+P_Duree)</f>
        <v/>
      </c>
      <c r="L688" s="134" t="n"/>
      <c r="M688" s="130">
        <f>IF(OR($F688="",$I688=""),"",IF($L688&lt;&gt;"",IF($L688&gt;$K688,"Rendu en retard","Rendu"),IF(TODAY()&gt;$K688,"En retard","En cours")))</f>
        <v/>
      </c>
      <c r="N688" s="139">
        <f>IF(OR($F688="",$I688=""),"",MAX(0,IF($L688&lt;&gt;"",$L688,TODAY())-$K688))</f>
        <v/>
      </c>
      <c r="O688" s="135">
        <f>IF(OR($F688="",$I688=""),"",$N688*P_Amende)</f>
        <v/>
      </c>
      <c r="P688" s="133" t="n"/>
      <c r="R688">
        <f>IF($M688="En retard",$N688+ROW()/100000,"")</f>
        <v/>
      </c>
      <c r="S688">
        <f>IF(OR($F688="",$I688=""),"",$F688+ROW()/100000)</f>
        <v/>
      </c>
      <c r="T688">
        <f>IF($I688="","",IFERROR(INDEX(LIV_Cat,MATCH($I688,LIV_Code,0)),""))</f>
        <v/>
      </c>
    </row>
    <row r="689" ht="21" customHeight="1">
      <c r="A689" s="1" t="n"/>
      <c r="B689" s="1" t="n"/>
      <c r="C689" s="2" t="n"/>
      <c r="E689" s="130">
        <f>IF($F689="","","EMP-"&amp;TEXT(ROW()-6,"0000"))</f>
        <v/>
      </c>
      <c r="F689" s="134" t="n"/>
      <c r="G689" s="127" t="n"/>
      <c r="H689" s="130">
        <f>IF($G689="","",IFERROR(INDEX(MEM_Nom,MATCH($G689,MEM_ID,0)),"⚠ ID inconnu"))</f>
        <v/>
      </c>
      <c r="I689" s="127" t="n"/>
      <c r="J689" s="130">
        <f>IF($I689="","",IFERROR(INDEX(LIV_Titre,MATCH($I689,LIV_Code,0)),"⚠ Code inconnu"))</f>
        <v/>
      </c>
      <c r="K689" s="138">
        <f>IF($F689="","",$F689+P_Duree)</f>
        <v/>
      </c>
      <c r="L689" s="134" t="n"/>
      <c r="M689" s="130">
        <f>IF(OR($F689="",$I689=""),"",IF($L689&lt;&gt;"",IF($L689&gt;$K689,"Rendu en retard","Rendu"),IF(TODAY()&gt;$K689,"En retard","En cours")))</f>
        <v/>
      </c>
      <c r="N689" s="139">
        <f>IF(OR($F689="",$I689=""),"",MAX(0,IF($L689&lt;&gt;"",$L689,TODAY())-$K689))</f>
        <v/>
      </c>
      <c r="O689" s="135">
        <f>IF(OR($F689="",$I689=""),"",$N689*P_Amende)</f>
        <v/>
      </c>
      <c r="P689" s="133" t="n"/>
      <c r="R689">
        <f>IF($M689="En retard",$N689+ROW()/100000,"")</f>
        <v/>
      </c>
      <c r="S689">
        <f>IF(OR($F689="",$I689=""),"",$F689+ROW()/100000)</f>
        <v/>
      </c>
      <c r="T689">
        <f>IF($I689="","",IFERROR(INDEX(LIV_Cat,MATCH($I689,LIV_Code,0)),""))</f>
        <v/>
      </c>
    </row>
    <row r="690" ht="21" customHeight="1">
      <c r="A690" s="1" t="n"/>
      <c r="B690" s="1" t="n"/>
      <c r="C690" s="2" t="n"/>
      <c r="E690" s="130">
        <f>IF($F690="","","EMP-"&amp;TEXT(ROW()-6,"0000"))</f>
        <v/>
      </c>
      <c r="F690" s="134" t="n"/>
      <c r="G690" s="127" t="n"/>
      <c r="H690" s="130">
        <f>IF($G690="","",IFERROR(INDEX(MEM_Nom,MATCH($G690,MEM_ID,0)),"⚠ ID inconnu"))</f>
        <v/>
      </c>
      <c r="I690" s="127" t="n"/>
      <c r="J690" s="130">
        <f>IF($I690="","",IFERROR(INDEX(LIV_Titre,MATCH($I690,LIV_Code,0)),"⚠ Code inconnu"))</f>
        <v/>
      </c>
      <c r="K690" s="138">
        <f>IF($F690="","",$F690+P_Duree)</f>
        <v/>
      </c>
      <c r="L690" s="134" t="n"/>
      <c r="M690" s="130">
        <f>IF(OR($F690="",$I690=""),"",IF($L690&lt;&gt;"",IF($L690&gt;$K690,"Rendu en retard","Rendu"),IF(TODAY()&gt;$K690,"En retard","En cours")))</f>
        <v/>
      </c>
      <c r="N690" s="139">
        <f>IF(OR($F690="",$I690=""),"",MAX(0,IF($L690&lt;&gt;"",$L690,TODAY())-$K690))</f>
        <v/>
      </c>
      <c r="O690" s="135">
        <f>IF(OR($F690="",$I690=""),"",$N690*P_Amende)</f>
        <v/>
      </c>
      <c r="P690" s="133" t="n"/>
      <c r="R690">
        <f>IF($M690="En retard",$N690+ROW()/100000,"")</f>
        <v/>
      </c>
      <c r="S690">
        <f>IF(OR($F690="",$I690=""),"",$F690+ROW()/100000)</f>
        <v/>
      </c>
      <c r="T690">
        <f>IF($I690="","",IFERROR(INDEX(LIV_Cat,MATCH($I690,LIV_Code,0)),""))</f>
        <v/>
      </c>
    </row>
    <row r="691" ht="21" customHeight="1">
      <c r="A691" s="1" t="n"/>
      <c r="B691" s="1" t="n"/>
      <c r="C691" s="2" t="n"/>
      <c r="E691" s="130">
        <f>IF($F691="","","EMP-"&amp;TEXT(ROW()-6,"0000"))</f>
        <v/>
      </c>
      <c r="F691" s="134" t="n"/>
      <c r="G691" s="127" t="n"/>
      <c r="H691" s="130">
        <f>IF($G691="","",IFERROR(INDEX(MEM_Nom,MATCH($G691,MEM_ID,0)),"⚠ ID inconnu"))</f>
        <v/>
      </c>
      <c r="I691" s="127" t="n"/>
      <c r="J691" s="130">
        <f>IF($I691="","",IFERROR(INDEX(LIV_Titre,MATCH($I691,LIV_Code,0)),"⚠ Code inconnu"))</f>
        <v/>
      </c>
      <c r="K691" s="138">
        <f>IF($F691="","",$F691+P_Duree)</f>
        <v/>
      </c>
      <c r="L691" s="134" t="n"/>
      <c r="M691" s="130">
        <f>IF(OR($F691="",$I691=""),"",IF($L691&lt;&gt;"",IF($L691&gt;$K691,"Rendu en retard","Rendu"),IF(TODAY()&gt;$K691,"En retard","En cours")))</f>
        <v/>
      </c>
      <c r="N691" s="139">
        <f>IF(OR($F691="",$I691=""),"",MAX(0,IF($L691&lt;&gt;"",$L691,TODAY())-$K691))</f>
        <v/>
      </c>
      <c r="O691" s="135">
        <f>IF(OR($F691="",$I691=""),"",$N691*P_Amende)</f>
        <v/>
      </c>
      <c r="P691" s="133" t="n"/>
      <c r="R691">
        <f>IF($M691="En retard",$N691+ROW()/100000,"")</f>
        <v/>
      </c>
      <c r="S691">
        <f>IF(OR($F691="",$I691=""),"",$F691+ROW()/100000)</f>
        <v/>
      </c>
      <c r="T691">
        <f>IF($I691="","",IFERROR(INDEX(LIV_Cat,MATCH($I691,LIV_Code,0)),""))</f>
        <v/>
      </c>
    </row>
    <row r="692" ht="21" customHeight="1">
      <c r="A692" s="1" t="n"/>
      <c r="B692" s="1" t="n"/>
      <c r="C692" s="2" t="n"/>
      <c r="E692" s="130">
        <f>IF($F692="","","EMP-"&amp;TEXT(ROW()-6,"0000"))</f>
        <v/>
      </c>
      <c r="F692" s="134" t="n"/>
      <c r="G692" s="127" t="n"/>
      <c r="H692" s="130">
        <f>IF($G692="","",IFERROR(INDEX(MEM_Nom,MATCH($G692,MEM_ID,0)),"⚠ ID inconnu"))</f>
        <v/>
      </c>
      <c r="I692" s="127" t="n"/>
      <c r="J692" s="130">
        <f>IF($I692="","",IFERROR(INDEX(LIV_Titre,MATCH($I692,LIV_Code,0)),"⚠ Code inconnu"))</f>
        <v/>
      </c>
      <c r="K692" s="138">
        <f>IF($F692="","",$F692+P_Duree)</f>
        <v/>
      </c>
      <c r="L692" s="134" t="n"/>
      <c r="M692" s="130">
        <f>IF(OR($F692="",$I692=""),"",IF($L692&lt;&gt;"",IF($L692&gt;$K692,"Rendu en retard","Rendu"),IF(TODAY()&gt;$K692,"En retard","En cours")))</f>
        <v/>
      </c>
      <c r="N692" s="139">
        <f>IF(OR($F692="",$I692=""),"",MAX(0,IF($L692&lt;&gt;"",$L692,TODAY())-$K692))</f>
        <v/>
      </c>
      <c r="O692" s="135">
        <f>IF(OR($F692="",$I692=""),"",$N692*P_Amende)</f>
        <v/>
      </c>
      <c r="P692" s="133" t="n"/>
      <c r="R692">
        <f>IF($M692="En retard",$N692+ROW()/100000,"")</f>
        <v/>
      </c>
      <c r="S692">
        <f>IF(OR($F692="",$I692=""),"",$F692+ROW()/100000)</f>
        <v/>
      </c>
      <c r="T692">
        <f>IF($I692="","",IFERROR(INDEX(LIV_Cat,MATCH($I692,LIV_Code,0)),""))</f>
        <v/>
      </c>
    </row>
    <row r="693" ht="21" customHeight="1">
      <c r="A693" s="1" t="n"/>
      <c r="B693" s="1" t="n"/>
      <c r="C693" s="2" t="n"/>
      <c r="E693" s="130">
        <f>IF($F693="","","EMP-"&amp;TEXT(ROW()-6,"0000"))</f>
        <v/>
      </c>
      <c r="F693" s="134" t="n"/>
      <c r="G693" s="127" t="n"/>
      <c r="H693" s="130">
        <f>IF($G693="","",IFERROR(INDEX(MEM_Nom,MATCH($G693,MEM_ID,0)),"⚠ ID inconnu"))</f>
        <v/>
      </c>
      <c r="I693" s="127" t="n"/>
      <c r="J693" s="130">
        <f>IF($I693="","",IFERROR(INDEX(LIV_Titre,MATCH($I693,LIV_Code,0)),"⚠ Code inconnu"))</f>
        <v/>
      </c>
      <c r="K693" s="138">
        <f>IF($F693="","",$F693+P_Duree)</f>
        <v/>
      </c>
      <c r="L693" s="134" t="n"/>
      <c r="M693" s="130">
        <f>IF(OR($F693="",$I693=""),"",IF($L693&lt;&gt;"",IF($L693&gt;$K693,"Rendu en retard","Rendu"),IF(TODAY()&gt;$K693,"En retard","En cours")))</f>
        <v/>
      </c>
      <c r="N693" s="139">
        <f>IF(OR($F693="",$I693=""),"",MAX(0,IF($L693&lt;&gt;"",$L693,TODAY())-$K693))</f>
        <v/>
      </c>
      <c r="O693" s="135">
        <f>IF(OR($F693="",$I693=""),"",$N693*P_Amende)</f>
        <v/>
      </c>
      <c r="P693" s="133" t="n"/>
      <c r="R693">
        <f>IF($M693="En retard",$N693+ROW()/100000,"")</f>
        <v/>
      </c>
      <c r="S693">
        <f>IF(OR($F693="",$I693=""),"",$F693+ROW()/100000)</f>
        <v/>
      </c>
      <c r="T693">
        <f>IF($I693="","",IFERROR(INDEX(LIV_Cat,MATCH($I693,LIV_Code,0)),""))</f>
        <v/>
      </c>
    </row>
    <row r="694" ht="21" customHeight="1">
      <c r="A694" s="1" t="n"/>
      <c r="B694" s="1" t="n"/>
      <c r="C694" s="2" t="n"/>
      <c r="E694" s="130">
        <f>IF($F694="","","EMP-"&amp;TEXT(ROW()-6,"0000"))</f>
        <v/>
      </c>
      <c r="F694" s="134" t="n"/>
      <c r="G694" s="127" t="n"/>
      <c r="H694" s="130">
        <f>IF($G694="","",IFERROR(INDEX(MEM_Nom,MATCH($G694,MEM_ID,0)),"⚠ ID inconnu"))</f>
        <v/>
      </c>
      <c r="I694" s="127" t="n"/>
      <c r="J694" s="130">
        <f>IF($I694="","",IFERROR(INDEX(LIV_Titre,MATCH($I694,LIV_Code,0)),"⚠ Code inconnu"))</f>
        <v/>
      </c>
      <c r="K694" s="138">
        <f>IF($F694="","",$F694+P_Duree)</f>
        <v/>
      </c>
      <c r="L694" s="134" t="n"/>
      <c r="M694" s="130">
        <f>IF(OR($F694="",$I694=""),"",IF($L694&lt;&gt;"",IF($L694&gt;$K694,"Rendu en retard","Rendu"),IF(TODAY()&gt;$K694,"En retard","En cours")))</f>
        <v/>
      </c>
      <c r="N694" s="139">
        <f>IF(OR($F694="",$I694=""),"",MAX(0,IF($L694&lt;&gt;"",$L694,TODAY())-$K694))</f>
        <v/>
      </c>
      <c r="O694" s="135">
        <f>IF(OR($F694="",$I694=""),"",$N694*P_Amende)</f>
        <v/>
      </c>
      <c r="P694" s="133" t="n"/>
      <c r="R694">
        <f>IF($M694="En retard",$N694+ROW()/100000,"")</f>
        <v/>
      </c>
      <c r="S694">
        <f>IF(OR($F694="",$I694=""),"",$F694+ROW()/100000)</f>
        <v/>
      </c>
      <c r="T694">
        <f>IF($I694="","",IFERROR(INDEX(LIV_Cat,MATCH($I694,LIV_Code,0)),""))</f>
        <v/>
      </c>
    </row>
    <row r="695" ht="21" customHeight="1">
      <c r="A695" s="1" t="n"/>
      <c r="B695" s="1" t="n"/>
      <c r="C695" s="2" t="n"/>
      <c r="E695" s="130">
        <f>IF($F695="","","EMP-"&amp;TEXT(ROW()-6,"0000"))</f>
        <v/>
      </c>
      <c r="F695" s="134" t="n"/>
      <c r="G695" s="127" t="n"/>
      <c r="H695" s="130">
        <f>IF($G695="","",IFERROR(INDEX(MEM_Nom,MATCH($G695,MEM_ID,0)),"⚠ ID inconnu"))</f>
        <v/>
      </c>
      <c r="I695" s="127" t="n"/>
      <c r="J695" s="130">
        <f>IF($I695="","",IFERROR(INDEX(LIV_Titre,MATCH($I695,LIV_Code,0)),"⚠ Code inconnu"))</f>
        <v/>
      </c>
      <c r="K695" s="138">
        <f>IF($F695="","",$F695+P_Duree)</f>
        <v/>
      </c>
      <c r="L695" s="134" t="n"/>
      <c r="M695" s="130">
        <f>IF(OR($F695="",$I695=""),"",IF($L695&lt;&gt;"",IF($L695&gt;$K695,"Rendu en retard","Rendu"),IF(TODAY()&gt;$K695,"En retard","En cours")))</f>
        <v/>
      </c>
      <c r="N695" s="139">
        <f>IF(OR($F695="",$I695=""),"",MAX(0,IF($L695&lt;&gt;"",$L695,TODAY())-$K695))</f>
        <v/>
      </c>
      <c r="O695" s="135">
        <f>IF(OR($F695="",$I695=""),"",$N695*P_Amende)</f>
        <v/>
      </c>
      <c r="P695" s="133" t="n"/>
      <c r="R695">
        <f>IF($M695="En retard",$N695+ROW()/100000,"")</f>
        <v/>
      </c>
      <c r="S695">
        <f>IF(OR($F695="",$I695=""),"",$F695+ROW()/100000)</f>
        <v/>
      </c>
      <c r="T695">
        <f>IF($I695="","",IFERROR(INDEX(LIV_Cat,MATCH($I695,LIV_Code,0)),""))</f>
        <v/>
      </c>
    </row>
    <row r="696" ht="21" customHeight="1">
      <c r="A696" s="1" t="n"/>
      <c r="B696" s="1" t="n"/>
      <c r="C696" s="2" t="n"/>
      <c r="E696" s="130">
        <f>IF($F696="","","EMP-"&amp;TEXT(ROW()-6,"0000"))</f>
        <v/>
      </c>
      <c r="F696" s="134" t="n"/>
      <c r="G696" s="127" t="n"/>
      <c r="H696" s="130">
        <f>IF($G696="","",IFERROR(INDEX(MEM_Nom,MATCH($G696,MEM_ID,0)),"⚠ ID inconnu"))</f>
        <v/>
      </c>
      <c r="I696" s="127" t="n"/>
      <c r="J696" s="130">
        <f>IF($I696="","",IFERROR(INDEX(LIV_Titre,MATCH($I696,LIV_Code,0)),"⚠ Code inconnu"))</f>
        <v/>
      </c>
      <c r="K696" s="138">
        <f>IF($F696="","",$F696+P_Duree)</f>
        <v/>
      </c>
      <c r="L696" s="134" t="n"/>
      <c r="M696" s="130">
        <f>IF(OR($F696="",$I696=""),"",IF($L696&lt;&gt;"",IF($L696&gt;$K696,"Rendu en retard","Rendu"),IF(TODAY()&gt;$K696,"En retard","En cours")))</f>
        <v/>
      </c>
      <c r="N696" s="139">
        <f>IF(OR($F696="",$I696=""),"",MAX(0,IF($L696&lt;&gt;"",$L696,TODAY())-$K696))</f>
        <v/>
      </c>
      <c r="O696" s="135">
        <f>IF(OR($F696="",$I696=""),"",$N696*P_Amende)</f>
        <v/>
      </c>
      <c r="P696" s="133" t="n"/>
      <c r="R696">
        <f>IF($M696="En retard",$N696+ROW()/100000,"")</f>
        <v/>
      </c>
      <c r="S696">
        <f>IF(OR($F696="",$I696=""),"",$F696+ROW()/100000)</f>
        <v/>
      </c>
      <c r="T696">
        <f>IF($I696="","",IFERROR(INDEX(LIV_Cat,MATCH($I696,LIV_Code,0)),""))</f>
        <v/>
      </c>
    </row>
    <row r="697" ht="21" customHeight="1">
      <c r="A697" s="1" t="n"/>
      <c r="B697" s="1" t="n"/>
      <c r="C697" s="2" t="n"/>
      <c r="E697" s="130">
        <f>IF($F697="","","EMP-"&amp;TEXT(ROW()-6,"0000"))</f>
        <v/>
      </c>
      <c r="F697" s="134" t="n"/>
      <c r="G697" s="127" t="n"/>
      <c r="H697" s="130">
        <f>IF($G697="","",IFERROR(INDEX(MEM_Nom,MATCH($G697,MEM_ID,0)),"⚠ ID inconnu"))</f>
        <v/>
      </c>
      <c r="I697" s="127" t="n"/>
      <c r="J697" s="130">
        <f>IF($I697="","",IFERROR(INDEX(LIV_Titre,MATCH($I697,LIV_Code,0)),"⚠ Code inconnu"))</f>
        <v/>
      </c>
      <c r="K697" s="138">
        <f>IF($F697="","",$F697+P_Duree)</f>
        <v/>
      </c>
      <c r="L697" s="134" t="n"/>
      <c r="M697" s="130">
        <f>IF(OR($F697="",$I697=""),"",IF($L697&lt;&gt;"",IF($L697&gt;$K697,"Rendu en retard","Rendu"),IF(TODAY()&gt;$K697,"En retard","En cours")))</f>
        <v/>
      </c>
      <c r="N697" s="139">
        <f>IF(OR($F697="",$I697=""),"",MAX(0,IF($L697&lt;&gt;"",$L697,TODAY())-$K697))</f>
        <v/>
      </c>
      <c r="O697" s="135">
        <f>IF(OR($F697="",$I697=""),"",$N697*P_Amende)</f>
        <v/>
      </c>
      <c r="P697" s="133" t="n"/>
      <c r="R697">
        <f>IF($M697="En retard",$N697+ROW()/100000,"")</f>
        <v/>
      </c>
      <c r="S697">
        <f>IF(OR($F697="",$I697=""),"",$F697+ROW()/100000)</f>
        <v/>
      </c>
      <c r="T697">
        <f>IF($I697="","",IFERROR(INDEX(LIV_Cat,MATCH($I697,LIV_Code,0)),""))</f>
        <v/>
      </c>
    </row>
    <row r="698" ht="21" customHeight="1">
      <c r="A698" s="1" t="n"/>
      <c r="B698" s="1" t="n"/>
      <c r="C698" s="2" t="n"/>
      <c r="E698" s="130">
        <f>IF($F698="","","EMP-"&amp;TEXT(ROW()-6,"0000"))</f>
        <v/>
      </c>
      <c r="F698" s="134" t="n"/>
      <c r="G698" s="127" t="n"/>
      <c r="H698" s="130">
        <f>IF($G698="","",IFERROR(INDEX(MEM_Nom,MATCH($G698,MEM_ID,0)),"⚠ ID inconnu"))</f>
        <v/>
      </c>
      <c r="I698" s="127" t="n"/>
      <c r="J698" s="130">
        <f>IF($I698="","",IFERROR(INDEX(LIV_Titre,MATCH($I698,LIV_Code,0)),"⚠ Code inconnu"))</f>
        <v/>
      </c>
      <c r="K698" s="138">
        <f>IF($F698="","",$F698+P_Duree)</f>
        <v/>
      </c>
      <c r="L698" s="134" t="n"/>
      <c r="M698" s="130">
        <f>IF(OR($F698="",$I698=""),"",IF($L698&lt;&gt;"",IF($L698&gt;$K698,"Rendu en retard","Rendu"),IF(TODAY()&gt;$K698,"En retard","En cours")))</f>
        <v/>
      </c>
      <c r="N698" s="139">
        <f>IF(OR($F698="",$I698=""),"",MAX(0,IF($L698&lt;&gt;"",$L698,TODAY())-$K698))</f>
        <v/>
      </c>
      <c r="O698" s="135">
        <f>IF(OR($F698="",$I698=""),"",$N698*P_Amende)</f>
        <v/>
      </c>
      <c r="P698" s="133" t="n"/>
      <c r="R698">
        <f>IF($M698="En retard",$N698+ROW()/100000,"")</f>
        <v/>
      </c>
      <c r="S698">
        <f>IF(OR($F698="",$I698=""),"",$F698+ROW()/100000)</f>
        <v/>
      </c>
      <c r="T698">
        <f>IF($I698="","",IFERROR(INDEX(LIV_Cat,MATCH($I698,LIV_Code,0)),""))</f>
        <v/>
      </c>
    </row>
    <row r="699" ht="21" customHeight="1">
      <c r="A699" s="1" t="n"/>
      <c r="B699" s="1" t="n"/>
      <c r="C699" s="2" t="n"/>
      <c r="E699" s="130">
        <f>IF($F699="","","EMP-"&amp;TEXT(ROW()-6,"0000"))</f>
        <v/>
      </c>
      <c r="F699" s="134" t="n"/>
      <c r="G699" s="127" t="n"/>
      <c r="H699" s="130">
        <f>IF($G699="","",IFERROR(INDEX(MEM_Nom,MATCH($G699,MEM_ID,0)),"⚠ ID inconnu"))</f>
        <v/>
      </c>
      <c r="I699" s="127" t="n"/>
      <c r="J699" s="130">
        <f>IF($I699="","",IFERROR(INDEX(LIV_Titre,MATCH($I699,LIV_Code,0)),"⚠ Code inconnu"))</f>
        <v/>
      </c>
      <c r="K699" s="138">
        <f>IF($F699="","",$F699+P_Duree)</f>
        <v/>
      </c>
      <c r="L699" s="134" t="n"/>
      <c r="M699" s="130">
        <f>IF(OR($F699="",$I699=""),"",IF($L699&lt;&gt;"",IF($L699&gt;$K699,"Rendu en retard","Rendu"),IF(TODAY()&gt;$K699,"En retard","En cours")))</f>
        <v/>
      </c>
      <c r="N699" s="139">
        <f>IF(OR($F699="",$I699=""),"",MAX(0,IF($L699&lt;&gt;"",$L699,TODAY())-$K699))</f>
        <v/>
      </c>
      <c r="O699" s="135">
        <f>IF(OR($F699="",$I699=""),"",$N699*P_Amende)</f>
        <v/>
      </c>
      <c r="P699" s="133" t="n"/>
      <c r="R699">
        <f>IF($M699="En retard",$N699+ROW()/100000,"")</f>
        <v/>
      </c>
      <c r="S699">
        <f>IF(OR($F699="",$I699=""),"",$F699+ROW()/100000)</f>
        <v/>
      </c>
      <c r="T699">
        <f>IF($I699="","",IFERROR(INDEX(LIV_Cat,MATCH($I699,LIV_Code,0)),""))</f>
        <v/>
      </c>
    </row>
    <row r="700" ht="21" customHeight="1">
      <c r="A700" s="1" t="n"/>
      <c r="B700" s="1" t="n"/>
      <c r="C700" s="2" t="n"/>
      <c r="E700" s="130">
        <f>IF($F700="","","EMP-"&amp;TEXT(ROW()-6,"0000"))</f>
        <v/>
      </c>
      <c r="F700" s="134" t="n"/>
      <c r="G700" s="127" t="n"/>
      <c r="H700" s="130">
        <f>IF($G700="","",IFERROR(INDEX(MEM_Nom,MATCH($G700,MEM_ID,0)),"⚠ ID inconnu"))</f>
        <v/>
      </c>
      <c r="I700" s="127" t="n"/>
      <c r="J700" s="130">
        <f>IF($I700="","",IFERROR(INDEX(LIV_Titre,MATCH($I700,LIV_Code,0)),"⚠ Code inconnu"))</f>
        <v/>
      </c>
      <c r="K700" s="138">
        <f>IF($F700="","",$F700+P_Duree)</f>
        <v/>
      </c>
      <c r="L700" s="134" t="n"/>
      <c r="M700" s="130">
        <f>IF(OR($F700="",$I700=""),"",IF($L700&lt;&gt;"",IF($L700&gt;$K700,"Rendu en retard","Rendu"),IF(TODAY()&gt;$K700,"En retard","En cours")))</f>
        <v/>
      </c>
      <c r="N700" s="139">
        <f>IF(OR($F700="",$I700=""),"",MAX(0,IF($L700&lt;&gt;"",$L700,TODAY())-$K700))</f>
        <v/>
      </c>
      <c r="O700" s="135">
        <f>IF(OR($F700="",$I700=""),"",$N700*P_Amende)</f>
        <v/>
      </c>
      <c r="P700" s="133" t="n"/>
      <c r="R700">
        <f>IF($M700="En retard",$N700+ROW()/100000,"")</f>
        <v/>
      </c>
      <c r="S700">
        <f>IF(OR($F700="",$I700=""),"",$F700+ROW()/100000)</f>
        <v/>
      </c>
      <c r="T700">
        <f>IF($I700="","",IFERROR(INDEX(LIV_Cat,MATCH($I700,LIV_Code,0)),""))</f>
        <v/>
      </c>
    </row>
    <row r="701" ht="21" customHeight="1">
      <c r="A701" s="1" t="n"/>
      <c r="B701" s="1" t="n"/>
      <c r="C701" s="2" t="n"/>
      <c r="E701" s="130">
        <f>IF($F701="","","EMP-"&amp;TEXT(ROW()-6,"0000"))</f>
        <v/>
      </c>
      <c r="F701" s="134" t="n"/>
      <c r="G701" s="127" t="n"/>
      <c r="H701" s="130">
        <f>IF($G701="","",IFERROR(INDEX(MEM_Nom,MATCH($G701,MEM_ID,0)),"⚠ ID inconnu"))</f>
        <v/>
      </c>
      <c r="I701" s="127" t="n"/>
      <c r="J701" s="130">
        <f>IF($I701="","",IFERROR(INDEX(LIV_Titre,MATCH($I701,LIV_Code,0)),"⚠ Code inconnu"))</f>
        <v/>
      </c>
      <c r="K701" s="138">
        <f>IF($F701="","",$F701+P_Duree)</f>
        <v/>
      </c>
      <c r="L701" s="134" t="n"/>
      <c r="M701" s="130">
        <f>IF(OR($F701="",$I701=""),"",IF($L701&lt;&gt;"",IF($L701&gt;$K701,"Rendu en retard","Rendu"),IF(TODAY()&gt;$K701,"En retard","En cours")))</f>
        <v/>
      </c>
      <c r="N701" s="139">
        <f>IF(OR($F701="",$I701=""),"",MAX(0,IF($L701&lt;&gt;"",$L701,TODAY())-$K701))</f>
        <v/>
      </c>
      <c r="O701" s="135">
        <f>IF(OR($F701="",$I701=""),"",$N701*P_Amende)</f>
        <v/>
      </c>
      <c r="P701" s="133" t="n"/>
      <c r="R701">
        <f>IF($M701="En retard",$N701+ROW()/100000,"")</f>
        <v/>
      </c>
      <c r="S701">
        <f>IF(OR($F701="",$I701=""),"",$F701+ROW()/100000)</f>
        <v/>
      </c>
      <c r="T701">
        <f>IF($I701="","",IFERROR(INDEX(LIV_Cat,MATCH($I701,LIV_Code,0)),""))</f>
        <v/>
      </c>
    </row>
    <row r="702" ht="21" customHeight="1">
      <c r="A702" s="1" t="n"/>
      <c r="B702" s="1" t="n"/>
      <c r="C702" s="2" t="n"/>
      <c r="E702" s="130">
        <f>IF($F702="","","EMP-"&amp;TEXT(ROW()-6,"0000"))</f>
        <v/>
      </c>
      <c r="F702" s="134" t="n"/>
      <c r="G702" s="127" t="n"/>
      <c r="H702" s="130">
        <f>IF($G702="","",IFERROR(INDEX(MEM_Nom,MATCH($G702,MEM_ID,0)),"⚠ ID inconnu"))</f>
        <v/>
      </c>
      <c r="I702" s="127" t="n"/>
      <c r="J702" s="130">
        <f>IF($I702="","",IFERROR(INDEX(LIV_Titre,MATCH($I702,LIV_Code,0)),"⚠ Code inconnu"))</f>
        <v/>
      </c>
      <c r="K702" s="138">
        <f>IF($F702="","",$F702+P_Duree)</f>
        <v/>
      </c>
      <c r="L702" s="134" t="n"/>
      <c r="M702" s="130">
        <f>IF(OR($F702="",$I702=""),"",IF($L702&lt;&gt;"",IF($L702&gt;$K702,"Rendu en retard","Rendu"),IF(TODAY()&gt;$K702,"En retard","En cours")))</f>
        <v/>
      </c>
      <c r="N702" s="139">
        <f>IF(OR($F702="",$I702=""),"",MAX(0,IF($L702&lt;&gt;"",$L702,TODAY())-$K702))</f>
        <v/>
      </c>
      <c r="O702" s="135">
        <f>IF(OR($F702="",$I702=""),"",$N702*P_Amende)</f>
        <v/>
      </c>
      <c r="P702" s="133" t="n"/>
      <c r="R702">
        <f>IF($M702="En retard",$N702+ROW()/100000,"")</f>
        <v/>
      </c>
      <c r="S702">
        <f>IF(OR($F702="",$I702=""),"",$F702+ROW()/100000)</f>
        <v/>
      </c>
      <c r="T702">
        <f>IF($I702="","",IFERROR(INDEX(LIV_Cat,MATCH($I702,LIV_Code,0)),""))</f>
        <v/>
      </c>
    </row>
    <row r="703" ht="21" customHeight="1">
      <c r="A703" s="1" t="n"/>
      <c r="B703" s="1" t="n"/>
      <c r="C703" s="2" t="n"/>
      <c r="E703" s="130">
        <f>IF($F703="","","EMP-"&amp;TEXT(ROW()-6,"0000"))</f>
        <v/>
      </c>
      <c r="F703" s="134" t="n"/>
      <c r="G703" s="127" t="n"/>
      <c r="H703" s="130">
        <f>IF($G703="","",IFERROR(INDEX(MEM_Nom,MATCH($G703,MEM_ID,0)),"⚠ ID inconnu"))</f>
        <v/>
      </c>
      <c r="I703" s="127" t="n"/>
      <c r="J703" s="130">
        <f>IF($I703="","",IFERROR(INDEX(LIV_Titre,MATCH($I703,LIV_Code,0)),"⚠ Code inconnu"))</f>
        <v/>
      </c>
      <c r="K703" s="138">
        <f>IF($F703="","",$F703+P_Duree)</f>
        <v/>
      </c>
      <c r="L703" s="134" t="n"/>
      <c r="M703" s="130">
        <f>IF(OR($F703="",$I703=""),"",IF($L703&lt;&gt;"",IF($L703&gt;$K703,"Rendu en retard","Rendu"),IF(TODAY()&gt;$K703,"En retard","En cours")))</f>
        <v/>
      </c>
      <c r="N703" s="139">
        <f>IF(OR($F703="",$I703=""),"",MAX(0,IF($L703&lt;&gt;"",$L703,TODAY())-$K703))</f>
        <v/>
      </c>
      <c r="O703" s="135">
        <f>IF(OR($F703="",$I703=""),"",$N703*P_Amende)</f>
        <v/>
      </c>
      <c r="P703" s="133" t="n"/>
      <c r="R703">
        <f>IF($M703="En retard",$N703+ROW()/100000,"")</f>
        <v/>
      </c>
      <c r="S703">
        <f>IF(OR($F703="",$I703=""),"",$F703+ROW()/100000)</f>
        <v/>
      </c>
      <c r="T703">
        <f>IF($I703="","",IFERROR(INDEX(LIV_Cat,MATCH($I703,LIV_Code,0)),""))</f>
        <v/>
      </c>
    </row>
    <row r="704" ht="21" customHeight="1">
      <c r="A704" s="1" t="n"/>
      <c r="B704" s="1" t="n"/>
      <c r="C704" s="2" t="n"/>
      <c r="E704" s="130">
        <f>IF($F704="","","EMP-"&amp;TEXT(ROW()-6,"0000"))</f>
        <v/>
      </c>
      <c r="F704" s="134" t="n"/>
      <c r="G704" s="127" t="n"/>
      <c r="H704" s="130">
        <f>IF($G704="","",IFERROR(INDEX(MEM_Nom,MATCH($G704,MEM_ID,0)),"⚠ ID inconnu"))</f>
        <v/>
      </c>
      <c r="I704" s="127" t="n"/>
      <c r="J704" s="130">
        <f>IF($I704="","",IFERROR(INDEX(LIV_Titre,MATCH($I704,LIV_Code,0)),"⚠ Code inconnu"))</f>
        <v/>
      </c>
      <c r="K704" s="138">
        <f>IF($F704="","",$F704+P_Duree)</f>
        <v/>
      </c>
      <c r="L704" s="134" t="n"/>
      <c r="M704" s="130">
        <f>IF(OR($F704="",$I704=""),"",IF($L704&lt;&gt;"",IF($L704&gt;$K704,"Rendu en retard","Rendu"),IF(TODAY()&gt;$K704,"En retard","En cours")))</f>
        <v/>
      </c>
      <c r="N704" s="139">
        <f>IF(OR($F704="",$I704=""),"",MAX(0,IF($L704&lt;&gt;"",$L704,TODAY())-$K704))</f>
        <v/>
      </c>
      <c r="O704" s="135">
        <f>IF(OR($F704="",$I704=""),"",$N704*P_Amende)</f>
        <v/>
      </c>
      <c r="P704" s="133" t="n"/>
      <c r="R704">
        <f>IF($M704="En retard",$N704+ROW()/100000,"")</f>
        <v/>
      </c>
      <c r="S704">
        <f>IF(OR($F704="",$I704=""),"",$F704+ROW()/100000)</f>
        <v/>
      </c>
      <c r="T704">
        <f>IF($I704="","",IFERROR(INDEX(LIV_Cat,MATCH($I704,LIV_Code,0)),""))</f>
        <v/>
      </c>
    </row>
    <row r="705" ht="21" customHeight="1">
      <c r="A705" s="1" t="n"/>
      <c r="B705" s="1" t="n"/>
      <c r="C705" s="2" t="n"/>
      <c r="E705" s="130">
        <f>IF($F705="","","EMP-"&amp;TEXT(ROW()-6,"0000"))</f>
        <v/>
      </c>
      <c r="F705" s="134" t="n"/>
      <c r="G705" s="127" t="n"/>
      <c r="H705" s="130">
        <f>IF($G705="","",IFERROR(INDEX(MEM_Nom,MATCH($G705,MEM_ID,0)),"⚠ ID inconnu"))</f>
        <v/>
      </c>
      <c r="I705" s="127" t="n"/>
      <c r="J705" s="130">
        <f>IF($I705="","",IFERROR(INDEX(LIV_Titre,MATCH($I705,LIV_Code,0)),"⚠ Code inconnu"))</f>
        <v/>
      </c>
      <c r="K705" s="138">
        <f>IF($F705="","",$F705+P_Duree)</f>
        <v/>
      </c>
      <c r="L705" s="134" t="n"/>
      <c r="M705" s="130">
        <f>IF(OR($F705="",$I705=""),"",IF($L705&lt;&gt;"",IF($L705&gt;$K705,"Rendu en retard","Rendu"),IF(TODAY()&gt;$K705,"En retard","En cours")))</f>
        <v/>
      </c>
      <c r="N705" s="139">
        <f>IF(OR($F705="",$I705=""),"",MAX(0,IF($L705&lt;&gt;"",$L705,TODAY())-$K705))</f>
        <v/>
      </c>
      <c r="O705" s="135">
        <f>IF(OR($F705="",$I705=""),"",$N705*P_Amende)</f>
        <v/>
      </c>
      <c r="P705" s="133" t="n"/>
      <c r="R705">
        <f>IF($M705="En retard",$N705+ROW()/100000,"")</f>
        <v/>
      </c>
      <c r="S705">
        <f>IF(OR($F705="",$I705=""),"",$F705+ROW()/100000)</f>
        <v/>
      </c>
      <c r="T705">
        <f>IF($I705="","",IFERROR(INDEX(LIV_Cat,MATCH($I705,LIV_Code,0)),""))</f>
        <v/>
      </c>
    </row>
    <row r="706" ht="21" customHeight="1">
      <c r="A706" s="1" t="n"/>
      <c r="B706" s="1" t="n"/>
      <c r="C706" s="2" t="n"/>
      <c r="E706" s="130">
        <f>IF($F706="","","EMP-"&amp;TEXT(ROW()-6,"0000"))</f>
        <v/>
      </c>
      <c r="F706" s="134" t="n"/>
      <c r="G706" s="127" t="n"/>
      <c r="H706" s="130">
        <f>IF($G706="","",IFERROR(INDEX(MEM_Nom,MATCH($G706,MEM_ID,0)),"⚠ ID inconnu"))</f>
        <v/>
      </c>
      <c r="I706" s="127" t="n"/>
      <c r="J706" s="130">
        <f>IF($I706="","",IFERROR(INDEX(LIV_Titre,MATCH($I706,LIV_Code,0)),"⚠ Code inconnu"))</f>
        <v/>
      </c>
      <c r="K706" s="138">
        <f>IF($F706="","",$F706+P_Duree)</f>
        <v/>
      </c>
      <c r="L706" s="134" t="n"/>
      <c r="M706" s="130">
        <f>IF(OR($F706="",$I706=""),"",IF($L706&lt;&gt;"",IF($L706&gt;$K706,"Rendu en retard","Rendu"),IF(TODAY()&gt;$K706,"En retard","En cours")))</f>
        <v/>
      </c>
      <c r="N706" s="139">
        <f>IF(OR($F706="",$I706=""),"",MAX(0,IF($L706&lt;&gt;"",$L706,TODAY())-$K706))</f>
        <v/>
      </c>
      <c r="O706" s="135">
        <f>IF(OR($F706="",$I706=""),"",$N706*P_Amende)</f>
        <v/>
      </c>
      <c r="P706" s="133" t="n"/>
      <c r="R706">
        <f>IF($M706="En retard",$N706+ROW()/100000,"")</f>
        <v/>
      </c>
      <c r="S706">
        <f>IF(OR($F706="",$I706=""),"",$F706+ROW()/100000)</f>
        <v/>
      </c>
      <c r="T706">
        <f>IF($I706="","",IFERROR(INDEX(LIV_Cat,MATCH($I706,LIV_Code,0)),""))</f>
        <v/>
      </c>
    </row>
    <row r="707" ht="21" customHeight="1">
      <c r="A707" s="1" t="n"/>
      <c r="B707" s="1" t="n"/>
      <c r="C707" s="2" t="n"/>
      <c r="E707" s="130">
        <f>IF($F707="","","EMP-"&amp;TEXT(ROW()-6,"0000"))</f>
        <v/>
      </c>
      <c r="F707" s="134" t="n"/>
      <c r="G707" s="127" t="n"/>
      <c r="H707" s="130">
        <f>IF($G707="","",IFERROR(INDEX(MEM_Nom,MATCH($G707,MEM_ID,0)),"⚠ ID inconnu"))</f>
        <v/>
      </c>
      <c r="I707" s="127" t="n"/>
      <c r="J707" s="130">
        <f>IF($I707="","",IFERROR(INDEX(LIV_Titre,MATCH($I707,LIV_Code,0)),"⚠ Code inconnu"))</f>
        <v/>
      </c>
      <c r="K707" s="138">
        <f>IF($F707="","",$F707+P_Duree)</f>
        <v/>
      </c>
      <c r="L707" s="134" t="n"/>
      <c r="M707" s="130">
        <f>IF(OR($F707="",$I707=""),"",IF($L707&lt;&gt;"",IF($L707&gt;$K707,"Rendu en retard","Rendu"),IF(TODAY()&gt;$K707,"En retard","En cours")))</f>
        <v/>
      </c>
      <c r="N707" s="139">
        <f>IF(OR($F707="",$I707=""),"",MAX(0,IF($L707&lt;&gt;"",$L707,TODAY())-$K707))</f>
        <v/>
      </c>
      <c r="O707" s="135">
        <f>IF(OR($F707="",$I707=""),"",$N707*P_Amende)</f>
        <v/>
      </c>
      <c r="P707" s="133" t="n"/>
      <c r="R707">
        <f>IF($M707="En retard",$N707+ROW()/100000,"")</f>
        <v/>
      </c>
      <c r="S707">
        <f>IF(OR($F707="",$I707=""),"",$F707+ROW()/100000)</f>
        <v/>
      </c>
      <c r="T707">
        <f>IF($I707="","",IFERROR(INDEX(LIV_Cat,MATCH($I707,LIV_Code,0)),""))</f>
        <v/>
      </c>
    </row>
    <row r="708" ht="21" customHeight="1">
      <c r="A708" s="1" t="n"/>
      <c r="B708" s="1" t="n"/>
      <c r="C708" s="2" t="n"/>
      <c r="E708" s="130">
        <f>IF($F708="","","EMP-"&amp;TEXT(ROW()-6,"0000"))</f>
        <v/>
      </c>
      <c r="F708" s="134" t="n"/>
      <c r="G708" s="127" t="n"/>
      <c r="H708" s="130">
        <f>IF($G708="","",IFERROR(INDEX(MEM_Nom,MATCH($G708,MEM_ID,0)),"⚠ ID inconnu"))</f>
        <v/>
      </c>
      <c r="I708" s="127" t="n"/>
      <c r="J708" s="130">
        <f>IF($I708="","",IFERROR(INDEX(LIV_Titre,MATCH($I708,LIV_Code,0)),"⚠ Code inconnu"))</f>
        <v/>
      </c>
      <c r="K708" s="138">
        <f>IF($F708="","",$F708+P_Duree)</f>
        <v/>
      </c>
      <c r="L708" s="134" t="n"/>
      <c r="M708" s="130">
        <f>IF(OR($F708="",$I708=""),"",IF($L708&lt;&gt;"",IF($L708&gt;$K708,"Rendu en retard","Rendu"),IF(TODAY()&gt;$K708,"En retard","En cours")))</f>
        <v/>
      </c>
      <c r="N708" s="139">
        <f>IF(OR($F708="",$I708=""),"",MAX(0,IF($L708&lt;&gt;"",$L708,TODAY())-$K708))</f>
        <v/>
      </c>
      <c r="O708" s="135">
        <f>IF(OR($F708="",$I708=""),"",$N708*P_Amende)</f>
        <v/>
      </c>
      <c r="P708" s="133" t="n"/>
      <c r="R708">
        <f>IF($M708="En retard",$N708+ROW()/100000,"")</f>
        <v/>
      </c>
      <c r="S708">
        <f>IF(OR($F708="",$I708=""),"",$F708+ROW()/100000)</f>
        <v/>
      </c>
      <c r="T708">
        <f>IF($I708="","",IFERROR(INDEX(LIV_Cat,MATCH($I708,LIV_Code,0)),""))</f>
        <v/>
      </c>
    </row>
    <row r="709" ht="21" customHeight="1">
      <c r="A709" s="1" t="n"/>
      <c r="B709" s="1" t="n"/>
      <c r="C709" s="2" t="n"/>
      <c r="E709" s="130">
        <f>IF($F709="","","EMP-"&amp;TEXT(ROW()-6,"0000"))</f>
        <v/>
      </c>
      <c r="F709" s="134" t="n"/>
      <c r="G709" s="127" t="n"/>
      <c r="H709" s="130">
        <f>IF($G709="","",IFERROR(INDEX(MEM_Nom,MATCH($G709,MEM_ID,0)),"⚠ ID inconnu"))</f>
        <v/>
      </c>
      <c r="I709" s="127" t="n"/>
      <c r="J709" s="130">
        <f>IF($I709="","",IFERROR(INDEX(LIV_Titre,MATCH($I709,LIV_Code,0)),"⚠ Code inconnu"))</f>
        <v/>
      </c>
      <c r="K709" s="138">
        <f>IF($F709="","",$F709+P_Duree)</f>
        <v/>
      </c>
      <c r="L709" s="134" t="n"/>
      <c r="M709" s="130">
        <f>IF(OR($F709="",$I709=""),"",IF($L709&lt;&gt;"",IF($L709&gt;$K709,"Rendu en retard","Rendu"),IF(TODAY()&gt;$K709,"En retard","En cours")))</f>
        <v/>
      </c>
      <c r="N709" s="139">
        <f>IF(OR($F709="",$I709=""),"",MAX(0,IF($L709&lt;&gt;"",$L709,TODAY())-$K709))</f>
        <v/>
      </c>
      <c r="O709" s="135">
        <f>IF(OR($F709="",$I709=""),"",$N709*P_Amende)</f>
        <v/>
      </c>
      <c r="P709" s="133" t="n"/>
      <c r="R709">
        <f>IF($M709="En retard",$N709+ROW()/100000,"")</f>
        <v/>
      </c>
      <c r="S709">
        <f>IF(OR($F709="",$I709=""),"",$F709+ROW()/100000)</f>
        <v/>
      </c>
      <c r="T709">
        <f>IF($I709="","",IFERROR(INDEX(LIV_Cat,MATCH($I709,LIV_Code,0)),""))</f>
        <v/>
      </c>
    </row>
    <row r="710" ht="21" customHeight="1">
      <c r="A710" s="1" t="n"/>
      <c r="B710" s="1" t="n"/>
      <c r="C710" s="2" t="n"/>
      <c r="E710" s="130">
        <f>IF($F710="","","EMP-"&amp;TEXT(ROW()-6,"0000"))</f>
        <v/>
      </c>
      <c r="F710" s="134" t="n"/>
      <c r="G710" s="127" t="n"/>
      <c r="H710" s="130">
        <f>IF($G710="","",IFERROR(INDEX(MEM_Nom,MATCH($G710,MEM_ID,0)),"⚠ ID inconnu"))</f>
        <v/>
      </c>
      <c r="I710" s="127" t="n"/>
      <c r="J710" s="130">
        <f>IF($I710="","",IFERROR(INDEX(LIV_Titre,MATCH($I710,LIV_Code,0)),"⚠ Code inconnu"))</f>
        <v/>
      </c>
      <c r="K710" s="138">
        <f>IF($F710="","",$F710+P_Duree)</f>
        <v/>
      </c>
      <c r="L710" s="134" t="n"/>
      <c r="M710" s="130">
        <f>IF(OR($F710="",$I710=""),"",IF($L710&lt;&gt;"",IF($L710&gt;$K710,"Rendu en retard","Rendu"),IF(TODAY()&gt;$K710,"En retard","En cours")))</f>
        <v/>
      </c>
      <c r="N710" s="139">
        <f>IF(OR($F710="",$I710=""),"",MAX(0,IF($L710&lt;&gt;"",$L710,TODAY())-$K710))</f>
        <v/>
      </c>
      <c r="O710" s="135">
        <f>IF(OR($F710="",$I710=""),"",$N710*P_Amende)</f>
        <v/>
      </c>
      <c r="P710" s="133" t="n"/>
      <c r="R710">
        <f>IF($M710="En retard",$N710+ROW()/100000,"")</f>
        <v/>
      </c>
      <c r="S710">
        <f>IF(OR($F710="",$I710=""),"",$F710+ROW()/100000)</f>
        <v/>
      </c>
      <c r="T710">
        <f>IF($I710="","",IFERROR(INDEX(LIV_Cat,MATCH($I710,LIV_Code,0)),""))</f>
        <v/>
      </c>
    </row>
    <row r="711" ht="21" customHeight="1">
      <c r="A711" s="1" t="n"/>
      <c r="B711" s="1" t="n"/>
      <c r="C711" s="2" t="n"/>
      <c r="E711" s="130">
        <f>IF($F711="","","EMP-"&amp;TEXT(ROW()-6,"0000"))</f>
        <v/>
      </c>
      <c r="F711" s="134" t="n"/>
      <c r="G711" s="127" t="n"/>
      <c r="H711" s="130">
        <f>IF($G711="","",IFERROR(INDEX(MEM_Nom,MATCH($G711,MEM_ID,0)),"⚠ ID inconnu"))</f>
        <v/>
      </c>
      <c r="I711" s="127" t="n"/>
      <c r="J711" s="130">
        <f>IF($I711="","",IFERROR(INDEX(LIV_Titre,MATCH($I711,LIV_Code,0)),"⚠ Code inconnu"))</f>
        <v/>
      </c>
      <c r="K711" s="138">
        <f>IF($F711="","",$F711+P_Duree)</f>
        <v/>
      </c>
      <c r="L711" s="134" t="n"/>
      <c r="M711" s="130">
        <f>IF(OR($F711="",$I711=""),"",IF($L711&lt;&gt;"",IF($L711&gt;$K711,"Rendu en retard","Rendu"),IF(TODAY()&gt;$K711,"En retard","En cours")))</f>
        <v/>
      </c>
      <c r="N711" s="139">
        <f>IF(OR($F711="",$I711=""),"",MAX(0,IF($L711&lt;&gt;"",$L711,TODAY())-$K711))</f>
        <v/>
      </c>
      <c r="O711" s="135">
        <f>IF(OR($F711="",$I711=""),"",$N711*P_Amende)</f>
        <v/>
      </c>
      <c r="P711" s="133" t="n"/>
      <c r="R711">
        <f>IF($M711="En retard",$N711+ROW()/100000,"")</f>
        <v/>
      </c>
      <c r="S711">
        <f>IF(OR($F711="",$I711=""),"",$F711+ROW()/100000)</f>
        <v/>
      </c>
      <c r="T711">
        <f>IF($I711="","",IFERROR(INDEX(LIV_Cat,MATCH($I711,LIV_Code,0)),""))</f>
        <v/>
      </c>
    </row>
    <row r="712" ht="21" customHeight="1">
      <c r="A712" s="1" t="n"/>
      <c r="B712" s="1" t="n"/>
      <c r="C712" s="2" t="n"/>
      <c r="E712" s="130">
        <f>IF($F712="","","EMP-"&amp;TEXT(ROW()-6,"0000"))</f>
        <v/>
      </c>
      <c r="F712" s="134" t="n"/>
      <c r="G712" s="127" t="n"/>
      <c r="H712" s="130">
        <f>IF($G712="","",IFERROR(INDEX(MEM_Nom,MATCH($G712,MEM_ID,0)),"⚠ ID inconnu"))</f>
        <v/>
      </c>
      <c r="I712" s="127" t="n"/>
      <c r="J712" s="130">
        <f>IF($I712="","",IFERROR(INDEX(LIV_Titre,MATCH($I712,LIV_Code,0)),"⚠ Code inconnu"))</f>
        <v/>
      </c>
      <c r="K712" s="138">
        <f>IF($F712="","",$F712+P_Duree)</f>
        <v/>
      </c>
      <c r="L712" s="134" t="n"/>
      <c r="M712" s="130">
        <f>IF(OR($F712="",$I712=""),"",IF($L712&lt;&gt;"",IF($L712&gt;$K712,"Rendu en retard","Rendu"),IF(TODAY()&gt;$K712,"En retard","En cours")))</f>
        <v/>
      </c>
      <c r="N712" s="139">
        <f>IF(OR($F712="",$I712=""),"",MAX(0,IF($L712&lt;&gt;"",$L712,TODAY())-$K712))</f>
        <v/>
      </c>
      <c r="O712" s="135">
        <f>IF(OR($F712="",$I712=""),"",$N712*P_Amende)</f>
        <v/>
      </c>
      <c r="P712" s="133" t="n"/>
      <c r="R712">
        <f>IF($M712="En retard",$N712+ROW()/100000,"")</f>
        <v/>
      </c>
      <c r="S712">
        <f>IF(OR($F712="",$I712=""),"",$F712+ROW()/100000)</f>
        <v/>
      </c>
      <c r="T712">
        <f>IF($I712="","",IFERROR(INDEX(LIV_Cat,MATCH($I712,LIV_Code,0)),""))</f>
        <v/>
      </c>
    </row>
    <row r="713" ht="21" customHeight="1">
      <c r="A713" s="1" t="n"/>
      <c r="B713" s="1" t="n"/>
      <c r="C713" s="2" t="n"/>
      <c r="E713" s="130">
        <f>IF($F713="","","EMP-"&amp;TEXT(ROW()-6,"0000"))</f>
        <v/>
      </c>
      <c r="F713" s="134" t="n"/>
      <c r="G713" s="127" t="n"/>
      <c r="H713" s="130">
        <f>IF($G713="","",IFERROR(INDEX(MEM_Nom,MATCH($G713,MEM_ID,0)),"⚠ ID inconnu"))</f>
        <v/>
      </c>
      <c r="I713" s="127" t="n"/>
      <c r="J713" s="130">
        <f>IF($I713="","",IFERROR(INDEX(LIV_Titre,MATCH($I713,LIV_Code,0)),"⚠ Code inconnu"))</f>
        <v/>
      </c>
      <c r="K713" s="138">
        <f>IF($F713="","",$F713+P_Duree)</f>
        <v/>
      </c>
      <c r="L713" s="134" t="n"/>
      <c r="M713" s="130">
        <f>IF(OR($F713="",$I713=""),"",IF($L713&lt;&gt;"",IF($L713&gt;$K713,"Rendu en retard","Rendu"),IF(TODAY()&gt;$K713,"En retard","En cours")))</f>
        <v/>
      </c>
      <c r="N713" s="139">
        <f>IF(OR($F713="",$I713=""),"",MAX(0,IF($L713&lt;&gt;"",$L713,TODAY())-$K713))</f>
        <v/>
      </c>
      <c r="O713" s="135">
        <f>IF(OR($F713="",$I713=""),"",$N713*P_Amende)</f>
        <v/>
      </c>
      <c r="P713" s="133" t="n"/>
      <c r="R713">
        <f>IF($M713="En retard",$N713+ROW()/100000,"")</f>
        <v/>
      </c>
      <c r="S713">
        <f>IF(OR($F713="",$I713=""),"",$F713+ROW()/100000)</f>
        <v/>
      </c>
      <c r="T713">
        <f>IF($I713="","",IFERROR(INDEX(LIV_Cat,MATCH($I713,LIV_Code,0)),""))</f>
        <v/>
      </c>
    </row>
    <row r="714" ht="21" customHeight="1">
      <c r="A714" s="1" t="n"/>
      <c r="B714" s="1" t="n"/>
      <c r="C714" s="2" t="n"/>
      <c r="E714" s="130">
        <f>IF($F714="","","EMP-"&amp;TEXT(ROW()-6,"0000"))</f>
        <v/>
      </c>
      <c r="F714" s="134" t="n"/>
      <c r="G714" s="127" t="n"/>
      <c r="H714" s="130">
        <f>IF($G714="","",IFERROR(INDEX(MEM_Nom,MATCH($G714,MEM_ID,0)),"⚠ ID inconnu"))</f>
        <v/>
      </c>
      <c r="I714" s="127" t="n"/>
      <c r="J714" s="130">
        <f>IF($I714="","",IFERROR(INDEX(LIV_Titre,MATCH($I714,LIV_Code,0)),"⚠ Code inconnu"))</f>
        <v/>
      </c>
      <c r="K714" s="138">
        <f>IF($F714="","",$F714+P_Duree)</f>
        <v/>
      </c>
      <c r="L714" s="134" t="n"/>
      <c r="M714" s="130">
        <f>IF(OR($F714="",$I714=""),"",IF($L714&lt;&gt;"",IF($L714&gt;$K714,"Rendu en retard","Rendu"),IF(TODAY()&gt;$K714,"En retard","En cours")))</f>
        <v/>
      </c>
      <c r="N714" s="139">
        <f>IF(OR($F714="",$I714=""),"",MAX(0,IF($L714&lt;&gt;"",$L714,TODAY())-$K714))</f>
        <v/>
      </c>
      <c r="O714" s="135">
        <f>IF(OR($F714="",$I714=""),"",$N714*P_Amende)</f>
        <v/>
      </c>
      <c r="P714" s="133" t="n"/>
      <c r="R714">
        <f>IF($M714="En retard",$N714+ROW()/100000,"")</f>
        <v/>
      </c>
      <c r="S714">
        <f>IF(OR($F714="",$I714=""),"",$F714+ROW()/100000)</f>
        <v/>
      </c>
      <c r="T714">
        <f>IF($I714="","",IFERROR(INDEX(LIV_Cat,MATCH($I714,LIV_Code,0)),""))</f>
        <v/>
      </c>
    </row>
    <row r="715" ht="21" customHeight="1">
      <c r="A715" s="1" t="n"/>
      <c r="B715" s="1" t="n"/>
      <c r="C715" s="2" t="n"/>
      <c r="E715" s="130">
        <f>IF($F715="","","EMP-"&amp;TEXT(ROW()-6,"0000"))</f>
        <v/>
      </c>
      <c r="F715" s="134" t="n"/>
      <c r="G715" s="127" t="n"/>
      <c r="H715" s="130">
        <f>IF($G715="","",IFERROR(INDEX(MEM_Nom,MATCH($G715,MEM_ID,0)),"⚠ ID inconnu"))</f>
        <v/>
      </c>
      <c r="I715" s="127" t="n"/>
      <c r="J715" s="130">
        <f>IF($I715="","",IFERROR(INDEX(LIV_Titre,MATCH($I715,LIV_Code,0)),"⚠ Code inconnu"))</f>
        <v/>
      </c>
      <c r="K715" s="138">
        <f>IF($F715="","",$F715+P_Duree)</f>
        <v/>
      </c>
      <c r="L715" s="134" t="n"/>
      <c r="M715" s="130">
        <f>IF(OR($F715="",$I715=""),"",IF($L715&lt;&gt;"",IF($L715&gt;$K715,"Rendu en retard","Rendu"),IF(TODAY()&gt;$K715,"En retard","En cours")))</f>
        <v/>
      </c>
      <c r="N715" s="139">
        <f>IF(OR($F715="",$I715=""),"",MAX(0,IF($L715&lt;&gt;"",$L715,TODAY())-$K715))</f>
        <v/>
      </c>
      <c r="O715" s="135">
        <f>IF(OR($F715="",$I715=""),"",$N715*P_Amende)</f>
        <v/>
      </c>
      <c r="P715" s="133" t="n"/>
      <c r="R715">
        <f>IF($M715="En retard",$N715+ROW()/100000,"")</f>
        <v/>
      </c>
      <c r="S715">
        <f>IF(OR($F715="",$I715=""),"",$F715+ROW()/100000)</f>
        <v/>
      </c>
      <c r="T715">
        <f>IF($I715="","",IFERROR(INDEX(LIV_Cat,MATCH($I715,LIV_Code,0)),""))</f>
        <v/>
      </c>
    </row>
    <row r="716" ht="21" customHeight="1">
      <c r="A716" s="1" t="n"/>
      <c r="B716" s="1" t="n"/>
      <c r="C716" s="2" t="n"/>
      <c r="E716" s="130">
        <f>IF($F716="","","EMP-"&amp;TEXT(ROW()-6,"0000"))</f>
        <v/>
      </c>
      <c r="F716" s="134" t="n"/>
      <c r="G716" s="127" t="n"/>
      <c r="H716" s="130">
        <f>IF($G716="","",IFERROR(INDEX(MEM_Nom,MATCH($G716,MEM_ID,0)),"⚠ ID inconnu"))</f>
        <v/>
      </c>
      <c r="I716" s="127" t="n"/>
      <c r="J716" s="130">
        <f>IF($I716="","",IFERROR(INDEX(LIV_Titre,MATCH($I716,LIV_Code,0)),"⚠ Code inconnu"))</f>
        <v/>
      </c>
      <c r="K716" s="138">
        <f>IF($F716="","",$F716+P_Duree)</f>
        <v/>
      </c>
      <c r="L716" s="134" t="n"/>
      <c r="M716" s="130">
        <f>IF(OR($F716="",$I716=""),"",IF($L716&lt;&gt;"",IF($L716&gt;$K716,"Rendu en retard","Rendu"),IF(TODAY()&gt;$K716,"En retard","En cours")))</f>
        <v/>
      </c>
      <c r="N716" s="139">
        <f>IF(OR($F716="",$I716=""),"",MAX(0,IF($L716&lt;&gt;"",$L716,TODAY())-$K716))</f>
        <v/>
      </c>
      <c r="O716" s="135">
        <f>IF(OR($F716="",$I716=""),"",$N716*P_Amende)</f>
        <v/>
      </c>
      <c r="P716" s="133" t="n"/>
      <c r="R716">
        <f>IF($M716="En retard",$N716+ROW()/100000,"")</f>
        <v/>
      </c>
      <c r="S716">
        <f>IF(OR($F716="",$I716=""),"",$F716+ROW()/100000)</f>
        <v/>
      </c>
      <c r="T716">
        <f>IF($I716="","",IFERROR(INDEX(LIV_Cat,MATCH($I716,LIV_Code,0)),""))</f>
        <v/>
      </c>
    </row>
    <row r="717" ht="21" customHeight="1">
      <c r="A717" s="1" t="n"/>
      <c r="B717" s="1" t="n"/>
      <c r="C717" s="2" t="n"/>
      <c r="E717" s="130">
        <f>IF($F717="","","EMP-"&amp;TEXT(ROW()-6,"0000"))</f>
        <v/>
      </c>
      <c r="F717" s="134" t="n"/>
      <c r="G717" s="127" t="n"/>
      <c r="H717" s="130">
        <f>IF($G717="","",IFERROR(INDEX(MEM_Nom,MATCH($G717,MEM_ID,0)),"⚠ ID inconnu"))</f>
        <v/>
      </c>
      <c r="I717" s="127" t="n"/>
      <c r="J717" s="130">
        <f>IF($I717="","",IFERROR(INDEX(LIV_Titre,MATCH($I717,LIV_Code,0)),"⚠ Code inconnu"))</f>
        <v/>
      </c>
      <c r="K717" s="138">
        <f>IF($F717="","",$F717+P_Duree)</f>
        <v/>
      </c>
      <c r="L717" s="134" t="n"/>
      <c r="M717" s="130">
        <f>IF(OR($F717="",$I717=""),"",IF($L717&lt;&gt;"",IF($L717&gt;$K717,"Rendu en retard","Rendu"),IF(TODAY()&gt;$K717,"En retard","En cours")))</f>
        <v/>
      </c>
      <c r="N717" s="139">
        <f>IF(OR($F717="",$I717=""),"",MAX(0,IF($L717&lt;&gt;"",$L717,TODAY())-$K717))</f>
        <v/>
      </c>
      <c r="O717" s="135">
        <f>IF(OR($F717="",$I717=""),"",$N717*P_Amende)</f>
        <v/>
      </c>
      <c r="P717" s="133" t="n"/>
      <c r="R717">
        <f>IF($M717="En retard",$N717+ROW()/100000,"")</f>
        <v/>
      </c>
      <c r="S717">
        <f>IF(OR($F717="",$I717=""),"",$F717+ROW()/100000)</f>
        <v/>
      </c>
      <c r="T717">
        <f>IF($I717="","",IFERROR(INDEX(LIV_Cat,MATCH($I717,LIV_Code,0)),""))</f>
        <v/>
      </c>
    </row>
    <row r="718" ht="21" customHeight="1">
      <c r="A718" s="1" t="n"/>
      <c r="B718" s="1" t="n"/>
      <c r="C718" s="2" t="n"/>
      <c r="E718" s="130">
        <f>IF($F718="","","EMP-"&amp;TEXT(ROW()-6,"0000"))</f>
        <v/>
      </c>
      <c r="F718" s="134" t="n"/>
      <c r="G718" s="127" t="n"/>
      <c r="H718" s="130">
        <f>IF($G718="","",IFERROR(INDEX(MEM_Nom,MATCH($G718,MEM_ID,0)),"⚠ ID inconnu"))</f>
        <v/>
      </c>
      <c r="I718" s="127" t="n"/>
      <c r="J718" s="130">
        <f>IF($I718="","",IFERROR(INDEX(LIV_Titre,MATCH($I718,LIV_Code,0)),"⚠ Code inconnu"))</f>
        <v/>
      </c>
      <c r="K718" s="138">
        <f>IF($F718="","",$F718+P_Duree)</f>
        <v/>
      </c>
      <c r="L718" s="134" t="n"/>
      <c r="M718" s="130">
        <f>IF(OR($F718="",$I718=""),"",IF($L718&lt;&gt;"",IF($L718&gt;$K718,"Rendu en retard","Rendu"),IF(TODAY()&gt;$K718,"En retard","En cours")))</f>
        <v/>
      </c>
      <c r="N718" s="139">
        <f>IF(OR($F718="",$I718=""),"",MAX(0,IF($L718&lt;&gt;"",$L718,TODAY())-$K718))</f>
        <v/>
      </c>
      <c r="O718" s="135">
        <f>IF(OR($F718="",$I718=""),"",$N718*P_Amende)</f>
        <v/>
      </c>
      <c r="P718" s="133" t="n"/>
      <c r="R718">
        <f>IF($M718="En retard",$N718+ROW()/100000,"")</f>
        <v/>
      </c>
      <c r="S718">
        <f>IF(OR($F718="",$I718=""),"",$F718+ROW()/100000)</f>
        <v/>
      </c>
      <c r="T718">
        <f>IF($I718="","",IFERROR(INDEX(LIV_Cat,MATCH($I718,LIV_Code,0)),""))</f>
        <v/>
      </c>
    </row>
    <row r="719" ht="21" customHeight="1">
      <c r="A719" s="1" t="n"/>
      <c r="B719" s="1" t="n"/>
      <c r="C719" s="2" t="n"/>
      <c r="E719" s="130">
        <f>IF($F719="","","EMP-"&amp;TEXT(ROW()-6,"0000"))</f>
        <v/>
      </c>
      <c r="F719" s="134" t="n"/>
      <c r="G719" s="127" t="n"/>
      <c r="H719" s="130">
        <f>IF($G719="","",IFERROR(INDEX(MEM_Nom,MATCH($G719,MEM_ID,0)),"⚠ ID inconnu"))</f>
        <v/>
      </c>
      <c r="I719" s="127" t="n"/>
      <c r="J719" s="130">
        <f>IF($I719="","",IFERROR(INDEX(LIV_Titre,MATCH($I719,LIV_Code,0)),"⚠ Code inconnu"))</f>
        <v/>
      </c>
      <c r="K719" s="138">
        <f>IF($F719="","",$F719+P_Duree)</f>
        <v/>
      </c>
      <c r="L719" s="134" t="n"/>
      <c r="M719" s="130">
        <f>IF(OR($F719="",$I719=""),"",IF($L719&lt;&gt;"",IF($L719&gt;$K719,"Rendu en retard","Rendu"),IF(TODAY()&gt;$K719,"En retard","En cours")))</f>
        <v/>
      </c>
      <c r="N719" s="139">
        <f>IF(OR($F719="",$I719=""),"",MAX(0,IF($L719&lt;&gt;"",$L719,TODAY())-$K719))</f>
        <v/>
      </c>
      <c r="O719" s="135">
        <f>IF(OR($F719="",$I719=""),"",$N719*P_Amende)</f>
        <v/>
      </c>
      <c r="P719" s="133" t="n"/>
      <c r="R719">
        <f>IF($M719="En retard",$N719+ROW()/100000,"")</f>
        <v/>
      </c>
      <c r="S719">
        <f>IF(OR($F719="",$I719=""),"",$F719+ROW()/100000)</f>
        <v/>
      </c>
      <c r="T719">
        <f>IF($I719="","",IFERROR(INDEX(LIV_Cat,MATCH($I719,LIV_Code,0)),""))</f>
        <v/>
      </c>
    </row>
    <row r="720" ht="21" customHeight="1">
      <c r="A720" s="1" t="n"/>
      <c r="B720" s="1" t="n"/>
      <c r="C720" s="2" t="n"/>
      <c r="E720" s="130">
        <f>IF($F720="","","EMP-"&amp;TEXT(ROW()-6,"0000"))</f>
        <v/>
      </c>
      <c r="F720" s="134" t="n"/>
      <c r="G720" s="127" t="n"/>
      <c r="H720" s="130">
        <f>IF($G720="","",IFERROR(INDEX(MEM_Nom,MATCH($G720,MEM_ID,0)),"⚠ ID inconnu"))</f>
        <v/>
      </c>
      <c r="I720" s="127" t="n"/>
      <c r="J720" s="130">
        <f>IF($I720="","",IFERROR(INDEX(LIV_Titre,MATCH($I720,LIV_Code,0)),"⚠ Code inconnu"))</f>
        <v/>
      </c>
      <c r="K720" s="138">
        <f>IF($F720="","",$F720+P_Duree)</f>
        <v/>
      </c>
      <c r="L720" s="134" t="n"/>
      <c r="M720" s="130">
        <f>IF(OR($F720="",$I720=""),"",IF($L720&lt;&gt;"",IF($L720&gt;$K720,"Rendu en retard","Rendu"),IF(TODAY()&gt;$K720,"En retard","En cours")))</f>
        <v/>
      </c>
      <c r="N720" s="139">
        <f>IF(OR($F720="",$I720=""),"",MAX(0,IF($L720&lt;&gt;"",$L720,TODAY())-$K720))</f>
        <v/>
      </c>
      <c r="O720" s="135">
        <f>IF(OR($F720="",$I720=""),"",$N720*P_Amende)</f>
        <v/>
      </c>
      <c r="P720" s="133" t="n"/>
      <c r="R720">
        <f>IF($M720="En retard",$N720+ROW()/100000,"")</f>
        <v/>
      </c>
      <c r="S720">
        <f>IF(OR($F720="",$I720=""),"",$F720+ROW()/100000)</f>
        <v/>
      </c>
      <c r="T720">
        <f>IF($I720="","",IFERROR(INDEX(LIV_Cat,MATCH($I720,LIV_Code,0)),""))</f>
        <v/>
      </c>
    </row>
    <row r="721" ht="21" customHeight="1">
      <c r="A721" s="1" t="n"/>
      <c r="B721" s="1" t="n"/>
      <c r="C721" s="2" t="n"/>
      <c r="E721" s="130">
        <f>IF($F721="","","EMP-"&amp;TEXT(ROW()-6,"0000"))</f>
        <v/>
      </c>
      <c r="F721" s="134" t="n"/>
      <c r="G721" s="127" t="n"/>
      <c r="H721" s="130">
        <f>IF($G721="","",IFERROR(INDEX(MEM_Nom,MATCH($G721,MEM_ID,0)),"⚠ ID inconnu"))</f>
        <v/>
      </c>
      <c r="I721" s="127" t="n"/>
      <c r="J721" s="130">
        <f>IF($I721="","",IFERROR(INDEX(LIV_Titre,MATCH($I721,LIV_Code,0)),"⚠ Code inconnu"))</f>
        <v/>
      </c>
      <c r="K721" s="138">
        <f>IF($F721="","",$F721+P_Duree)</f>
        <v/>
      </c>
      <c r="L721" s="134" t="n"/>
      <c r="M721" s="130">
        <f>IF(OR($F721="",$I721=""),"",IF($L721&lt;&gt;"",IF($L721&gt;$K721,"Rendu en retard","Rendu"),IF(TODAY()&gt;$K721,"En retard","En cours")))</f>
        <v/>
      </c>
      <c r="N721" s="139">
        <f>IF(OR($F721="",$I721=""),"",MAX(0,IF($L721&lt;&gt;"",$L721,TODAY())-$K721))</f>
        <v/>
      </c>
      <c r="O721" s="135">
        <f>IF(OR($F721="",$I721=""),"",$N721*P_Amende)</f>
        <v/>
      </c>
      <c r="P721" s="133" t="n"/>
      <c r="R721">
        <f>IF($M721="En retard",$N721+ROW()/100000,"")</f>
        <v/>
      </c>
      <c r="S721">
        <f>IF(OR($F721="",$I721=""),"",$F721+ROW()/100000)</f>
        <v/>
      </c>
      <c r="T721">
        <f>IF($I721="","",IFERROR(INDEX(LIV_Cat,MATCH($I721,LIV_Code,0)),""))</f>
        <v/>
      </c>
    </row>
    <row r="722" ht="21" customHeight="1">
      <c r="A722" s="1" t="n"/>
      <c r="B722" s="1" t="n"/>
      <c r="C722" s="2" t="n"/>
      <c r="E722" s="130">
        <f>IF($F722="","","EMP-"&amp;TEXT(ROW()-6,"0000"))</f>
        <v/>
      </c>
      <c r="F722" s="134" t="n"/>
      <c r="G722" s="127" t="n"/>
      <c r="H722" s="130">
        <f>IF($G722="","",IFERROR(INDEX(MEM_Nom,MATCH($G722,MEM_ID,0)),"⚠ ID inconnu"))</f>
        <v/>
      </c>
      <c r="I722" s="127" t="n"/>
      <c r="J722" s="130">
        <f>IF($I722="","",IFERROR(INDEX(LIV_Titre,MATCH($I722,LIV_Code,0)),"⚠ Code inconnu"))</f>
        <v/>
      </c>
      <c r="K722" s="138">
        <f>IF($F722="","",$F722+P_Duree)</f>
        <v/>
      </c>
      <c r="L722" s="134" t="n"/>
      <c r="M722" s="130">
        <f>IF(OR($F722="",$I722=""),"",IF($L722&lt;&gt;"",IF($L722&gt;$K722,"Rendu en retard","Rendu"),IF(TODAY()&gt;$K722,"En retard","En cours")))</f>
        <v/>
      </c>
      <c r="N722" s="139">
        <f>IF(OR($F722="",$I722=""),"",MAX(0,IF($L722&lt;&gt;"",$L722,TODAY())-$K722))</f>
        <v/>
      </c>
      <c r="O722" s="135">
        <f>IF(OR($F722="",$I722=""),"",$N722*P_Amende)</f>
        <v/>
      </c>
      <c r="P722" s="133" t="n"/>
      <c r="R722">
        <f>IF($M722="En retard",$N722+ROW()/100000,"")</f>
        <v/>
      </c>
      <c r="S722">
        <f>IF(OR($F722="",$I722=""),"",$F722+ROW()/100000)</f>
        <v/>
      </c>
      <c r="T722">
        <f>IF($I722="","",IFERROR(INDEX(LIV_Cat,MATCH($I722,LIV_Code,0)),""))</f>
        <v/>
      </c>
    </row>
    <row r="723" ht="21" customHeight="1">
      <c r="A723" s="1" t="n"/>
      <c r="B723" s="1" t="n"/>
      <c r="C723" s="2" t="n"/>
      <c r="E723" s="130">
        <f>IF($F723="","","EMP-"&amp;TEXT(ROW()-6,"0000"))</f>
        <v/>
      </c>
      <c r="F723" s="134" t="n"/>
      <c r="G723" s="127" t="n"/>
      <c r="H723" s="130">
        <f>IF($G723="","",IFERROR(INDEX(MEM_Nom,MATCH($G723,MEM_ID,0)),"⚠ ID inconnu"))</f>
        <v/>
      </c>
      <c r="I723" s="127" t="n"/>
      <c r="J723" s="130">
        <f>IF($I723="","",IFERROR(INDEX(LIV_Titre,MATCH($I723,LIV_Code,0)),"⚠ Code inconnu"))</f>
        <v/>
      </c>
      <c r="K723" s="138">
        <f>IF($F723="","",$F723+P_Duree)</f>
        <v/>
      </c>
      <c r="L723" s="134" t="n"/>
      <c r="M723" s="130">
        <f>IF(OR($F723="",$I723=""),"",IF($L723&lt;&gt;"",IF($L723&gt;$K723,"Rendu en retard","Rendu"),IF(TODAY()&gt;$K723,"En retard","En cours")))</f>
        <v/>
      </c>
      <c r="N723" s="139">
        <f>IF(OR($F723="",$I723=""),"",MAX(0,IF($L723&lt;&gt;"",$L723,TODAY())-$K723))</f>
        <v/>
      </c>
      <c r="O723" s="135">
        <f>IF(OR($F723="",$I723=""),"",$N723*P_Amende)</f>
        <v/>
      </c>
      <c r="P723" s="133" t="n"/>
      <c r="R723">
        <f>IF($M723="En retard",$N723+ROW()/100000,"")</f>
        <v/>
      </c>
      <c r="S723">
        <f>IF(OR($F723="",$I723=""),"",$F723+ROW()/100000)</f>
        <v/>
      </c>
      <c r="T723">
        <f>IF($I723="","",IFERROR(INDEX(LIV_Cat,MATCH($I723,LIV_Code,0)),""))</f>
        <v/>
      </c>
    </row>
    <row r="724" ht="21" customHeight="1">
      <c r="A724" s="1" t="n"/>
      <c r="B724" s="1" t="n"/>
      <c r="C724" s="2" t="n"/>
      <c r="E724" s="130">
        <f>IF($F724="","","EMP-"&amp;TEXT(ROW()-6,"0000"))</f>
        <v/>
      </c>
      <c r="F724" s="134" t="n"/>
      <c r="G724" s="127" t="n"/>
      <c r="H724" s="130">
        <f>IF($G724="","",IFERROR(INDEX(MEM_Nom,MATCH($G724,MEM_ID,0)),"⚠ ID inconnu"))</f>
        <v/>
      </c>
      <c r="I724" s="127" t="n"/>
      <c r="J724" s="130">
        <f>IF($I724="","",IFERROR(INDEX(LIV_Titre,MATCH($I724,LIV_Code,0)),"⚠ Code inconnu"))</f>
        <v/>
      </c>
      <c r="K724" s="138">
        <f>IF($F724="","",$F724+P_Duree)</f>
        <v/>
      </c>
      <c r="L724" s="134" t="n"/>
      <c r="M724" s="130">
        <f>IF(OR($F724="",$I724=""),"",IF($L724&lt;&gt;"",IF($L724&gt;$K724,"Rendu en retard","Rendu"),IF(TODAY()&gt;$K724,"En retard","En cours")))</f>
        <v/>
      </c>
      <c r="N724" s="139">
        <f>IF(OR($F724="",$I724=""),"",MAX(0,IF($L724&lt;&gt;"",$L724,TODAY())-$K724))</f>
        <v/>
      </c>
      <c r="O724" s="135">
        <f>IF(OR($F724="",$I724=""),"",$N724*P_Amende)</f>
        <v/>
      </c>
      <c r="P724" s="133" t="n"/>
      <c r="R724">
        <f>IF($M724="En retard",$N724+ROW()/100000,"")</f>
        <v/>
      </c>
      <c r="S724">
        <f>IF(OR($F724="",$I724=""),"",$F724+ROW()/100000)</f>
        <v/>
      </c>
      <c r="T724">
        <f>IF($I724="","",IFERROR(INDEX(LIV_Cat,MATCH($I724,LIV_Code,0)),""))</f>
        <v/>
      </c>
    </row>
    <row r="725" ht="21" customHeight="1">
      <c r="A725" s="1" t="n"/>
      <c r="B725" s="1" t="n"/>
      <c r="C725" s="2" t="n"/>
      <c r="E725" s="130">
        <f>IF($F725="","","EMP-"&amp;TEXT(ROW()-6,"0000"))</f>
        <v/>
      </c>
      <c r="F725" s="134" t="n"/>
      <c r="G725" s="127" t="n"/>
      <c r="H725" s="130">
        <f>IF($G725="","",IFERROR(INDEX(MEM_Nom,MATCH($G725,MEM_ID,0)),"⚠ ID inconnu"))</f>
        <v/>
      </c>
      <c r="I725" s="127" t="n"/>
      <c r="J725" s="130">
        <f>IF($I725="","",IFERROR(INDEX(LIV_Titre,MATCH($I725,LIV_Code,0)),"⚠ Code inconnu"))</f>
        <v/>
      </c>
      <c r="K725" s="138">
        <f>IF($F725="","",$F725+P_Duree)</f>
        <v/>
      </c>
      <c r="L725" s="134" t="n"/>
      <c r="M725" s="130">
        <f>IF(OR($F725="",$I725=""),"",IF($L725&lt;&gt;"",IF($L725&gt;$K725,"Rendu en retard","Rendu"),IF(TODAY()&gt;$K725,"En retard","En cours")))</f>
        <v/>
      </c>
      <c r="N725" s="139">
        <f>IF(OR($F725="",$I725=""),"",MAX(0,IF($L725&lt;&gt;"",$L725,TODAY())-$K725))</f>
        <v/>
      </c>
      <c r="O725" s="135">
        <f>IF(OR($F725="",$I725=""),"",$N725*P_Amende)</f>
        <v/>
      </c>
      <c r="P725" s="133" t="n"/>
      <c r="R725">
        <f>IF($M725="En retard",$N725+ROW()/100000,"")</f>
        <v/>
      </c>
      <c r="S725">
        <f>IF(OR($F725="",$I725=""),"",$F725+ROW()/100000)</f>
        <v/>
      </c>
      <c r="T725">
        <f>IF($I725="","",IFERROR(INDEX(LIV_Cat,MATCH($I725,LIV_Code,0)),""))</f>
        <v/>
      </c>
    </row>
    <row r="726" ht="21" customHeight="1">
      <c r="A726" s="1" t="n"/>
      <c r="B726" s="1" t="n"/>
      <c r="C726" s="2" t="n"/>
      <c r="E726" s="130">
        <f>IF($F726="","","EMP-"&amp;TEXT(ROW()-6,"0000"))</f>
        <v/>
      </c>
      <c r="F726" s="134" t="n"/>
      <c r="G726" s="127" t="n"/>
      <c r="H726" s="130">
        <f>IF($G726="","",IFERROR(INDEX(MEM_Nom,MATCH($G726,MEM_ID,0)),"⚠ ID inconnu"))</f>
        <v/>
      </c>
      <c r="I726" s="127" t="n"/>
      <c r="J726" s="130">
        <f>IF($I726="","",IFERROR(INDEX(LIV_Titre,MATCH($I726,LIV_Code,0)),"⚠ Code inconnu"))</f>
        <v/>
      </c>
      <c r="K726" s="138">
        <f>IF($F726="","",$F726+P_Duree)</f>
        <v/>
      </c>
      <c r="L726" s="134" t="n"/>
      <c r="M726" s="130">
        <f>IF(OR($F726="",$I726=""),"",IF($L726&lt;&gt;"",IF($L726&gt;$K726,"Rendu en retard","Rendu"),IF(TODAY()&gt;$K726,"En retard","En cours")))</f>
        <v/>
      </c>
      <c r="N726" s="139">
        <f>IF(OR($F726="",$I726=""),"",MAX(0,IF($L726&lt;&gt;"",$L726,TODAY())-$K726))</f>
        <v/>
      </c>
      <c r="O726" s="135">
        <f>IF(OR($F726="",$I726=""),"",$N726*P_Amende)</f>
        <v/>
      </c>
      <c r="P726" s="133" t="n"/>
      <c r="R726">
        <f>IF($M726="En retard",$N726+ROW()/100000,"")</f>
        <v/>
      </c>
      <c r="S726">
        <f>IF(OR($F726="",$I726=""),"",$F726+ROW()/100000)</f>
        <v/>
      </c>
      <c r="T726">
        <f>IF($I726="","",IFERROR(INDEX(LIV_Cat,MATCH($I726,LIV_Code,0)),""))</f>
        <v/>
      </c>
    </row>
    <row r="727" ht="21" customHeight="1">
      <c r="A727" s="1" t="n"/>
      <c r="B727" s="1" t="n"/>
      <c r="C727" s="2" t="n"/>
      <c r="E727" s="130">
        <f>IF($F727="","","EMP-"&amp;TEXT(ROW()-6,"0000"))</f>
        <v/>
      </c>
      <c r="F727" s="134" t="n"/>
      <c r="G727" s="127" t="n"/>
      <c r="H727" s="130">
        <f>IF($G727="","",IFERROR(INDEX(MEM_Nom,MATCH($G727,MEM_ID,0)),"⚠ ID inconnu"))</f>
        <v/>
      </c>
      <c r="I727" s="127" t="n"/>
      <c r="J727" s="130">
        <f>IF($I727="","",IFERROR(INDEX(LIV_Titre,MATCH($I727,LIV_Code,0)),"⚠ Code inconnu"))</f>
        <v/>
      </c>
      <c r="K727" s="138">
        <f>IF($F727="","",$F727+P_Duree)</f>
        <v/>
      </c>
      <c r="L727" s="134" t="n"/>
      <c r="M727" s="130">
        <f>IF(OR($F727="",$I727=""),"",IF($L727&lt;&gt;"",IF($L727&gt;$K727,"Rendu en retard","Rendu"),IF(TODAY()&gt;$K727,"En retard","En cours")))</f>
        <v/>
      </c>
      <c r="N727" s="139">
        <f>IF(OR($F727="",$I727=""),"",MAX(0,IF($L727&lt;&gt;"",$L727,TODAY())-$K727))</f>
        <v/>
      </c>
      <c r="O727" s="135">
        <f>IF(OR($F727="",$I727=""),"",$N727*P_Amende)</f>
        <v/>
      </c>
      <c r="P727" s="133" t="n"/>
      <c r="R727">
        <f>IF($M727="En retard",$N727+ROW()/100000,"")</f>
        <v/>
      </c>
      <c r="S727">
        <f>IF(OR($F727="",$I727=""),"",$F727+ROW()/100000)</f>
        <v/>
      </c>
      <c r="T727">
        <f>IF($I727="","",IFERROR(INDEX(LIV_Cat,MATCH($I727,LIV_Code,0)),""))</f>
        <v/>
      </c>
    </row>
    <row r="728" ht="21" customHeight="1">
      <c r="A728" s="1" t="n"/>
      <c r="B728" s="1" t="n"/>
      <c r="C728" s="2" t="n"/>
      <c r="E728" s="130">
        <f>IF($F728="","","EMP-"&amp;TEXT(ROW()-6,"0000"))</f>
        <v/>
      </c>
      <c r="F728" s="134" t="n"/>
      <c r="G728" s="127" t="n"/>
      <c r="H728" s="130">
        <f>IF($G728="","",IFERROR(INDEX(MEM_Nom,MATCH($G728,MEM_ID,0)),"⚠ ID inconnu"))</f>
        <v/>
      </c>
      <c r="I728" s="127" t="n"/>
      <c r="J728" s="130">
        <f>IF($I728="","",IFERROR(INDEX(LIV_Titre,MATCH($I728,LIV_Code,0)),"⚠ Code inconnu"))</f>
        <v/>
      </c>
      <c r="K728" s="138">
        <f>IF($F728="","",$F728+P_Duree)</f>
        <v/>
      </c>
      <c r="L728" s="134" t="n"/>
      <c r="M728" s="130">
        <f>IF(OR($F728="",$I728=""),"",IF($L728&lt;&gt;"",IF($L728&gt;$K728,"Rendu en retard","Rendu"),IF(TODAY()&gt;$K728,"En retard","En cours")))</f>
        <v/>
      </c>
      <c r="N728" s="139">
        <f>IF(OR($F728="",$I728=""),"",MAX(0,IF($L728&lt;&gt;"",$L728,TODAY())-$K728))</f>
        <v/>
      </c>
      <c r="O728" s="135">
        <f>IF(OR($F728="",$I728=""),"",$N728*P_Amende)</f>
        <v/>
      </c>
      <c r="P728" s="133" t="n"/>
      <c r="R728">
        <f>IF($M728="En retard",$N728+ROW()/100000,"")</f>
        <v/>
      </c>
      <c r="S728">
        <f>IF(OR($F728="",$I728=""),"",$F728+ROW()/100000)</f>
        <v/>
      </c>
      <c r="T728">
        <f>IF($I728="","",IFERROR(INDEX(LIV_Cat,MATCH($I728,LIV_Code,0)),""))</f>
        <v/>
      </c>
    </row>
    <row r="729" ht="21" customHeight="1">
      <c r="A729" s="1" t="n"/>
      <c r="B729" s="1" t="n"/>
      <c r="C729" s="2" t="n"/>
      <c r="E729" s="130">
        <f>IF($F729="","","EMP-"&amp;TEXT(ROW()-6,"0000"))</f>
        <v/>
      </c>
      <c r="F729" s="134" t="n"/>
      <c r="G729" s="127" t="n"/>
      <c r="H729" s="130">
        <f>IF($G729="","",IFERROR(INDEX(MEM_Nom,MATCH($G729,MEM_ID,0)),"⚠ ID inconnu"))</f>
        <v/>
      </c>
      <c r="I729" s="127" t="n"/>
      <c r="J729" s="130">
        <f>IF($I729="","",IFERROR(INDEX(LIV_Titre,MATCH($I729,LIV_Code,0)),"⚠ Code inconnu"))</f>
        <v/>
      </c>
      <c r="K729" s="138">
        <f>IF($F729="","",$F729+P_Duree)</f>
        <v/>
      </c>
      <c r="L729" s="134" t="n"/>
      <c r="M729" s="130">
        <f>IF(OR($F729="",$I729=""),"",IF($L729&lt;&gt;"",IF($L729&gt;$K729,"Rendu en retard","Rendu"),IF(TODAY()&gt;$K729,"En retard","En cours")))</f>
        <v/>
      </c>
      <c r="N729" s="139">
        <f>IF(OR($F729="",$I729=""),"",MAX(0,IF($L729&lt;&gt;"",$L729,TODAY())-$K729))</f>
        <v/>
      </c>
      <c r="O729" s="135">
        <f>IF(OR($F729="",$I729=""),"",$N729*P_Amende)</f>
        <v/>
      </c>
      <c r="P729" s="133" t="n"/>
      <c r="R729">
        <f>IF($M729="En retard",$N729+ROW()/100000,"")</f>
        <v/>
      </c>
      <c r="S729">
        <f>IF(OR($F729="",$I729=""),"",$F729+ROW()/100000)</f>
        <v/>
      </c>
      <c r="T729">
        <f>IF($I729="","",IFERROR(INDEX(LIV_Cat,MATCH($I729,LIV_Code,0)),""))</f>
        <v/>
      </c>
    </row>
    <row r="730" ht="21" customHeight="1">
      <c r="A730" s="1" t="n"/>
      <c r="B730" s="1" t="n"/>
      <c r="C730" s="2" t="n"/>
      <c r="E730" s="130">
        <f>IF($F730="","","EMP-"&amp;TEXT(ROW()-6,"0000"))</f>
        <v/>
      </c>
      <c r="F730" s="134" t="n"/>
      <c r="G730" s="127" t="n"/>
      <c r="H730" s="130">
        <f>IF($G730="","",IFERROR(INDEX(MEM_Nom,MATCH($G730,MEM_ID,0)),"⚠ ID inconnu"))</f>
        <v/>
      </c>
      <c r="I730" s="127" t="n"/>
      <c r="J730" s="130">
        <f>IF($I730="","",IFERROR(INDEX(LIV_Titre,MATCH($I730,LIV_Code,0)),"⚠ Code inconnu"))</f>
        <v/>
      </c>
      <c r="K730" s="138">
        <f>IF($F730="","",$F730+P_Duree)</f>
        <v/>
      </c>
      <c r="L730" s="134" t="n"/>
      <c r="M730" s="130">
        <f>IF(OR($F730="",$I730=""),"",IF($L730&lt;&gt;"",IF($L730&gt;$K730,"Rendu en retard","Rendu"),IF(TODAY()&gt;$K730,"En retard","En cours")))</f>
        <v/>
      </c>
      <c r="N730" s="139">
        <f>IF(OR($F730="",$I730=""),"",MAX(0,IF($L730&lt;&gt;"",$L730,TODAY())-$K730))</f>
        <v/>
      </c>
      <c r="O730" s="135">
        <f>IF(OR($F730="",$I730=""),"",$N730*P_Amende)</f>
        <v/>
      </c>
      <c r="P730" s="133" t="n"/>
      <c r="R730">
        <f>IF($M730="En retard",$N730+ROW()/100000,"")</f>
        <v/>
      </c>
      <c r="S730">
        <f>IF(OR($F730="",$I730=""),"",$F730+ROW()/100000)</f>
        <v/>
      </c>
      <c r="T730">
        <f>IF($I730="","",IFERROR(INDEX(LIV_Cat,MATCH($I730,LIV_Code,0)),""))</f>
        <v/>
      </c>
    </row>
    <row r="731" ht="21" customHeight="1">
      <c r="A731" s="1" t="n"/>
      <c r="B731" s="1" t="n"/>
      <c r="C731" s="2" t="n"/>
      <c r="E731" s="130">
        <f>IF($F731="","","EMP-"&amp;TEXT(ROW()-6,"0000"))</f>
        <v/>
      </c>
      <c r="F731" s="134" t="n"/>
      <c r="G731" s="127" t="n"/>
      <c r="H731" s="130">
        <f>IF($G731="","",IFERROR(INDEX(MEM_Nom,MATCH($G731,MEM_ID,0)),"⚠ ID inconnu"))</f>
        <v/>
      </c>
      <c r="I731" s="127" t="n"/>
      <c r="J731" s="130">
        <f>IF($I731="","",IFERROR(INDEX(LIV_Titre,MATCH($I731,LIV_Code,0)),"⚠ Code inconnu"))</f>
        <v/>
      </c>
      <c r="K731" s="138">
        <f>IF($F731="","",$F731+P_Duree)</f>
        <v/>
      </c>
      <c r="L731" s="134" t="n"/>
      <c r="M731" s="130">
        <f>IF(OR($F731="",$I731=""),"",IF($L731&lt;&gt;"",IF($L731&gt;$K731,"Rendu en retard","Rendu"),IF(TODAY()&gt;$K731,"En retard","En cours")))</f>
        <v/>
      </c>
      <c r="N731" s="139">
        <f>IF(OR($F731="",$I731=""),"",MAX(0,IF($L731&lt;&gt;"",$L731,TODAY())-$K731))</f>
        <v/>
      </c>
      <c r="O731" s="135">
        <f>IF(OR($F731="",$I731=""),"",$N731*P_Amende)</f>
        <v/>
      </c>
      <c r="P731" s="133" t="n"/>
      <c r="R731">
        <f>IF($M731="En retard",$N731+ROW()/100000,"")</f>
        <v/>
      </c>
      <c r="S731">
        <f>IF(OR($F731="",$I731=""),"",$F731+ROW()/100000)</f>
        <v/>
      </c>
      <c r="T731">
        <f>IF($I731="","",IFERROR(INDEX(LIV_Cat,MATCH($I731,LIV_Code,0)),""))</f>
        <v/>
      </c>
    </row>
    <row r="732" ht="21" customHeight="1">
      <c r="A732" s="1" t="n"/>
      <c r="B732" s="1" t="n"/>
      <c r="C732" s="2" t="n"/>
      <c r="E732" s="130">
        <f>IF($F732="","","EMP-"&amp;TEXT(ROW()-6,"0000"))</f>
        <v/>
      </c>
      <c r="F732" s="134" t="n"/>
      <c r="G732" s="127" t="n"/>
      <c r="H732" s="130">
        <f>IF($G732="","",IFERROR(INDEX(MEM_Nom,MATCH($G732,MEM_ID,0)),"⚠ ID inconnu"))</f>
        <v/>
      </c>
      <c r="I732" s="127" t="n"/>
      <c r="J732" s="130">
        <f>IF($I732="","",IFERROR(INDEX(LIV_Titre,MATCH($I732,LIV_Code,0)),"⚠ Code inconnu"))</f>
        <v/>
      </c>
      <c r="K732" s="138">
        <f>IF($F732="","",$F732+P_Duree)</f>
        <v/>
      </c>
      <c r="L732" s="134" t="n"/>
      <c r="M732" s="130">
        <f>IF(OR($F732="",$I732=""),"",IF($L732&lt;&gt;"",IF($L732&gt;$K732,"Rendu en retard","Rendu"),IF(TODAY()&gt;$K732,"En retard","En cours")))</f>
        <v/>
      </c>
      <c r="N732" s="139">
        <f>IF(OR($F732="",$I732=""),"",MAX(0,IF($L732&lt;&gt;"",$L732,TODAY())-$K732))</f>
        <v/>
      </c>
      <c r="O732" s="135">
        <f>IF(OR($F732="",$I732=""),"",$N732*P_Amende)</f>
        <v/>
      </c>
      <c r="P732" s="133" t="n"/>
      <c r="R732">
        <f>IF($M732="En retard",$N732+ROW()/100000,"")</f>
        <v/>
      </c>
      <c r="S732">
        <f>IF(OR($F732="",$I732=""),"",$F732+ROW()/100000)</f>
        <v/>
      </c>
      <c r="T732">
        <f>IF($I732="","",IFERROR(INDEX(LIV_Cat,MATCH($I732,LIV_Code,0)),""))</f>
        <v/>
      </c>
    </row>
    <row r="733" ht="21" customHeight="1">
      <c r="A733" s="1" t="n"/>
      <c r="B733" s="1" t="n"/>
      <c r="C733" s="2" t="n"/>
      <c r="E733" s="130">
        <f>IF($F733="","","EMP-"&amp;TEXT(ROW()-6,"0000"))</f>
        <v/>
      </c>
      <c r="F733" s="134" t="n"/>
      <c r="G733" s="127" t="n"/>
      <c r="H733" s="130">
        <f>IF($G733="","",IFERROR(INDEX(MEM_Nom,MATCH($G733,MEM_ID,0)),"⚠ ID inconnu"))</f>
        <v/>
      </c>
      <c r="I733" s="127" t="n"/>
      <c r="J733" s="130">
        <f>IF($I733="","",IFERROR(INDEX(LIV_Titre,MATCH($I733,LIV_Code,0)),"⚠ Code inconnu"))</f>
        <v/>
      </c>
      <c r="K733" s="138">
        <f>IF($F733="","",$F733+P_Duree)</f>
        <v/>
      </c>
      <c r="L733" s="134" t="n"/>
      <c r="M733" s="130">
        <f>IF(OR($F733="",$I733=""),"",IF($L733&lt;&gt;"",IF($L733&gt;$K733,"Rendu en retard","Rendu"),IF(TODAY()&gt;$K733,"En retard","En cours")))</f>
        <v/>
      </c>
      <c r="N733" s="139">
        <f>IF(OR($F733="",$I733=""),"",MAX(0,IF($L733&lt;&gt;"",$L733,TODAY())-$K733))</f>
        <v/>
      </c>
      <c r="O733" s="135">
        <f>IF(OR($F733="",$I733=""),"",$N733*P_Amende)</f>
        <v/>
      </c>
      <c r="P733" s="133" t="n"/>
      <c r="R733">
        <f>IF($M733="En retard",$N733+ROW()/100000,"")</f>
        <v/>
      </c>
      <c r="S733">
        <f>IF(OR($F733="",$I733=""),"",$F733+ROW()/100000)</f>
        <v/>
      </c>
      <c r="T733">
        <f>IF($I733="","",IFERROR(INDEX(LIV_Cat,MATCH($I733,LIV_Code,0)),""))</f>
        <v/>
      </c>
    </row>
    <row r="734" ht="21" customHeight="1">
      <c r="A734" s="1" t="n"/>
      <c r="B734" s="1" t="n"/>
      <c r="C734" s="2" t="n"/>
      <c r="E734" s="130">
        <f>IF($F734="","","EMP-"&amp;TEXT(ROW()-6,"0000"))</f>
        <v/>
      </c>
      <c r="F734" s="134" t="n"/>
      <c r="G734" s="127" t="n"/>
      <c r="H734" s="130">
        <f>IF($G734="","",IFERROR(INDEX(MEM_Nom,MATCH($G734,MEM_ID,0)),"⚠ ID inconnu"))</f>
        <v/>
      </c>
      <c r="I734" s="127" t="n"/>
      <c r="J734" s="130">
        <f>IF($I734="","",IFERROR(INDEX(LIV_Titre,MATCH($I734,LIV_Code,0)),"⚠ Code inconnu"))</f>
        <v/>
      </c>
      <c r="K734" s="138">
        <f>IF($F734="","",$F734+P_Duree)</f>
        <v/>
      </c>
      <c r="L734" s="134" t="n"/>
      <c r="M734" s="130">
        <f>IF(OR($F734="",$I734=""),"",IF($L734&lt;&gt;"",IF($L734&gt;$K734,"Rendu en retard","Rendu"),IF(TODAY()&gt;$K734,"En retard","En cours")))</f>
        <v/>
      </c>
      <c r="N734" s="139">
        <f>IF(OR($F734="",$I734=""),"",MAX(0,IF($L734&lt;&gt;"",$L734,TODAY())-$K734))</f>
        <v/>
      </c>
      <c r="O734" s="135">
        <f>IF(OR($F734="",$I734=""),"",$N734*P_Amende)</f>
        <v/>
      </c>
      <c r="P734" s="133" t="n"/>
      <c r="R734">
        <f>IF($M734="En retard",$N734+ROW()/100000,"")</f>
        <v/>
      </c>
      <c r="S734">
        <f>IF(OR($F734="",$I734=""),"",$F734+ROW()/100000)</f>
        <v/>
      </c>
      <c r="T734">
        <f>IF($I734="","",IFERROR(INDEX(LIV_Cat,MATCH($I734,LIV_Code,0)),""))</f>
        <v/>
      </c>
    </row>
    <row r="735" ht="21" customHeight="1">
      <c r="A735" s="1" t="n"/>
      <c r="B735" s="1" t="n"/>
      <c r="C735" s="2" t="n"/>
      <c r="E735" s="130">
        <f>IF($F735="","","EMP-"&amp;TEXT(ROW()-6,"0000"))</f>
        <v/>
      </c>
      <c r="F735" s="134" t="n"/>
      <c r="G735" s="127" t="n"/>
      <c r="H735" s="130">
        <f>IF($G735="","",IFERROR(INDEX(MEM_Nom,MATCH($G735,MEM_ID,0)),"⚠ ID inconnu"))</f>
        <v/>
      </c>
      <c r="I735" s="127" t="n"/>
      <c r="J735" s="130">
        <f>IF($I735="","",IFERROR(INDEX(LIV_Titre,MATCH($I735,LIV_Code,0)),"⚠ Code inconnu"))</f>
        <v/>
      </c>
      <c r="K735" s="138">
        <f>IF($F735="","",$F735+P_Duree)</f>
        <v/>
      </c>
      <c r="L735" s="134" t="n"/>
      <c r="M735" s="130">
        <f>IF(OR($F735="",$I735=""),"",IF($L735&lt;&gt;"",IF($L735&gt;$K735,"Rendu en retard","Rendu"),IF(TODAY()&gt;$K735,"En retard","En cours")))</f>
        <v/>
      </c>
      <c r="N735" s="139">
        <f>IF(OR($F735="",$I735=""),"",MAX(0,IF($L735&lt;&gt;"",$L735,TODAY())-$K735))</f>
        <v/>
      </c>
      <c r="O735" s="135">
        <f>IF(OR($F735="",$I735=""),"",$N735*P_Amende)</f>
        <v/>
      </c>
      <c r="P735" s="133" t="n"/>
      <c r="R735">
        <f>IF($M735="En retard",$N735+ROW()/100000,"")</f>
        <v/>
      </c>
      <c r="S735">
        <f>IF(OR($F735="",$I735=""),"",$F735+ROW()/100000)</f>
        <v/>
      </c>
      <c r="T735">
        <f>IF($I735="","",IFERROR(INDEX(LIV_Cat,MATCH($I735,LIV_Code,0)),""))</f>
        <v/>
      </c>
    </row>
    <row r="736" ht="21" customHeight="1">
      <c r="A736" s="1" t="n"/>
      <c r="B736" s="1" t="n"/>
      <c r="C736" s="2" t="n"/>
      <c r="E736" s="130">
        <f>IF($F736="","","EMP-"&amp;TEXT(ROW()-6,"0000"))</f>
        <v/>
      </c>
      <c r="F736" s="134" t="n"/>
      <c r="G736" s="127" t="n"/>
      <c r="H736" s="130">
        <f>IF($G736="","",IFERROR(INDEX(MEM_Nom,MATCH($G736,MEM_ID,0)),"⚠ ID inconnu"))</f>
        <v/>
      </c>
      <c r="I736" s="127" t="n"/>
      <c r="J736" s="130">
        <f>IF($I736="","",IFERROR(INDEX(LIV_Titre,MATCH($I736,LIV_Code,0)),"⚠ Code inconnu"))</f>
        <v/>
      </c>
      <c r="K736" s="138">
        <f>IF($F736="","",$F736+P_Duree)</f>
        <v/>
      </c>
      <c r="L736" s="134" t="n"/>
      <c r="M736" s="130">
        <f>IF(OR($F736="",$I736=""),"",IF($L736&lt;&gt;"",IF($L736&gt;$K736,"Rendu en retard","Rendu"),IF(TODAY()&gt;$K736,"En retard","En cours")))</f>
        <v/>
      </c>
      <c r="N736" s="139">
        <f>IF(OR($F736="",$I736=""),"",MAX(0,IF($L736&lt;&gt;"",$L736,TODAY())-$K736))</f>
        <v/>
      </c>
      <c r="O736" s="135">
        <f>IF(OR($F736="",$I736=""),"",$N736*P_Amende)</f>
        <v/>
      </c>
      <c r="P736" s="133" t="n"/>
      <c r="R736">
        <f>IF($M736="En retard",$N736+ROW()/100000,"")</f>
        <v/>
      </c>
      <c r="S736">
        <f>IF(OR($F736="",$I736=""),"",$F736+ROW()/100000)</f>
        <v/>
      </c>
      <c r="T736">
        <f>IF($I736="","",IFERROR(INDEX(LIV_Cat,MATCH($I736,LIV_Code,0)),""))</f>
        <v/>
      </c>
    </row>
    <row r="737" ht="21" customHeight="1">
      <c r="A737" s="1" t="n"/>
      <c r="B737" s="1" t="n"/>
      <c r="C737" s="2" t="n"/>
      <c r="E737" s="130">
        <f>IF($F737="","","EMP-"&amp;TEXT(ROW()-6,"0000"))</f>
        <v/>
      </c>
      <c r="F737" s="134" t="n"/>
      <c r="G737" s="127" t="n"/>
      <c r="H737" s="130">
        <f>IF($G737="","",IFERROR(INDEX(MEM_Nom,MATCH($G737,MEM_ID,0)),"⚠ ID inconnu"))</f>
        <v/>
      </c>
      <c r="I737" s="127" t="n"/>
      <c r="J737" s="130">
        <f>IF($I737="","",IFERROR(INDEX(LIV_Titre,MATCH($I737,LIV_Code,0)),"⚠ Code inconnu"))</f>
        <v/>
      </c>
      <c r="K737" s="138">
        <f>IF($F737="","",$F737+P_Duree)</f>
        <v/>
      </c>
      <c r="L737" s="134" t="n"/>
      <c r="M737" s="130">
        <f>IF(OR($F737="",$I737=""),"",IF($L737&lt;&gt;"",IF($L737&gt;$K737,"Rendu en retard","Rendu"),IF(TODAY()&gt;$K737,"En retard","En cours")))</f>
        <v/>
      </c>
      <c r="N737" s="139">
        <f>IF(OR($F737="",$I737=""),"",MAX(0,IF($L737&lt;&gt;"",$L737,TODAY())-$K737))</f>
        <v/>
      </c>
      <c r="O737" s="135">
        <f>IF(OR($F737="",$I737=""),"",$N737*P_Amende)</f>
        <v/>
      </c>
      <c r="P737" s="133" t="n"/>
      <c r="R737">
        <f>IF($M737="En retard",$N737+ROW()/100000,"")</f>
        <v/>
      </c>
      <c r="S737">
        <f>IF(OR($F737="",$I737=""),"",$F737+ROW()/100000)</f>
        <v/>
      </c>
      <c r="T737">
        <f>IF($I737="","",IFERROR(INDEX(LIV_Cat,MATCH($I737,LIV_Code,0)),""))</f>
        <v/>
      </c>
    </row>
    <row r="738" ht="21" customHeight="1">
      <c r="A738" s="1" t="n"/>
      <c r="B738" s="1" t="n"/>
      <c r="C738" s="2" t="n"/>
      <c r="E738" s="130">
        <f>IF($F738="","","EMP-"&amp;TEXT(ROW()-6,"0000"))</f>
        <v/>
      </c>
      <c r="F738" s="134" t="n"/>
      <c r="G738" s="127" t="n"/>
      <c r="H738" s="130">
        <f>IF($G738="","",IFERROR(INDEX(MEM_Nom,MATCH($G738,MEM_ID,0)),"⚠ ID inconnu"))</f>
        <v/>
      </c>
      <c r="I738" s="127" t="n"/>
      <c r="J738" s="130">
        <f>IF($I738="","",IFERROR(INDEX(LIV_Titre,MATCH($I738,LIV_Code,0)),"⚠ Code inconnu"))</f>
        <v/>
      </c>
      <c r="K738" s="138">
        <f>IF($F738="","",$F738+P_Duree)</f>
        <v/>
      </c>
      <c r="L738" s="134" t="n"/>
      <c r="M738" s="130">
        <f>IF(OR($F738="",$I738=""),"",IF($L738&lt;&gt;"",IF($L738&gt;$K738,"Rendu en retard","Rendu"),IF(TODAY()&gt;$K738,"En retard","En cours")))</f>
        <v/>
      </c>
      <c r="N738" s="139">
        <f>IF(OR($F738="",$I738=""),"",MAX(0,IF($L738&lt;&gt;"",$L738,TODAY())-$K738))</f>
        <v/>
      </c>
      <c r="O738" s="135">
        <f>IF(OR($F738="",$I738=""),"",$N738*P_Amende)</f>
        <v/>
      </c>
      <c r="P738" s="133" t="n"/>
      <c r="R738">
        <f>IF($M738="En retard",$N738+ROW()/100000,"")</f>
        <v/>
      </c>
      <c r="S738">
        <f>IF(OR($F738="",$I738=""),"",$F738+ROW()/100000)</f>
        <v/>
      </c>
      <c r="T738">
        <f>IF($I738="","",IFERROR(INDEX(LIV_Cat,MATCH($I738,LIV_Code,0)),""))</f>
        <v/>
      </c>
    </row>
    <row r="739" ht="21" customHeight="1">
      <c r="A739" s="1" t="n"/>
      <c r="B739" s="1" t="n"/>
      <c r="C739" s="2" t="n"/>
      <c r="E739" s="130">
        <f>IF($F739="","","EMP-"&amp;TEXT(ROW()-6,"0000"))</f>
        <v/>
      </c>
      <c r="F739" s="134" t="n"/>
      <c r="G739" s="127" t="n"/>
      <c r="H739" s="130">
        <f>IF($G739="","",IFERROR(INDEX(MEM_Nom,MATCH($G739,MEM_ID,0)),"⚠ ID inconnu"))</f>
        <v/>
      </c>
      <c r="I739" s="127" t="n"/>
      <c r="J739" s="130">
        <f>IF($I739="","",IFERROR(INDEX(LIV_Titre,MATCH($I739,LIV_Code,0)),"⚠ Code inconnu"))</f>
        <v/>
      </c>
      <c r="K739" s="138">
        <f>IF($F739="","",$F739+P_Duree)</f>
        <v/>
      </c>
      <c r="L739" s="134" t="n"/>
      <c r="M739" s="130">
        <f>IF(OR($F739="",$I739=""),"",IF($L739&lt;&gt;"",IF($L739&gt;$K739,"Rendu en retard","Rendu"),IF(TODAY()&gt;$K739,"En retard","En cours")))</f>
        <v/>
      </c>
      <c r="N739" s="139">
        <f>IF(OR($F739="",$I739=""),"",MAX(0,IF($L739&lt;&gt;"",$L739,TODAY())-$K739))</f>
        <v/>
      </c>
      <c r="O739" s="135">
        <f>IF(OR($F739="",$I739=""),"",$N739*P_Amende)</f>
        <v/>
      </c>
      <c r="P739" s="133" t="n"/>
      <c r="R739">
        <f>IF($M739="En retard",$N739+ROW()/100000,"")</f>
        <v/>
      </c>
      <c r="S739">
        <f>IF(OR($F739="",$I739=""),"",$F739+ROW()/100000)</f>
        <v/>
      </c>
      <c r="T739">
        <f>IF($I739="","",IFERROR(INDEX(LIV_Cat,MATCH($I739,LIV_Code,0)),""))</f>
        <v/>
      </c>
    </row>
    <row r="740" ht="21" customHeight="1">
      <c r="A740" s="1" t="n"/>
      <c r="B740" s="1" t="n"/>
      <c r="C740" s="2" t="n"/>
      <c r="E740" s="130">
        <f>IF($F740="","","EMP-"&amp;TEXT(ROW()-6,"0000"))</f>
        <v/>
      </c>
      <c r="F740" s="134" t="n"/>
      <c r="G740" s="127" t="n"/>
      <c r="H740" s="130">
        <f>IF($G740="","",IFERROR(INDEX(MEM_Nom,MATCH($G740,MEM_ID,0)),"⚠ ID inconnu"))</f>
        <v/>
      </c>
      <c r="I740" s="127" t="n"/>
      <c r="J740" s="130">
        <f>IF($I740="","",IFERROR(INDEX(LIV_Titre,MATCH($I740,LIV_Code,0)),"⚠ Code inconnu"))</f>
        <v/>
      </c>
      <c r="K740" s="138">
        <f>IF($F740="","",$F740+P_Duree)</f>
        <v/>
      </c>
      <c r="L740" s="134" t="n"/>
      <c r="M740" s="130">
        <f>IF(OR($F740="",$I740=""),"",IF($L740&lt;&gt;"",IF($L740&gt;$K740,"Rendu en retard","Rendu"),IF(TODAY()&gt;$K740,"En retard","En cours")))</f>
        <v/>
      </c>
      <c r="N740" s="139">
        <f>IF(OR($F740="",$I740=""),"",MAX(0,IF($L740&lt;&gt;"",$L740,TODAY())-$K740))</f>
        <v/>
      </c>
      <c r="O740" s="135">
        <f>IF(OR($F740="",$I740=""),"",$N740*P_Amende)</f>
        <v/>
      </c>
      <c r="P740" s="133" t="n"/>
      <c r="R740">
        <f>IF($M740="En retard",$N740+ROW()/100000,"")</f>
        <v/>
      </c>
      <c r="S740">
        <f>IF(OR($F740="",$I740=""),"",$F740+ROW()/100000)</f>
        <v/>
      </c>
      <c r="T740">
        <f>IF($I740="","",IFERROR(INDEX(LIV_Cat,MATCH($I740,LIV_Code,0)),""))</f>
        <v/>
      </c>
    </row>
    <row r="741" ht="21" customHeight="1">
      <c r="A741" s="1" t="n"/>
      <c r="B741" s="1" t="n"/>
      <c r="C741" s="2" t="n"/>
      <c r="E741" s="130">
        <f>IF($F741="","","EMP-"&amp;TEXT(ROW()-6,"0000"))</f>
        <v/>
      </c>
      <c r="F741" s="134" t="n"/>
      <c r="G741" s="127" t="n"/>
      <c r="H741" s="130">
        <f>IF($G741="","",IFERROR(INDEX(MEM_Nom,MATCH($G741,MEM_ID,0)),"⚠ ID inconnu"))</f>
        <v/>
      </c>
      <c r="I741" s="127" t="n"/>
      <c r="J741" s="130">
        <f>IF($I741="","",IFERROR(INDEX(LIV_Titre,MATCH($I741,LIV_Code,0)),"⚠ Code inconnu"))</f>
        <v/>
      </c>
      <c r="K741" s="138">
        <f>IF($F741="","",$F741+P_Duree)</f>
        <v/>
      </c>
      <c r="L741" s="134" t="n"/>
      <c r="M741" s="130">
        <f>IF(OR($F741="",$I741=""),"",IF($L741&lt;&gt;"",IF($L741&gt;$K741,"Rendu en retard","Rendu"),IF(TODAY()&gt;$K741,"En retard","En cours")))</f>
        <v/>
      </c>
      <c r="N741" s="139">
        <f>IF(OR($F741="",$I741=""),"",MAX(0,IF($L741&lt;&gt;"",$L741,TODAY())-$K741))</f>
        <v/>
      </c>
      <c r="O741" s="135">
        <f>IF(OR($F741="",$I741=""),"",$N741*P_Amende)</f>
        <v/>
      </c>
      <c r="P741" s="133" t="n"/>
      <c r="R741">
        <f>IF($M741="En retard",$N741+ROW()/100000,"")</f>
        <v/>
      </c>
      <c r="S741">
        <f>IF(OR($F741="",$I741=""),"",$F741+ROW()/100000)</f>
        <v/>
      </c>
      <c r="T741">
        <f>IF($I741="","",IFERROR(INDEX(LIV_Cat,MATCH($I741,LIV_Code,0)),""))</f>
        <v/>
      </c>
    </row>
    <row r="742" ht="21" customHeight="1">
      <c r="A742" s="1" t="n"/>
      <c r="B742" s="1" t="n"/>
      <c r="C742" s="2" t="n"/>
      <c r="E742" s="130">
        <f>IF($F742="","","EMP-"&amp;TEXT(ROW()-6,"0000"))</f>
        <v/>
      </c>
      <c r="F742" s="134" t="n"/>
      <c r="G742" s="127" t="n"/>
      <c r="H742" s="130">
        <f>IF($G742="","",IFERROR(INDEX(MEM_Nom,MATCH($G742,MEM_ID,0)),"⚠ ID inconnu"))</f>
        <v/>
      </c>
      <c r="I742" s="127" t="n"/>
      <c r="J742" s="130">
        <f>IF($I742="","",IFERROR(INDEX(LIV_Titre,MATCH($I742,LIV_Code,0)),"⚠ Code inconnu"))</f>
        <v/>
      </c>
      <c r="K742" s="138">
        <f>IF($F742="","",$F742+P_Duree)</f>
        <v/>
      </c>
      <c r="L742" s="134" t="n"/>
      <c r="M742" s="130">
        <f>IF(OR($F742="",$I742=""),"",IF($L742&lt;&gt;"",IF($L742&gt;$K742,"Rendu en retard","Rendu"),IF(TODAY()&gt;$K742,"En retard","En cours")))</f>
        <v/>
      </c>
      <c r="N742" s="139">
        <f>IF(OR($F742="",$I742=""),"",MAX(0,IF($L742&lt;&gt;"",$L742,TODAY())-$K742))</f>
        <v/>
      </c>
      <c r="O742" s="135">
        <f>IF(OR($F742="",$I742=""),"",$N742*P_Amende)</f>
        <v/>
      </c>
      <c r="P742" s="133" t="n"/>
      <c r="R742">
        <f>IF($M742="En retard",$N742+ROW()/100000,"")</f>
        <v/>
      </c>
      <c r="S742">
        <f>IF(OR($F742="",$I742=""),"",$F742+ROW()/100000)</f>
        <v/>
      </c>
      <c r="T742">
        <f>IF($I742="","",IFERROR(INDEX(LIV_Cat,MATCH($I742,LIV_Code,0)),""))</f>
        <v/>
      </c>
    </row>
    <row r="743" ht="21" customHeight="1">
      <c r="A743" s="1" t="n"/>
      <c r="B743" s="1" t="n"/>
      <c r="C743" s="2" t="n"/>
      <c r="E743" s="130">
        <f>IF($F743="","","EMP-"&amp;TEXT(ROW()-6,"0000"))</f>
        <v/>
      </c>
      <c r="F743" s="134" t="n"/>
      <c r="G743" s="127" t="n"/>
      <c r="H743" s="130">
        <f>IF($G743="","",IFERROR(INDEX(MEM_Nom,MATCH($G743,MEM_ID,0)),"⚠ ID inconnu"))</f>
        <v/>
      </c>
      <c r="I743" s="127" t="n"/>
      <c r="J743" s="130">
        <f>IF($I743="","",IFERROR(INDEX(LIV_Titre,MATCH($I743,LIV_Code,0)),"⚠ Code inconnu"))</f>
        <v/>
      </c>
      <c r="K743" s="138">
        <f>IF($F743="","",$F743+P_Duree)</f>
        <v/>
      </c>
      <c r="L743" s="134" t="n"/>
      <c r="M743" s="130">
        <f>IF(OR($F743="",$I743=""),"",IF($L743&lt;&gt;"",IF($L743&gt;$K743,"Rendu en retard","Rendu"),IF(TODAY()&gt;$K743,"En retard","En cours")))</f>
        <v/>
      </c>
      <c r="N743" s="139">
        <f>IF(OR($F743="",$I743=""),"",MAX(0,IF($L743&lt;&gt;"",$L743,TODAY())-$K743))</f>
        <v/>
      </c>
      <c r="O743" s="135">
        <f>IF(OR($F743="",$I743=""),"",$N743*P_Amende)</f>
        <v/>
      </c>
      <c r="P743" s="133" t="n"/>
      <c r="R743">
        <f>IF($M743="En retard",$N743+ROW()/100000,"")</f>
        <v/>
      </c>
      <c r="S743">
        <f>IF(OR($F743="",$I743=""),"",$F743+ROW()/100000)</f>
        <v/>
      </c>
      <c r="T743">
        <f>IF($I743="","",IFERROR(INDEX(LIV_Cat,MATCH($I743,LIV_Code,0)),""))</f>
        <v/>
      </c>
    </row>
    <row r="744" ht="21" customHeight="1">
      <c r="A744" s="1" t="n"/>
      <c r="B744" s="1" t="n"/>
      <c r="C744" s="2" t="n"/>
      <c r="E744" s="130">
        <f>IF($F744="","","EMP-"&amp;TEXT(ROW()-6,"0000"))</f>
        <v/>
      </c>
      <c r="F744" s="134" t="n"/>
      <c r="G744" s="127" t="n"/>
      <c r="H744" s="130">
        <f>IF($G744="","",IFERROR(INDEX(MEM_Nom,MATCH($G744,MEM_ID,0)),"⚠ ID inconnu"))</f>
        <v/>
      </c>
      <c r="I744" s="127" t="n"/>
      <c r="J744" s="130">
        <f>IF($I744="","",IFERROR(INDEX(LIV_Titre,MATCH($I744,LIV_Code,0)),"⚠ Code inconnu"))</f>
        <v/>
      </c>
      <c r="K744" s="138">
        <f>IF($F744="","",$F744+P_Duree)</f>
        <v/>
      </c>
      <c r="L744" s="134" t="n"/>
      <c r="M744" s="130">
        <f>IF(OR($F744="",$I744=""),"",IF($L744&lt;&gt;"",IF($L744&gt;$K744,"Rendu en retard","Rendu"),IF(TODAY()&gt;$K744,"En retard","En cours")))</f>
        <v/>
      </c>
      <c r="N744" s="139">
        <f>IF(OR($F744="",$I744=""),"",MAX(0,IF($L744&lt;&gt;"",$L744,TODAY())-$K744))</f>
        <v/>
      </c>
      <c r="O744" s="135">
        <f>IF(OR($F744="",$I744=""),"",$N744*P_Amende)</f>
        <v/>
      </c>
      <c r="P744" s="133" t="n"/>
      <c r="R744">
        <f>IF($M744="En retard",$N744+ROW()/100000,"")</f>
        <v/>
      </c>
      <c r="S744">
        <f>IF(OR($F744="",$I744=""),"",$F744+ROW()/100000)</f>
        <v/>
      </c>
      <c r="T744">
        <f>IF($I744="","",IFERROR(INDEX(LIV_Cat,MATCH($I744,LIV_Code,0)),""))</f>
        <v/>
      </c>
    </row>
    <row r="745" ht="21" customHeight="1">
      <c r="A745" s="1" t="n"/>
      <c r="B745" s="1" t="n"/>
      <c r="C745" s="2" t="n"/>
      <c r="E745" s="130">
        <f>IF($F745="","","EMP-"&amp;TEXT(ROW()-6,"0000"))</f>
        <v/>
      </c>
      <c r="F745" s="134" t="n"/>
      <c r="G745" s="127" t="n"/>
      <c r="H745" s="130">
        <f>IF($G745="","",IFERROR(INDEX(MEM_Nom,MATCH($G745,MEM_ID,0)),"⚠ ID inconnu"))</f>
        <v/>
      </c>
      <c r="I745" s="127" t="n"/>
      <c r="J745" s="130">
        <f>IF($I745="","",IFERROR(INDEX(LIV_Titre,MATCH($I745,LIV_Code,0)),"⚠ Code inconnu"))</f>
        <v/>
      </c>
      <c r="K745" s="138">
        <f>IF($F745="","",$F745+P_Duree)</f>
        <v/>
      </c>
      <c r="L745" s="134" t="n"/>
      <c r="M745" s="130">
        <f>IF(OR($F745="",$I745=""),"",IF($L745&lt;&gt;"",IF($L745&gt;$K745,"Rendu en retard","Rendu"),IF(TODAY()&gt;$K745,"En retard","En cours")))</f>
        <v/>
      </c>
      <c r="N745" s="139">
        <f>IF(OR($F745="",$I745=""),"",MAX(0,IF($L745&lt;&gt;"",$L745,TODAY())-$K745))</f>
        <v/>
      </c>
      <c r="O745" s="135">
        <f>IF(OR($F745="",$I745=""),"",$N745*P_Amende)</f>
        <v/>
      </c>
      <c r="P745" s="133" t="n"/>
      <c r="R745">
        <f>IF($M745="En retard",$N745+ROW()/100000,"")</f>
        <v/>
      </c>
      <c r="S745">
        <f>IF(OR($F745="",$I745=""),"",$F745+ROW()/100000)</f>
        <v/>
      </c>
      <c r="T745">
        <f>IF($I745="","",IFERROR(INDEX(LIV_Cat,MATCH($I745,LIV_Code,0)),""))</f>
        <v/>
      </c>
    </row>
    <row r="746" ht="21" customHeight="1">
      <c r="A746" s="1" t="n"/>
      <c r="B746" s="1" t="n"/>
      <c r="C746" s="2" t="n"/>
      <c r="E746" s="130">
        <f>IF($F746="","","EMP-"&amp;TEXT(ROW()-6,"0000"))</f>
        <v/>
      </c>
      <c r="F746" s="134" t="n"/>
      <c r="G746" s="127" t="n"/>
      <c r="H746" s="130">
        <f>IF($G746="","",IFERROR(INDEX(MEM_Nom,MATCH($G746,MEM_ID,0)),"⚠ ID inconnu"))</f>
        <v/>
      </c>
      <c r="I746" s="127" t="n"/>
      <c r="J746" s="130">
        <f>IF($I746="","",IFERROR(INDEX(LIV_Titre,MATCH($I746,LIV_Code,0)),"⚠ Code inconnu"))</f>
        <v/>
      </c>
      <c r="K746" s="138">
        <f>IF($F746="","",$F746+P_Duree)</f>
        <v/>
      </c>
      <c r="L746" s="134" t="n"/>
      <c r="M746" s="130">
        <f>IF(OR($F746="",$I746=""),"",IF($L746&lt;&gt;"",IF($L746&gt;$K746,"Rendu en retard","Rendu"),IF(TODAY()&gt;$K746,"En retard","En cours")))</f>
        <v/>
      </c>
      <c r="N746" s="139">
        <f>IF(OR($F746="",$I746=""),"",MAX(0,IF($L746&lt;&gt;"",$L746,TODAY())-$K746))</f>
        <v/>
      </c>
      <c r="O746" s="135">
        <f>IF(OR($F746="",$I746=""),"",$N746*P_Amende)</f>
        <v/>
      </c>
      <c r="P746" s="133" t="n"/>
      <c r="R746">
        <f>IF($M746="En retard",$N746+ROW()/100000,"")</f>
        <v/>
      </c>
      <c r="S746">
        <f>IF(OR($F746="",$I746=""),"",$F746+ROW()/100000)</f>
        <v/>
      </c>
      <c r="T746">
        <f>IF($I746="","",IFERROR(INDEX(LIV_Cat,MATCH($I746,LIV_Code,0)),""))</f>
        <v/>
      </c>
    </row>
    <row r="747" ht="21" customHeight="1">
      <c r="A747" s="1" t="n"/>
      <c r="B747" s="1" t="n"/>
      <c r="C747" s="2" t="n"/>
      <c r="E747" s="130">
        <f>IF($F747="","","EMP-"&amp;TEXT(ROW()-6,"0000"))</f>
        <v/>
      </c>
      <c r="F747" s="134" t="n"/>
      <c r="G747" s="127" t="n"/>
      <c r="H747" s="130">
        <f>IF($G747="","",IFERROR(INDEX(MEM_Nom,MATCH($G747,MEM_ID,0)),"⚠ ID inconnu"))</f>
        <v/>
      </c>
      <c r="I747" s="127" t="n"/>
      <c r="J747" s="130">
        <f>IF($I747="","",IFERROR(INDEX(LIV_Titre,MATCH($I747,LIV_Code,0)),"⚠ Code inconnu"))</f>
        <v/>
      </c>
      <c r="K747" s="138">
        <f>IF($F747="","",$F747+P_Duree)</f>
        <v/>
      </c>
      <c r="L747" s="134" t="n"/>
      <c r="M747" s="130">
        <f>IF(OR($F747="",$I747=""),"",IF($L747&lt;&gt;"",IF($L747&gt;$K747,"Rendu en retard","Rendu"),IF(TODAY()&gt;$K747,"En retard","En cours")))</f>
        <v/>
      </c>
      <c r="N747" s="139">
        <f>IF(OR($F747="",$I747=""),"",MAX(0,IF($L747&lt;&gt;"",$L747,TODAY())-$K747))</f>
        <v/>
      </c>
      <c r="O747" s="135">
        <f>IF(OR($F747="",$I747=""),"",$N747*P_Amende)</f>
        <v/>
      </c>
      <c r="P747" s="133" t="n"/>
      <c r="R747">
        <f>IF($M747="En retard",$N747+ROW()/100000,"")</f>
        <v/>
      </c>
      <c r="S747">
        <f>IF(OR($F747="",$I747=""),"",$F747+ROW()/100000)</f>
        <v/>
      </c>
      <c r="T747">
        <f>IF($I747="","",IFERROR(INDEX(LIV_Cat,MATCH($I747,LIV_Code,0)),""))</f>
        <v/>
      </c>
    </row>
    <row r="748" ht="21" customHeight="1">
      <c r="A748" s="1" t="n"/>
      <c r="B748" s="1" t="n"/>
      <c r="C748" s="2" t="n"/>
      <c r="E748" s="130">
        <f>IF($F748="","","EMP-"&amp;TEXT(ROW()-6,"0000"))</f>
        <v/>
      </c>
      <c r="F748" s="134" t="n"/>
      <c r="G748" s="127" t="n"/>
      <c r="H748" s="130">
        <f>IF($G748="","",IFERROR(INDEX(MEM_Nom,MATCH($G748,MEM_ID,0)),"⚠ ID inconnu"))</f>
        <v/>
      </c>
      <c r="I748" s="127" t="n"/>
      <c r="J748" s="130">
        <f>IF($I748="","",IFERROR(INDEX(LIV_Titre,MATCH($I748,LIV_Code,0)),"⚠ Code inconnu"))</f>
        <v/>
      </c>
      <c r="K748" s="138">
        <f>IF($F748="","",$F748+P_Duree)</f>
        <v/>
      </c>
      <c r="L748" s="134" t="n"/>
      <c r="M748" s="130">
        <f>IF(OR($F748="",$I748=""),"",IF($L748&lt;&gt;"",IF($L748&gt;$K748,"Rendu en retard","Rendu"),IF(TODAY()&gt;$K748,"En retard","En cours")))</f>
        <v/>
      </c>
      <c r="N748" s="139">
        <f>IF(OR($F748="",$I748=""),"",MAX(0,IF($L748&lt;&gt;"",$L748,TODAY())-$K748))</f>
        <v/>
      </c>
      <c r="O748" s="135">
        <f>IF(OR($F748="",$I748=""),"",$N748*P_Amende)</f>
        <v/>
      </c>
      <c r="P748" s="133" t="n"/>
      <c r="R748">
        <f>IF($M748="En retard",$N748+ROW()/100000,"")</f>
        <v/>
      </c>
      <c r="S748">
        <f>IF(OR($F748="",$I748=""),"",$F748+ROW()/100000)</f>
        <v/>
      </c>
      <c r="T748">
        <f>IF($I748="","",IFERROR(INDEX(LIV_Cat,MATCH($I748,LIV_Code,0)),""))</f>
        <v/>
      </c>
    </row>
    <row r="749" ht="21" customHeight="1">
      <c r="A749" s="1" t="n"/>
      <c r="B749" s="1" t="n"/>
      <c r="C749" s="2" t="n"/>
      <c r="E749" s="130">
        <f>IF($F749="","","EMP-"&amp;TEXT(ROW()-6,"0000"))</f>
        <v/>
      </c>
      <c r="F749" s="134" t="n"/>
      <c r="G749" s="127" t="n"/>
      <c r="H749" s="130">
        <f>IF($G749="","",IFERROR(INDEX(MEM_Nom,MATCH($G749,MEM_ID,0)),"⚠ ID inconnu"))</f>
        <v/>
      </c>
      <c r="I749" s="127" t="n"/>
      <c r="J749" s="130">
        <f>IF($I749="","",IFERROR(INDEX(LIV_Titre,MATCH($I749,LIV_Code,0)),"⚠ Code inconnu"))</f>
        <v/>
      </c>
      <c r="K749" s="138">
        <f>IF($F749="","",$F749+P_Duree)</f>
        <v/>
      </c>
      <c r="L749" s="134" t="n"/>
      <c r="M749" s="130">
        <f>IF(OR($F749="",$I749=""),"",IF($L749&lt;&gt;"",IF($L749&gt;$K749,"Rendu en retard","Rendu"),IF(TODAY()&gt;$K749,"En retard","En cours")))</f>
        <v/>
      </c>
      <c r="N749" s="139">
        <f>IF(OR($F749="",$I749=""),"",MAX(0,IF($L749&lt;&gt;"",$L749,TODAY())-$K749))</f>
        <v/>
      </c>
      <c r="O749" s="135">
        <f>IF(OR($F749="",$I749=""),"",$N749*P_Amende)</f>
        <v/>
      </c>
      <c r="P749" s="133" t="n"/>
      <c r="R749">
        <f>IF($M749="En retard",$N749+ROW()/100000,"")</f>
        <v/>
      </c>
      <c r="S749">
        <f>IF(OR($F749="",$I749=""),"",$F749+ROW()/100000)</f>
        <v/>
      </c>
      <c r="T749">
        <f>IF($I749="","",IFERROR(INDEX(LIV_Cat,MATCH($I749,LIV_Code,0)),""))</f>
        <v/>
      </c>
    </row>
    <row r="750" ht="21" customHeight="1">
      <c r="A750" s="1" t="n"/>
      <c r="B750" s="1" t="n"/>
      <c r="C750" s="2" t="n"/>
      <c r="E750" s="130">
        <f>IF($F750="","","EMP-"&amp;TEXT(ROW()-6,"0000"))</f>
        <v/>
      </c>
      <c r="F750" s="134" t="n"/>
      <c r="G750" s="127" t="n"/>
      <c r="H750" s="130">
        <f>IF($G750="","",IFERROR(INDEX(MEM_Nom,MATCH($G750,MEM_ID,0)),"⚠ ID inconnu"))</f>
        <v/>
      </c>
      <c r="I750" s="127" t="n"/>
      <c r="J750" s="130">
        <f>IF($I750="","",IFERROR(INDEX(LIV_Titre,MATCH($I750,LIV_Code,0)),"⚠ Code inconnu"))</f>
        <v/>
      </c>
      <c r="K750" s="138">
        <f>IF($F750="","",$F750+P_Duree)</f>
        <v/>
      </c>
      <c r="L750" s="134" t="n"/>
      <c r="M750" s="130">
        <f>IF(OR($F750="",$I750=""),"",IF($L750&lt;&gt;"",IF($L750&gt;$K750,"Rendu en retard","Rendu"),IF(TODAY()&gt;$K750,"En retard","En cours")))</f>
        <v/>
      </c>
      <c r="N750" s="139">
        <f>IF(OR($F750="",$I750=""),"",MAX(0,IF($L750&lt;&gt;"",$L750,TODAY())-$K750))</f>
        <v/>
      </c>
      <c r="O750" s="135">
        <f>IF(OR($F750="",$I750=""),"",$N750*P_Amende)</f>
        <v/>
      </c>
      <c r="P750" s="133" t="n"/>
      <c r="R750">
        <f>IF($M750="En retard",$N750+ROW()/100000,"")</f>
        <v/>
      </c>
      <c r="S750">
        <f>IF(OR($F750="",$I750=""),"",$F750+ROW()/100000)</f>
        <v/>
      </c>
      <c r="T750">
        <f>IF($I750="","",IFERROR(INDEX(LIV_Cat,MATCH($I750,LIV_Code,0)),""))</f>
        <v/>
      </c>
    </row>
    <row r="751" ht="21" customHeight="1">
      <c r="A751" s="1" t="n"/>
      <c r="B751" s="1" t="n"/>
      <c r="C751" s="2" t="n"/>
      <c r="E751" s="130">
        <f>IF($F751="","","EMP-"&amp;TEXT(ROW()-6,"0000"))</f>
        <v/>
      </c>
      <c r="F751" s="134" t="n"/>
      <c r="G751" s="127" t="n"/>
      <c r="H751" s="130">
        <f>IF($G751="","",IFERROR(INDEX(MEM_Nom,MATCH($G751,MEM_ID,0)),"⚠ ID inconnu"))</f>
        <v/>
      </c>
      <c r="I751" s="127" t="n"/>
      <c r="J751" s="130">
        <f>IF($I751="","",IFERROR(INDEX(LIV_Titre,MATCH($I751,LIV_Code,0)),"⚠ Code inconnu"))</f>
        <v/>
      </c>
      <c r="K751" s="138">
        <f>IF($F751="","",$F751+P_Duree)</f>
        <v/>
      </c>
      <c r="L751" s="134" t="n"/>
      <c r="M751" s="130">
        <f>IF(OR($F751="",$I751=""),"",IF($L751&lt;&gt;"",IF($L751&gt;$K751,"Rendu en retard","Rendu"),IF(TODAY()&gt;$K751,"En retard","En cours")))</f>
        <v/>
      </c>
      <c r="N751" s="139">
        <f>IF(OR($F751="",$I751=""),"",MAX(0,IF($L751&lt;&gt;"",$L751,TODAY())-$K751))</f>
        <v/>
      </c>
      <c r="O751" s="135">
        <f>IF(OR($F751="",$I751=""),"",$N751*P_Amende)</f>
        <v/>
      </c>
      <c r="P751" s="133" t="n"/>
      <c r="R751">
        <f>IF($M751="En retard",$N751+ROW()/100000,"")</f>
        <v/>
      </c>
      <c r="S751">
        <f>IF(OR($F751="",$I751=""),"",$F751+ROW()/100000)</f>
        <v/>
      </c>
      <c r="T751">
        <f>IF($I751="","",IFERROR(INDEX(LIV_Cat,MATCH($I751,LIV_Code,0)),""))</f>
        <v/>
      </c>
    </row>
    <row r="752" ht="21" customHeight="1">
      <c r="A752" s="1" t="n"/>
      <c r="B752" s="1" t="n"/>
      <c r="C752" s="2" t="n"/>
      <c r="E752" s="130">
        <f>IF($F752="","","EMP-"&amp;TEXT(ROW()-6,"0000"))</f>
        <v/>
      </c>
      <c r="F752" s="134" t="n"/>
      <c r="G752" s="127" t="n"/>
      <c r="H752" s="130">
        <f>IF($G752="","",IFERROR(INDEX(MEM_Nom,MATCH($G752,MEM_ID,0)),"⚠ ID inconnu"))</f>
        <v/>
      </c>
      <c r="I752" s="127" t="n"/>
      <c r="J752" s="130">
        <f>IF($I752="","",IFERROR(INDEX(LIV_Titre,MATCH($I752,LIV_Code,0)),"⚠ Code inconnu"))</f>
        <v/>
      </c>
      <c r="K752" s="138">
        <f>IF($F752="","",$F752+P_Duree)</f>
        <v/>
      </c>
      <c r="L752" s="134" t="n"/>
      <c r="M752" s="130">
        <f>IF(OR($F752="",$I752=""),"",IF($L752&lt;&gt;"",IF($L752&gt;$K752,"Rendu en retard","Rendu"),IF(TODAY()&gt;$K752,"En retard","En cours")))</f>
        <v/>
      </c>
      <c r="N752" s="139">
        <f>IF(OR($F752="",$I752=""),"",MAX(0,IF($L752&lt;&gt;"",$L752,TODAY())-$K752))</f>
        <v/>
      </c>
      <c r="O752" s="135">
        <f>IF(OR($F752="",$I752=""),"",$N752*P_Amende)</f>
        <v/>
      </c>
      <c r="P752" s="133" t="n"/>
      <c r="R752">
        <f>IF($M752="En retard",$N752+ROW()/100000,"")</f>
        <v/>
      </c>
      <c r="S752">
        <f>IF(OR($F752="",$I752=""),"",$F752+ROW()/100000)</f>
        <v/>
      </c>
      <c r="T752">
        <f>IF($I752="","",IFERROR(INDEX(LIV_Cat,MATCH($I752,LIV_Code,0)),""))</f>
        <v/>
      </c>
    </row>
    <row r="753" ht="21" customHeight="1">
      <c r="A753" s="1" t="n"/>
      <c r="B753" s="1" t="n"/>
      <c r="C753" s="2" t="n"/>
      <c r="E753" s="130">
        <f>IF($F753="","","EMP-"&amp;TEXT(ROW()-6,"0000"))</f>
        <v/>
      </c>
      <c r="F753" s="134" t="n"/>
      <c r="G753" s="127" t="n"/>
      <c r="H753" s="130">
        <f>IF($G753="","",IFERROR(INDEX(MEM_Nom,MATCH($G753,MEM_ID,0)),"⚠ ID inconnu"))</f>
        <v/>
      </c>
      <c r="I753" s="127" t="n"/>
      <c r="J753" s="130">
        <f>IF($I753="","",IFERROR(INDEX(LIV_Titre,MATCH($I753,LIV_Code,0)),"⚠ Code inconnu"))</f>
        <v/>
      </c>
      <c r="K753" s="138">
        <f>IF($F753="","",$F753+P_Duree)</f>
        <v/>
      </c>
      <c r="L753" s="134" t="n"/>
      <c r="M753" s="130">
        <f>IF(OR($F753="",$I753=""),"",IF($L753&lt;&gt;"",IF($L753&gt;$K753,"Rendu en retard","Rendu"),IF(TODAY()&gt;$K753,"En retard","En cours")))</f>
        <v/>
      </c>
      <c r="N753" s="139">
        <f>IF(OR($F753="",$I753=""),"",MAX(0,IF($L753&lt;&gt;"",$L753,TODAY())-$K753))</f>
        <v/>
      </c>
      <c r="O753" s="135">
        <f>IF(OR($F753="",$I753=""),"",$N753*P_Amende)</f>
        <v/>
      </c>
      <c r="P753" s="133" t="n"/>
      <c r="R753">
        <f>IF($M753="En retard",$N753+ROW()/100000,"")</f>
        <v/>
      </c>
      <c r="S753">
        <f>IF(OR($F753="",$I753=""),"",$F753+ROW()/100000)</f>
        <v/>
      </c>
      <c r="T753">
        <f>IF($I753="","",IFERROR(INDEX(LIV_Cat,MATCH($I753,LIV_Code,0)),""))</f>
        <v/>
      </c>
    </row>
    <row r="754" ht="21" customHeight="1">
      <c r="A754" s="1" t="n"/>
      <c r="B754" s="1" t="n"/>
      <c r="C754" s="2" t="n"/>
      <c r="E754" s="130">
        <f>IF($F754="","","EMP-"&amp;TEXT(ROW()-6,"0000"))</f>
        <v/>
      </c>
      <c r="F754" s="134" t="n"/>
      <c r="G754" s="127" t="n"/>
      <c r="H754" s="130">
        <f>IF($G754="","",IFERROR(INDEX(MEM_Nom,MATCH($G754,MEM_ID,0)),"⚠ ID inconnu"))</f>
        <v/>
      </c>
      <c r="I754" s="127" t="n"/>
      <c r="J754" s="130">
        <f>IF($I754="","",IFERROR(INDEX(LIV_Titre,MATCH($I754,LIV_Code,0)),"⚠ Code inconnu"))</f>
        <v/>
      </c>
      <c r="K754" s="138">
        <f>IF($F754="","",$F754+P_Duree)</f>
        <v/>
      </c>
      <c r="L754" s="134" t="n"/>
      <c r="M754" s="130">
        <f>IF(OR($F754="",$I754=""),"",IF($L754&lt;&gt;"",IF($L754&gt;$K754,"Rendu en retard","Rendu"),IF(TODAY()&gt;$K754,"En retard","En cours")))</f>
        <v/>
      </c>
      <c r="N754" s="139">
        <f>IF(OR($F754="",$I754=""),"",MAX(0,IF($L754&lt;&gt;"",$L754,TODAY())-$K754))</f>
        <v/>
      </c>
      <c r="O754" s="135">
        <f>IF(OR($F754="",$I754=""),"",$N754*P_Amende)</f>
        <v/>
      </c>
      <c r="P754" s="133" t="n"/>
      <c r="R754">
        <f>IF($M754="En retard",$N754+ROW()/100000,"")</f>
        <v/>
      </c>
      <c r="S754">
        <f>IF(OR($F754="",$I754=""),"",$F754+ROW()/100000)</f>
        <v/>
      </c>
      <c r="T754">
        <f>IF($I754="","",IFERROR(INDEX(LIV_Cat,MATCH($I754,LIV_Code,0)),""))</f>
        <v/>
      </c>
    </row>
    <row r="755" ht="21" customHeight="1">
      <c r="A755" s="1" t="n"/>
      <c r="B755" s="1" t="n"/>
      <c r="C755" s="2" t="n"/>
      <c r="E755" s="130">
        <f>IF($F755="","","EMP-"&amp;TEXT(ROW()-6,"0000"))</f>
        <v/>
      </c>
      <c r="F755" s="134" t="n"/>
      <c r="G755" s="127" t="n"/>
      <c r="H755" s="130">
        <f>IF($G755="","",IFERROR(INDEX(MEM_Nom,MATCH($G755,MEM_ID,0)),"⚠ ID inconnu"))</f>
        <v/>
      </c>
      <c r="I755" s="127" t="n"/>
      <c r="J755" s="130">
        <f>IF($I755="","",IFERROR(INDEX(LIV_Titre,MATCH($I755,LIV_Code,0)),"⚠ Code inconnu"))</f>
        <v/>
      </c>
      <c r="K755" s="138">
        <f>IF($F755="","",$F755+P_Duree)</f>
        <v/>
      </c>
      <c r="L755" s="134" t="n"/>
      <c r="M755" s="130">
        <f>IF(OR($F755="",$I755=""),"",IF($L755&lt;&gt;"",IF($L755&gt;$K755,"Rendu en retard","Rendu"),IF(TODAY()&gt;$K755,"En retard","En cours")))</f>
        <v/>
      </c>
      <c r="N755" s="139">
        <f>IF(OR($F755="",$I755=""),"",MAX(0,IF($L755&lt;&gt;"",$L755,TODAY())-$K755))</f>
        <v/>
      </c>
      <c r="O755" s="135">
        <f>IF(OR($F755="",$I755=""),"",$N755*P_Amende)</f>
        <v/>
      </c>
      <c r="P755" s="133" t="n"/>
      <c r="R755">
        <f>IF($M755="En retard",$N755+ROW()/100000,"")</f>
        <v/>
      </c>
      <c r="S755">
        <f>IF(OR($F755="",$I755=""),"",$F755+ROW()/100000)</f>
        <v/>
      </c>
      <c r="T755">
        <f>IF($I755="","",IFERROR(INDEX(LIV_Cat,MATCH($I755,LIV_Code,0)),""))</f>
        <v/>
      </c>
    </row>
    <row r="756" ht="21" customHeight="1">
      <c r="A756" s="1" t="n"/>
      <c r="B756" s="1" t="n"/>
      <c r="C756" s="2" t="n"/>
      <c r="E756" s="130">
        <f>IF($F756="","","EMP-"&amp;TEXT(ROW()-6,"0000"))</f>
        <v/>
      </c>
      <c r="F756" s="134" t="n"/>
      <c r="G756" s="127" t="n"/>
      <c r="H756" s="130">
        <f>IF($G756="","",IFERROR(INDEX(MEM_Nom,MATCH($G756,MEM_ID,0)),"⚠ ID inconnu"))</f>
        <v/>
      </c>
      <c r="I756" s="127" t="n"/>
      <c r="J756" s="130">
        <f>IF($I756="","",IFERROR(INDEX(LIV_Titre,MATCH($I756,LIV_Code,0)),"⚠ Code inconnu"))</f>
        <v/>
      </c>
      <c r="K756" s="138">
        <f>IF($F756="","",$F756+P_Duree)</f>
        <v/>
      </c>
      <c r="L756" s="134" t="n"/>
      <c r="M756" s="130">
        <f>IF(OR($F756="",$I756=""),"",IF($L756&lt;&gt;"",IF($L756&gt;$K756,"Rendu en retard","Rendu"),IF(TODAY()&gt;$K756,"En retard","En cours")))</f>
        <v/>
      </c>
      <c r="N756" s="139">
        <f>IF(OR($F756="",$I756=""),"",MAX(0,IF($L756&lt;&gt;"",$L756,TODAY())-$K756))</f>
        <v/>
      </c>
      <c r="O756" s="135">
        <f>IF(OR($F756="",$I756=""),"",$N756*P_Amende)</f>
        <v/>
      </c>
      <c r="P756" s="133" t="n"/>
      <c r="R756">
        <f>IF($M756="En retard",$N756+ROW()/100000,"")</f>
        <v/>
      </c>
      <c r="S756">
        <f>IF(OR($F756="",$I756=""),"",$F756+ROW()/100000)</f>
        <v/>
      </c>
      <c r="T756">
        <f>IF($I756="","",IFERROR(INDEX(LIV_Cat,MATCH($I756,LIV_Code,0)),""))</f>
        <v/>
      </c>
    </row>
    <row r="757" ht="21" customHeight="1">
      <c r="A757" s="1" t="n"/>
      <c r="B757" s="1" t="n"/>
      <c r="C757" s="2" t="n"/>
      <c r="E757" s="130">
        <f>IF($F757="","","EMP-"&amp;TEXT(ROW()-6,"0000"))</f>
        <v/>
      </c>
      <c r="F757" s="134" t="n"/>
      <c r="G757" s="127" t="n"/>
      <c r="H757" s="130">
        <f>IF($G757="","",IFERROR(INDEX(MEM_Nom,MATCH($G757,MEM_ID,0)),"⚠ ID inconnu"))</f>
        <v/>
      </c>
      <c r="I757" s="127" t="n"/>
      <c r="J757" s="130">
        <f>IF($I757="","",IFERROR(INDEX(LIV_Titre,MATCH($I757,LIV_Code,0)),"⚠ Code inconnu"))</f>
        <v/>
      </c>
      <c r="K757" s="138">
        <f>IF($F757="","",$F757+P_Duree)</f>
        <v/>
      </c>
      <c r="L757" s="134" t="n"/>
      <c r="M757" s="130">
        <f>IF(OR($F757="",$I757=""),"",IF($L757&lt;&gt;"",IF($L757&gt;$K757,"Rendu en retard","Rendu"),IF(TODAY()&gt;$K757,"En retard","En cours")))</f>
        <v/>
      </c>
      <c r="N757" s="139">
        <f>IF(OR($F757="",$I757=""),"",MAX(0,IF($L757&lt;&gt;"",$L757,TODAY())-$K757))</f>
        <v/>
      </c>
      <c r="O757" s="135">
        <f>IF(OR($F757="",$I757=""),"",$N757*P_Amende)</f>
        <v/>
      </c>
      <c r="P757" s="133" t="n"/>
      <c r="R757">
        <f>IF($M757="En retard",$N757+ROW()/100000,"")</f>
        <v/>
      </c>
      <c r="S757">
        <f>IF(OR($F757="",$I757=""),"",$F757+ROW()/100000)</f>
        <v/>
      </c>
      <c r="T757">
        <f>IF($I757="","",IFERROR(INDEX(LIV_Cat,MATCH($I757,LIV_Code,0)),""))</f>
        <v/>
      </c>
    </row>
    <row r="758" ht="21" customHeight="1">
      <c r="A758" s="1" t="n"/>
      <c r="B758" s="1" t="n"/>
      <c r="C758" s="2" t="n"/>
      <c r="E758" s="130">
        <f>IF($F758="","","EMP-"&amp;TEXT(ROW()-6,"0000"))</f>
        <v/>
      </c>
      <c r="F758" s="134" t="n"/>
      <c r="G758" s="127" t="n"/>
      <c r="H758" s="130">
        <f>IF($G758="","",IFERROR(INDEX(MEM_Nom,MATCH($G758,MEM_ID,0)),"⚠ ID inconnu"))</f>
        <v/>
      </c>
      <c r="I758" s="127" t="n"/>
      <c r="J758" s="130">
        <f>IF($I758="","",IFERROR(INDEX(LIV_Titre,MATCH($I758,LIV_Code,0)),"⚠ Code inconnu"))</f>
        <v/>
      </c>
      <c r="K758" s="138">
        <f>IF($F758="","",$F758+P_Duree)</f>
        <v/>
      </c>
      <c r="L758" s="134" t="n"/>
      <c r="M758" s="130">
        <f>IF(OR($F758="",$I758=""),"",IF($L758&lt;&gt;"",IF($L758&gt;$K758,"Rendu en retard","Rendu"),IF(TODAY()&gt;$K758,"En retard","En cours")))</f>
        <v/>
      </c>
      <c r="N758" s="139">
        <f>IF(OR($F758="",$I758=""),"",MAX(0,IF($L758&lt;&gt;"",$L758,TODAY())-$K758))</f>
        <v/>
      </c>
      <c r="O758" s="135">
        <f>IF(OR($F758="",$I758=""),"",$N758*P_Amende)</f>
        <v/>
      </c>
      <c r="P758" s="133" t="n"/>
      <c r="R758">
        <f>IF($M758="En retard",$N758+ROW()/100000,"")</f>
        <v/>
      </c>
      <c r="S758">
        <f>IF(OR($F758="",$I758=""),"",$F758+ROW()/100000)</f>
        <v/>
      </c>
      <c r="T758">
        <f>IF($I758="","",IFERROR(INDEX(LIV_Cat,MATCH($I758,LIV_Code,0)),""))</f>
        <v/>
      </c>
    </row>
    <row r="759" ht="21" customHeight="1">
      <c r="A759" s="1" t="n"/>
      <c r="B759" s="1" t="n"/>
      <c r="C759" s="2" t="n"/>
      <c r="E759" s="130">
        <f>IF($F759="","","EMP-"&amp;TEXT(ROW()-6,"0000"))</f>
        <v/>
      </c>
      <c r="F759" s="134" t="n"/>
      <c r="G759" s="127" t="n"/>
      <c r="H759" s="130">
        <f>IF($G759="","",IFERROR(INDEX(MEM_Nom,MATCH($G759,MEM_ID,0)),"⚠ ID inconnu"))</f>
        <v/>
      </c>
      <c r="I759" s="127" t="n"/>
      <c r="J759" s="130">
        <f>IF($I759="","",IFERROR(INDEX(LIV_Titre,MATCH($I759,LIV_Code,0)),"⚠ Code inconnu"))</f>
        <v/>
      </c>
      <c r="K759" s="138">
        <f>IF($F759="","",$F759+P_Duree)</f>
        <v/>
      </c>
      <c r="L759" s="134" t="n"/>
      <c r="M759" s="130">
        <f>IF(OR($F759="",$I759=""),"",IF($L759&lt;&gt;"",IF($L759&gt;$K759,"Rendu en retard","Rendu"),IF(TODAY()&gt;$K759,"En retard","En cours")))</f>
        <v/>
      </c>
      <c r="N759" s="139">
        <f>IF(OR($F759="",$I759=""),"",MAX(0,IF($L759&lt;&gt;"",$L759,TODAY())-$K759))</f>
        <v/>
      </c>
      <c r="O759" s="135">
        <f>IF(OR($F759="",$I759=""),"",$N759*P_Amende)</f>
        <v/>
      </c>
      <c r="P759" s="133" t="n"/>
      <c r="R759">
        <f>IF($M759="En retard",$N759+ROW()/100000,"")</f>
        <v/>
      </c>
      <c r="S759">
        <f>IF(OR($F759="",$I759=""),"",$F759+ROW()/100000)</f>
        <v/>
      </c>
      <c r="T759">
        <f>IF($I759="","",IFERROR(INDEX(LIV_Cat,MATCH($I759,LIV_Code,0)),""))</f>
        <v/>
      </c>
    </row>
    <row r="760" ht="21" customHeight="1">
      <c r="A760" s="1" t="n"/>
      <c r="B760" s="1" t="n"/>
      <c r="C760" s="2" t="n"/>
      <c r="E760" s="130">
        <f>IF($F760="","","EMP-"&amp;TEXT(ROW()-6,"0000"))</f>
        <v/>
      </c>
      <c r="F760" s="134" t="n"/>
      <c r="G760" s="127" t="n"/>
      <c r="H760" s="130">
        <f>IF($G760="","",IFERROR(INDEX(MEM_Nom,MATCH($G760,MEM_ID,0)),"⚠ ID inconnu"))</f>
        <v/>
      </c>
      <c r="I760" s="127" t="n"/>
      <c r="J760" s="130">
        <f>IF($I760="","",IFERROR(INDEX(LIV_Titre,MATCH($I760,LIV_Code,0)),"⚠ Code inconnu"))</f>
        <v/>
      </c>
      <c r="K760" s="138">
        <f>IF($F760="","",$F760+P_Duree)</f>
        <v/>
      </c>
      <c r="L760" s="134" t="n"/>
      <c r="M760" s="130">
        <f>IF(OR($F760="",$I760=""),"",IF($L760&lt;&gt;"",IF($L760&gt;$K760,"Rendu en retard","Rendu"),IF(TODAY()&gt;$K760,"En retard","En cours")))</f>
        <v/>
      </c>
      <c r="N760" s="139">
        <f>IF(OR($F760="",$I760=""),"",MAX(0,IF($L760&lt;&gt;"",$L760,TODAY())-$K760))</f>
        <v/>
      </c>
      <c r="O760" s="135">
        <f>IF(OR($F760="",$I760=""),"",$N760*P_Amende)</f>
        <v/>
      </c>
      <c r="P760" s="133" t="n"/>
      <c r="R760">
        <f>IF($M760="En retard",$N760+ROW()/100000,"")</f>
        <v/>
      </c>
      <c r="S760">
        <f>IF(OR($F760="",$I760=""),"",$F760+ROW()/100000)</f>
        <v/>
      </c>
      <c r="T760">
        <f>IF($I760="","",IFERROR(INDEX(LIV_Cat,MATCH($I760,LIV_Code,0)),""))</f>
        <v/>
      </c>
    </row>
    <row r="761" ht="21" customHeight="1">
      <c r="A761" s="1" t="n"/>
      <c r="B761" s="1" t="n"/>
      <c r="C761" s="2" t="n"/>
      <c r="E761" s="130">
        <f>IF($F761="","","EMP-"&amp;TEXT(ROW()-6,"0000"))</f>
        <v/>
      </c>
      <c r="F761" s="134" t="n"/>
      <c r="G761" s="127" t="n"/>
      <c r="H761" s="130">
        <f>IF($G761="","",IFERROR(INDEX(MEM_Nom,MATCH($G761,MEM_ID,0)),"⚠ ID inconnu"))</f>
        <v/>
      </c>
      <c r="I761" s="127" t="n"/>
      <c r="J761" s="130">
        <f>IF($I761="","",IFERROR(INDEX(LIV_Titre,MATCH($I761,LIV_Code,0)),"⚠ Code inconnu"))</f>
        <v/>
      </c>
      <c r="K761" s="138">
        <f>IF($F761="","",$F761+P_Duree)</f>
        <v/>
      </c>
      <c r="L761" s="134" t="n"/>
      <c r="M761" s="130">
        <f>IF(OR($F761="",$I761=""),"",IF($L761&lt;&gt;"",IF($L761&gt;$K761,"Rendu en retard","Rendu"),IF(TODAY()&gt;$K761,"En retard","En cours")))</f>
        <v/>
      </c>
      <c r="N761" s="139">
        <f>IF(OR($F761="",$I761=""),"",MAX(0,IF($L761&lt;&gt;"",$L761,TODAY())-$K761))</f>
        <v/>
      </c>
      <c r="O761" s="135">
        <f>IF(OR($F761="",$I761=""),"",$N761*P_Amende)</f>
        <v/>
      </c>
      <c r="P761" s="133" t="n"/>
      <c r="R761">
        <f>IF($M761="En retard",$N761+ROW()/100000,"")</f>
        <v/>
      </c>
      <c r="S761">
        <f>IF(OR($F761="",$I761=""),"",$F761+ROW()/100000)</f>
        <v/>
      </c>
      <c r="T761">
        <f>IF($I761="","",IFERROR(INDEX(LIV_Cat,MATCH($I761,LIV_Code,0)),""))</f>
        <v/>
      </c>
    </row>
    <row r="762" ht="21" customHeight="1">
      <c r="A762" s="1" t="n"/>
      <c r="B762" s="1" t="n"/>
      <c r="C762" s="2" t="n"/>
      <c r="E762" s="130">
        <f>IF($F762="","","EMP-"&amp;TEXT(ROW()-6,"0000"))</f>
        <v/>
      </c>
      <c r="F762" s="134" t="n"/>
      <c r="G762" s="127" t="n"/>
      <c r="H762" s="130">
        <f>IF($G762="","",IFERROR(INDEX(MEM_Nom,MATCH($G762,MEM_ID,0)),"⚠ ID inconnu"))</f>
        <v/>
      </c>
      <c r="I762" s="127" t="n"/>
      <c r="J762" s="130">
        <f>IF($I762="","",IFERROR(INDEX(LIV_Titre,MATCH($I762,LIV_Code,0)),"⚠ Code inconnu"))</f>
        <v/>
      </c>
      <c r="K762" s="138">
        <f>IF($F762="","",$F762+P_Duree)</f>
        <v/>
      </c>
      <c r="L762" s="134" t="n"/>
      <c r="M762" s="130">
        <f>IF(OR($F762="",$I762=""),"",IF($L762&lt;&gt;"",IF($L762&gt;$K762,"Rendu en retard","Rendu"),IF(TODAY()&gt;$K762,"En retard","En cours")))</f>
        <v/>
      </c>
      <c r="N762" s="139">
        <f>IF(OR($F762="",$I762=""),"",MAX(0,IF($L762&lt;&gt;"",$L762,TODAY())-$K762))</f>
        <v/>
      </c>
      <c r="O762" s="135">
        <f>IF(OR($F762="",$I762=""),"",$N762*P_Amende)</f>
        <v/>
      </c>
      <c r="P762" s="133" t="n"/>
      <c r="R762">
        <f>IF($M762="En retard",$N762+ROW()/100000,"")</f>
        <v/>
      </c>
      <c r="S762">
        <f>IF(OR($F762="",$I762=""),"",$F762+ROW()/100000)</f>
        <v/>
      </c>
      <c r="T762">
        <f>IF($I762="","",IFERROR(INDEX(LIV_Cat,MATCH($I762,LIV_Code,0)),""))</f>
        <v/>
      </c>
    </row>
    <row r="763" ht="21" customHeight="1">
      <c r="A763" s="1" t="n"/>
      <c r="B763" s="1" t="n"/>
      <c r="C763" s="2" t="n"/>
      <c r="E763" s="130">
        <f>IF($F763="","","EMP-"&amp;TEXT(ROW()-6,"0000"))</f>
        <v/>
      </c>
      <c r="F763" s="134" t="n"/>
      <c r="G763" s="127" t="n"/>
      <c r="H763" s="130">
        <f>IF($G763="","",IFERROR(INDEX(MEM_Nom,MATCH($G763,MEM_ID,0)),"⚠ ID inconnu"))</f>
        <v/>
      </c>
      <c r="I763" s="127" t="n"/>
      <c r="J763" s="130">
        <f>IF($I763="","",IFERROR(INDEX(LIV_Titre,MATCH($I763,LIV_Code,0)),"⚠ Code inconnu"))</f>
        <v/>
      </c>
      <c r="K763" s="138">
        <f>IF($F763="","",$F763+P_Duree)</f>
        <v/>
      </c>
      <c r="L763" s="134" t="n"/>
      <c r="M763" s="130">
        <f>IF(OR($F763="",$I763=""),"",IF($L763&lt;&gt;"",IF($L763&gt;$K763,"Rendu en retard","Rendu"),IF(TODAY()&gt;$K763,"En retard","En cours")))</f>
        <v/>
      </c>
      <c r="N763" s="139">
        <f>IF(OR($F763="",$I763=""),"",MAX(0,IF($L763&lt;&gt;"",$L763,TODAY())-$K763))</f>
        <v/>
      </c>
      <c r="O763" s="135">
        <f>IF(OR($F763="",$I763=""),"",$N763*P_Amende)</f>
        <v/>
      </c>
      <c r="P763" s="133" t="n"/>
      <c r="R763">
        <f>IF($M763="En retard",$N763+ROW()/100000,"")</f>
        <v/>
      </c>
      <c r="S763">
        <f>IF(OR($F763="",$I763=""),"",$F763+ROW()/100000)</f>
        <v/>
      </c>
      <c r="T763">
        <f>IF($I763="","",IFERROR(INDEX(LIV_Cat,MATCH($I763,LIV_Code,0)),""))</f>
        <v/>
      </c>
    </row>
    <row r="764" ht="21" customHeight="1">
      <c r="A764" s="1" t="n"/>
      <c r="B764" s="1" t="n"/>
      <c r="C764" s="2" t="n"/>
      <c r="E764" s="130">
        <f>IF($F764="","","EMP-"&amp;TEXT(ROW()-6,"0000"))</f>
        <v/>
      </c>
      <c r="F764" s="134" t="n"/>
      <c r="G764" s="127" t="n"/>
      <c r="H764" s="130">
        <f>IF($G764="","",IFERROR(INDEX(MEM_Nom,MATCH($G764,MEM_ID,0)),"⚠ ID inconnu"))</f>
        <v/>
      </c>
      <c r="I764" s="127" t="n"/>
      <c r="J764" s="130">
        <f>IF($I764="","",IFERROR(INDEX(LIV_Titre,MATCH($I764,LIV_Code,0)),"⚠ Code inconnu"))</f>
        <v/>
      </c>
      <c r="K764" s="138">
        <f>IF($F764="","",$F764+P_Duree)</f>
        <v/>
      </c>
      <c r="L764" s="134" t="n"/>
      <c r="M764" s="130">
        <f>IF(OR($F764="",$I764=""),"",IF($L764&lt;&gt;"",IF($L764&gt;$K764,"Rendu en retard","Rendu"),IF(TODAY()&gt;$K764,"En retard","En cours")))</f>
        <v/>
      </c>
      <c r="N764" s="139">
        <f>IF(OR($F764="",$I764=""),"",MAX(0,IF($L764&lt;&gt;"",$L764,TODAY())-$K764))</f>
        <v/>
      </c>
      <c r="O764" s="135">
        <f>IF(OR($F764="",$I764=""),"",$N764*P_Amende)</f>
        <v/>
      </c>
      <c r="P764" s="133" t="n"/>
      <c r="R764">
        <f>IF($M764="En retard",$N764+ROW()/100000,"")</f>
        <v/>
      </c>
      <c r="S764">
        <f>IF(OR($F764="",$I764=""),"",$F764+ROW()/100000)</f>
        <v/>
      </c>
      <c r="T764">
        <f>IF($I764="","",IFERROR(INDEX(LIV_Cat,MATCH($I764,LIV_Code,0)),""))</f>
        <v/>
      </c>
    </row>
    <row r="765" ht="21" customHeight="1">
      <c r="A765" s="1" t="n"/>
      <c r="B765" s="1" t="n"/>
      <c r="C765" s="2" t="n"/>
      <c r="E765" s="130">
        <f>IF($F765="","","EMP-"&amp;TEXT(ROW()-6,"0000"))</f>
        <v/>
      </c>
      <c r="F765" s="134" t="n"/>
      <c r="G765" s="127" t="n"/>
      <c r="H765" s="130">
        <f>IF($G765="","",IFERROR(INDEX(MEM_Nom,MATCH($G765,MEM_ID,0)),"⚠ ID inconnu"))</f>
        <v/>
      </c>
      <c r="I765" s="127" t="n"/>
      <c r="J765" s="130">
        <f>IF($I765="","",IFERROR(INDEX(LIV_Titre,MATCH($I765,LIV_Code,0)),"⚠ Code inconnu"))</f>
        <v/>
      </c>
      <c r="K765" s="138">
        <f>IF($F765="","",$F765+P_Duree)</f>
        <v/>
      </c>
      <c r="L765" s="134" t="n"/>
      <c r="M765" s="130">
        <f>IF(OR($F765="",$I765=""),"",IF($L765&lt;&gt;"",IF($L765&gt;$K765,"Rendu en retard","Rendu"),IF(TODAY()&gt;$K765,"En retard","En cours")))</f>
        <v/>
      </c>
      <c r="N765" s="139">
        <f>IF(OR($F765="",$I765=""),"",MAX(0,IF($L765&lt;&gt;"",$L765,TODAY())-$K765))</f>
        <v/>
      </c>
      <c r="O765" s="135">
        <f>IF(OR($F765="",$I765=""),"",$N765*P_Amende)</f>
        <v/>
      </c>
      <c r="P765" s="133" t="n"/>
      <c r="R765">
        <f>IF($M765="En retard",$N765+ROW()/100000,"")</f>
        <v/>
      </c>
      <c r="S765">
        <f>IF(OR($F765="",$I765=""),"",$F765+ROW()/100000)</f>
        <v/>
      </c>
      <c r="T765">
        <f>IF($I765="","",IFERROR(INDEX(LIV_Cat,MATCH($I765,LIV_Code,0)),""))</f>
        <v/>
      </c>
    </row>
    <row r="766" ht="21" customHeight="1">
      <c r="A766" s="1" t="n"/>
      <c r="B766" s="1" t="n"/>
      <c r="C766" s="2" t="n"/>
      <c r="E766" s="130">
        <f>IF($F766="","","EMP-"&amp;TEXT(ROW()-6,"0000"))</f>
        <v/>
      </c>
      <c r="F766" s="134" t="n"/>
      <c r="G766" s="127" t="n"/>
      <c r="H766" s="130">
        <f>IF($G766="","",IFERROR(INDEX(MEM_Nom,MATCH($G766,MEM_ID,0)),"⚠ ID inconnu"))</f>
        <v/>
      </c>
      <c r="I766" s="127" t="n"/>
      <c r="J766" s="130">
        <f>IF($I766="","",IFERROR(INDEX(LIV_Titre,MATCH($I766,LIV_Code,0)),"⚠ Code inconnu"))</f>
        <v/>
      </c>
      <c r="K766" s="138">
        <f>IF($F766="","",$F766+P_Duree)</f>
        <v/>
      </c>
      <c r="L766" s="134" t="n"/>
      <c r="M766" s="130">
        <f>IF(OR($F766="",$I766=""),"",IF($L766&lt;&gt;"",IF($L766&gt;$K766,"Rendu en retard","Rendu"),IF(TODAY()&gt;$K766,"En retard","En cours")))</f>
        <v/>
      </c>
      <c r="N766" s="139">
        <f>IF(OR($F766="",$I766=""),"",MAX(0,IF($L766&lt;&gt;"",$L766,TODAY())-$K766))</f>
        <v/>
      </c>
      <c r="O766" s="135">
        <f>IF(OR($F766="",$I766=""),"",$N766*P_Amende)</f>
        <v/>
      </c>
      <c r="P766" s="133" t="n"/>
      <c r="R766">
        <f>IF($M766="En retard",$N766+ROW()/100000,"")</f>
        <v/>
      </c>
      <c r="S766">
        <f>IF(OR($F766="",$I766=""),"",$F766+ROW()/100000)</f>
        <v/>
      </c>
      <c r="T766">
        <f>IF($I766="","",IFERROR(INDEX(LIV_Cat,MATCH($I766,LIV_Code,0)),""))</f>
        <v/>
      </c>
    </row>
    <row r="767" ht="21" customHeight="1">
      <c r="A767" s="1" t="n"/>
      <c r="B767" s="1" t="n"/>
      <c r="C767" s="2" t="n"/>
      <c r="E767" s="130">
        <f>IF($F767="","","EMP-"&amp;TEXT(ROW()-6,"0000"))</f>
        <v/>
      </c>
      <c r="F767" s="134" t="n"/>
      <c r="G767" s="127" t="n"/>
      <c r="H767" s="130">
        <f>IF($G767="","",IFERROR(INDEX(MEM_Nom,MATCH($G767,MEM_ID,0)),"⚠ ID inconnu"))</f>
        <v/>
      </c>
      <c r="I767" s="127" t="n"/>
      <c r="J767" s="130">
        <f>IF($I767="","",IFERROR(INDEX(LIV_Titre,MATCH($I767,LIV_Code,0)),"⚠ Code inconnu"))</f>
        <v/>
      </c>
      <c r="K767" s="138">
        <f>IF($F767="","",$F767+P_Duree)</f>
        <v/>
      </c>
      <c r="L767" s="134" t="n"/>
      <c r="M767" s="130">
        <f>IF(OR($F767="",$I767=""),"",IF($L767&lt;&gt;"",IF($L767&gt;$K767,"Rendu en retard","Rendu"),IF(TODAY()&gt;$K767,"En retard","En cours")))</f>
        <v/>
      </c>
      <c r="N767" s="139">
        <f>IF(OR($F767="",$I767=""),"",MAX(0,IF($L767&lt;&gt;"",$L767,TODAY())-$K767))</f>
        <v/>
      </c>
      <c r="O767" s="135">
        <f>IF(OR($F767="",$I767=""),"",$N767*P_Amende)</f>
        <v/>
      </c>
      <c r="P767" s="133" t="n"/>
      <c r="R767">
        <f>IF($M767="En retard",$N767+ROW()/100000,"")</f>
        <v/>
      </c>
      <c r="S767">
        <f>IF(OR($F767="",$I767=""),"",$F767+ROW()/100000)</f>
        <v/>
      </c>
      <c r="T767">
        <f>IF($I767="","",IFERROR(INDEX(LIV_Cat,MATCH($I767,LIV_Code,0)),""))</f>
        <v/>
      </c>
    </row>
    <row r="768" ht="21" customHeight="1">
      <c r="A768" s="1" t="n"/>
      <c r="B768" s="1" t="n"/>
      <c r="C768" s="2" t="n"/>
      <c r="E768" s="130">
        <f>IF($F768="","","EMP-"&amp;TEXT(ROW()-6,"0000"))</f>
        <v/>
      </c>
      <c r="F768" s="134" t="n"/>
      <c r="G768" s="127" t="n"/>
      <c r="H768" s="130">
        <f>IF($G768="","",IFERROR(INDEX(MEM_Nom,MATCH($G768,MEM_ID,0)),"⚠ ID inconnu"))</f>
        <v/>
      </c>
      <c r="I768" s="127" t="n"/>
      <c r="J768" s="130">
        <f>IF($I768="","",IFERROR(INDEX(LIV_Titre,MATCH($I768,LIV_Code,0)),"⚠ Code inconnu"))</f>
        <v/>
      </c>
      <c r="K768" s="138">
        <f>IF($F768="","",$F768+P_Duree)</f>
        <v/>
      </c>
      <c r="L768" s="134" t="n"/>
      <c r="M768" s="130">
        <f>IF(OR($F768="",$I768=""),"",IF($L768&lt;&gt;"",IF($L768&gt;$K768,"Rendu en retard","Rendu"),IF(TODAY()&gt;$K768,"En retard","En cours")))</f>
        <v/>
      </c>
      <c r="N768" s="139">
        <f>IF(OR($F768="",$I768=""),"",MAX(0,IF($L768&lt;&gt;"",$L768,TODAY())-$K768))</f>
        <v/>
      </c>
      <c r="O768" s="135">
        <f>IF(OR($F768="",$I768=""),"",$N768*P_Amende)</f>
        <v/>
      </c>
      <c r="P768" s="133" t="n"/>
      <c r="R768">
        <f>IF($M768="En retard",$N768+ROW()/100000,"")</f>
        <v/>
      </c>
      <c r="S768">
        <f>IF(OR($F768="",$I768=""),"",$F768+ROW()/100000)</f>
        <v/>
      </c>
      <c r="T768">
        <f>IF($I768="","",IFERROR(INDEX(LIV_Cat,MATCH($I768,LIV_Code,0)),""))</f>
        <v/>
      </c>
    </row>
    <row r="769" ht="21" customHeight="1">
      <c r="A769" s="1" t="n"/>
      <c r="B769" s="1" t="n"/>
      <c r="C769" s="2" t="n"/>
      <c r="E769" s="130">
        <f>IF($F769="","","EMP-"&amp;TEXT(ROW()-6,"0000"))</f>
        <v/>
      </c>
      <c r="F769" s="134" t="n"/>
      <c r="G769" s="127" t="n"/>
      <c r="H769" s="130">
        <f>IF($G769="","",IFERROR(INDEX(MEM_Nom,MATCH($G769,MEM_ID,0)),"⚠ ID inconnu"))</f>
        <v/>
      </c>
      <c r="I769" s="127" t="n"/>
      <c r="J769" s="130">
        <f>IF($I769="","",IFERROR(INDEX(LIV_Titre,MATCH($I769,LIV_Code,0)),"⚠ Code inconnu"))</f>
        <v/>
      </c>
      <c r="K769" s="138">
        <f>IF($F769="","",$F769+P_Duree)</f>
        <v/>
      </c>
      <c r="L769" s="134" t="n"/>
      <c r="M769" s="130">
        <f>IF(OR($F769="",$I769=""),"",IF($L769&lt;&gt;"",IF($L769&gt;$K769,"Rendu en retard","Rendu"),IF(TODAY()&gt;$K769,"En retard","En cours")))</f>
        <v/>
      </c>
      <c r="N769" s="139">
        <f>IF(OR($F769="",$I769=""),"",MAX(0,IF($L769&lt;&gt;"",$L769,TODAY())-$K769))</f>
        <v/>
      </c>
      <c r="O769" s="135">
        <f>IF(OR($F769="",$I769=""),"",$N769*P_Amende)</f>
        <v/>
      </c>
      <c r="P769" s="133" t="n"/>
      <c r="R769">
        <f>IF($M769="En retard",$N769+ROW()/100000,"")</f>
        <v/>
      </c>
      <c r="S769">
        <f>IF(OR($F769="",$I769=""),"",$F769+ROW()/100000)</f>
        <v/>
      </c>
      <c r="T769">
        <f>IF($I769="","",IFERROR(INDEX(LIV_Cat,MATCH($I769,LIV_Code,0)),""))</f>
        <v/>
      </c>
    </row>
    <row r="770" ht="21" customHeight="1">
      <c r="A770" s="1" t="n"/>
      <c r="B770" s="1" t="n"/>
      <c r="C770" s="2" t="n"/>
      <c r="E770" s="130">
        <f>IF($F770="","","EMP-"&amp;TEXT(ROW()-6,"0000"))</f>
        <v/>
      </c>
      <c r="F770" s="134" t="n"/>
      <c r="G770" s="127" t="n"/>
      <c r="H770" s="130">
        <f>IF($G770="","",IFERROR(INDEX(MEM_Nom,MATCH($G770,MEM_ID,0)),"⚠ ID inconnu"))</f>
        <v/>
      </c>
      <c r="I770" s="127" t="n"/>
      <c r="J770" s="130">
        <f>IF($I770="","",IFERROR(INDEX(LIV_Titre,MATCH($I770,LIV_Code,0)),"⚠ Code inconnu"))</f>
        <v/>
      </c>
      <c r="K770" s="138">
        <f>IF($F770="","",$F770+P_Duree)</f>
        <v/>
      </c>
      <c r="L770" s="134" t="n"/>
      <c r="M770" s="130">
        <f>IF(OR($F770="",$I770=""),"",IF($L770&lt;&gt;"",IF($L770&gt;$K770,"Rendu en retard","Rendu"),IF(TODAY()&gt;$K770,"En retard","En cours")))</f>
        <v/>
      </c>
      <c r="N770" s="139">
        <f>IF(OR($F770="",$I770=""),"",MAX(0,IF($L770&lt;&gt;"",$L770,TODAY())-$K770))</f>
        <v/>
      </c>
      <c r="O770" s="135">
        <f>IF(OR($F770="",$I770=""),"",$N770*P_Amende)</f>
        <v/>
      </c>
      <c r="P770" s="133" t="n"/>
      <c r="R770">
        <f>IF($M770="En retard",$N770+ROW()/100000,"")</f>
        <v/>
      </c>
      <c r="S770">
        <f>IF(OR($F770="",$I770=""),"",$F770+ROW()/100000)</f>
        <v/>
      </c>
      <c r="T770">
        <f>IF($I770="","",IFERROR(INDEX(LIV_Cat,MATCH($I770,LIV_Code,0)),""))</f>
        <v/>
      </c>
    </row>
    <row r="771" ht="21" customHeight="1">
      <c r="A771" s="1" t="n"/>
      <c r="B771" s="1" t="n"/>
      <c r="C771" s="2" t="n"/>
      <c r="E771" s="130">
        <f>IF($F771="","","EMP-"&amp;TEXT(ROW()-6,"0000"))</f>
        <v/>
      </c>
      <c r="F771" s="134" t="n"/>
      <c r="G771" s="127" t="n"/>
      <c r="H771" s="130">
        <f>IF($G771="","",IFERROR(INDEX(MEM_Nom,MATCH($G771,MEM_ID,0)),"⚠ ID inconnu"))</f>
        <v/>
      </c>
      <c r="I771" s="127" t="n"/>
      <c r="J771" s="130">
        <f>IF($I771="","",IFERROR(INDEX(LIV_Titre,MATCH($I771,LIV_Code,0)),"⚠ Code inconnu"))</f>
        <v/>
      </c>
      <c r="K771" s="138">
        <f>IF($F771="","",$F771+P_Duree)</f>
        <v/>
      </c>
      <c r="L771" s="134" t="n"/>
      <c r="M771" s="130">
        <f>IF(OR($F771="",$I771=""),"",IF($L771&lt;&gt;"",IF($L771&gt;$K771,"Rendu en retard","Rendu"),IF(TODAY()&gt;$K771,"En retard","En cours")))</f>
        <v/>
      </c>
      <c r="N771" s="139">
        <f>IF(OR($F771="",$I771=""),"",MAX(0,IF($L771&lt;&gt;"",$L771,TODAY())-$K771))</f>
        <v/>
      </c>
      <c r="O771" s="135">
        <f>IF(OR($F771="",$I771=""),"",$N771*P_Amende)</f>
        <v/>
      </c>
      <c r="P771" s="133" t="n"/>
      <c r="R771">
        <f>IF($M771="En retard",$N771+ROW()/100000,"")</f>
        <v/>
      </c>
      <c r="S771">
        <f>IF(OR($F771="",$I771=""),"",$F771+ROW()/100000)</f>
        <v/>
      </c>
      <c r="T771">
        <f>IF($I771="","",IFERROR(INDEX(LIV_Cat,MATCH($I771,LIV_Code,0)),""))</f>
        <v/>
      </c>
    </row>
    <row r="772" ht="21" customHeight="1">
      <c r="A772" s="1" t="n"/>
      <c r="B772" s="1" t="n"/>
      <c r="C772" s="2" t="n"/>
      <c r="E772" s="130">
        <f>IF($F772="","","EMP-"&amp;TEXT(ROW()-6,"0000"))</f>
        <v/>
      </c>
      <c r="F772" s="134" t="n"/>
      <c r="G772" s="127" t="n"/>
      <c r="H772" s="130">
        <f>IF($G772="","",IFERROR(INDEX(MEM_Nom,MATCH($G772,MEM_ID,0)),"⚠ ID inconnu"))</f>
        <v/>
      </c>
      <c r="I772" s="127" t="n"/>
      <c r="J772" s="130">
        <f>IF($I772="","",IFERROR(INDEX(LIV_Titre,MATCH($I772,LIV_Code,0)),"⚠ Code inconnu"))</f>
        <v/>
      </c>
      <c r="K772" s="138">
        <f>IF($F772="","",$F772+P_Duree)</f>
        <v/>
      </c>
      <c r="L772" s="134" t="n"/>
      <c r="M772" s="130">
        <f>IF(OR($F772="",$I772=""),"",IF($L772&lt;&gt;"",IF($L772&gt;$K772,"Rendu en retard","Rendu"),IF(TODAY()&gt;$K772,"En retard","En cours")))</f>
        <v/>
      </c>
      <c r="N772" s="139">
        <f>IF(OR($F772="",$I772=""),"",MAX(0,IF($L772&lt;&gt;"",$L772,TODAY())-$K772))</f>
        <v/>
      </c>
      <c r="O772" s="135">
        <f>IF(OR($F772="",$I772=""),"",$N772*P_Amende)</f>
        <v/>
      </c>
      <c r="P772" s="133" t="n"/>
      <c r="R772">
        <f>IF($M772="En retard",$N772+ROW()/100000,"")</f>
        <v/>
      </c>
      <c r="S772">
        <f>IF(OR($F772="",$I772=""),"",$F772+ROW()/100000)</f>
        <v/>
      </c>
      <c r="T772">
        <f>IF($I772="","",IFERROR(INDEX(LIV_Cat,MATCH($I772,LIV_Code,0)),""))</f>
        <v/>
      </c>
    </row>
    <row r="773" ht="21" customHeight="1">
      <c r="A773" s="1" t="n"/>
      <c r="B773" s="1" t="n"/>
      <c r="C773" s="2" t="n"/>
      <c r="E773" s="130">
        <f>IF($F773="","","EMP-"&amp;TEXT(ROW()-6,"0000"))</f>
        <v/>
      </c>
      <c r="F773" s="134" t="n"/>
      <c r="G773" s="127" t="n"/>
      <c r="H773" s="130">
        <f>IF($G773="","",IFERROR(INDEX(MEM_Nom,MATCH($G773,MEM_ID,0)),"⚠ ID inconnu"))</f>
        <v/>
      </c>
      <c r="I773" s="127" t="n"/>
      <c r="J773" s="130">
        <f>IF($I773="","",IFERROR(INDEX(LIV_Titre,MATCH($I773,LIV_Code,0)),"⚠ Code inconnu"))</f>
        <v/>
      </c>
      <c r="K773" s="138">
        <f>IF($F773="","",$F773+P_Duree)</f>
        <v/>
      </c>
      <c r="L773" s="134" t="n"/>
      <c r="M773" s="130">
        <f>IF(OR($F773="",$I773=""),"",IF($L773&lt;&gt;"",IF($L773&gt;$K773,"Rendu en retard","Rendu"),IF(TODAY()&gt;$K773,"En retard","En cours")))</f>
        <v/>
      </c>
      <c r="N773" s="139">
        <f>IF(OR($F773="",$I773=""),"",MAX(0,IF($L773&lt;&gt;"",$L773,TODAY())-$K773))</f>
        <v/>
      </c>
      <c r="O773" s="135">
        <f>IF(OR($F773="",$I773=""),"",$N773*P_Amende)</f>
        <v/>
      </c>
      <c r="P773" s="133" t="n"/>
      <c r="R773">
        <f>IF($M773="En retard",$N773+ROW()/100000,"")</f>
        <v/>
      </c>
      <c r="S773">
        <f>IF(OR($F773="",$I773=""),"",$F773+ROW()/100000)</f>
        <v/>
      </c>
      <c r="T773">
        <f>IF($I773="","",IFERROR(INDEX(LIV_Cat,MATCH($I773,LIV_Code,0)),""))</f>
        <v/>
      </c>
    </row>
    <row r="774" ht="21" customHeight="1">
      <c r="A774" s="1" t="n"/>
      <c r="B774" s="1" t="n"/>
      <c r="C774" s="2" t="n"/>
      <c r="E774" s="130">
        <f>IF($F774="","","EMP-"&amp;TEXT(ROW()-6,"0000"))</f>
        <v/>
      </c>
      <c r="F774" s="134" t="n"/>
      <c r="G774" s="127" t="n"/>
      <c r="H774" s="130">
        <f>IF($G774="","",IFERROR(INDEX(MEM_Nom,MATCH($G774,MEM_ID,0)),"⚠ ID inconnu"))</f>
        <v/>
      </c>
      <c r="I774" s="127" t="n"/>
      <c r="J774" s="130">
        <f>IF($I774="","",IFERROR(INDEX(LIV_Titre,MATCH($I774,LIV_Code,0)),"⚠ Code inconnu"))</f>
        <v/>
      </c>
      <c r="K774" s="138">
        <f>IF($F774="","",$F774+P_Duree)</f>
        <v/>
      </c>
      <c r="L774" s="134" t="n"/>
      <c r="M774" s="130">
        <f>IF(OR($F774="",$I774=""),"",IF($L774&lt;&gt;"",IF($L774&gt;$K774,"Rendu en retard","Rendu"),IF(TODAY()&gt;$K774,"En retard","En cours")))</f>
        <v/>
      </c>
      <c r="N774" s="139">
        <f>IF(OR($F774="",$I774=""),"",MAX(0,IF($L774&lt;&gt;"",$L774,TODAY())-$K774))</f>
        <v/>
      </c>
      <c r="O774" s="135">
        <f>IF(OR($F774="",$I774=""),"",$N774*P_Amende)</f>
        <v/>
      </c>
      <c r="P774" s="133" t="n"/>
      <c r="R774">
        <f>IF($M774="En retard",$N774+ROW()/100000,"")</f>
        <v/>
      </c>
      <c r="S774">
        <f>IF(OR($F774="",$I774=""),"",$F774+ROW()/100000)</f>
        <v/>
      </c>
      <c r="T774">
        <f>IF($I774="","",IFERROR(INDEX(LIV_Cat,MATCH($I774,LIV_Code,0)),""))</f>
        <v/>
      </c>
    </row>
    <row r="775" ht="21" customHeight="1">
      <c r="A775" s="1" t="n"/>
      <c r="B775" s="1" t="n"/>
      <c r="C775" s="2" t="n"/>
      <c r="E775" s="130">
        <f>IF($F775="","","EMP-"&amp;TEXT(ROW()-6,"0000"))</f>
        <v/>
      </c>
      <c r="F775" s="134" t="n"/>
      <c r="G775" s="127" t="n"/>
      <c r="H775" s="130">
        <f>IF($G775="","",IFERROR(INDEX(MEM_Nom,MATCH($G775,MEM_ID,0)),"⚠ ID inconnu"))</f>
        <v/>
      </c>
      <c r="I775" s="127" t="n"/>
      <c r="J775" s="130">
        <f>IF($I775="","",IFERROR(INDEX(LIV_Titre,MATCH($I775,LIV_Code,0)),"⚠ Code inconnu"))</f>
        <v/>
      </c>
      <c r="K775" s="138">
        <f>IF($F775="","",$F775+P_Duree)</f>
        <v/>
      </c>
      <c r="L775" s="134" t="n"/>
      <c r="M775" s="130">
        <f>IF(OR($F775="",$I775=""),"",IF($L775&lt;&gt;"",IF($L775&gt;$K775,"Rendu en retard","Rendu"),IF(TODAY()&gt;$K775,"En retard","En cours")))</f>
        <v/>
      </c>
      <c r="N775" s="139">
        <f>IF(OR($F775="",$I775=""),"",MAX(0,IF($L775&lt;&gt;"",$L775,TODAY())-$K775))</f>
        <v/>
      </c>
      <c r="O775" s="135">
        <f>IF(OR($F775="",$I775=""),"",$N775*P_Amende)</f>
        <v/>
      </c>
      <c r="P775" s="133" t="n"/>
      <c r="R775">
        <f>IF($M775="En retard",$N775+ROW()/100000,"")</f>
        <v/>
      </c>
      <c r="S775">
        <f>IF(OR($F775="",$I775=""),"",$F775+ROW()/100000)</f>
        <v/>
      </c>
      <c r="T775">
        <f>IF($I775="","",IFERROR(INDEX(LIV_Cat,MATCH($I775,LIV_Code,0)),""))</f>
        <v/>
      </c>
    </row>
    <row r="776" ht="21" customHeight="1">
      <c r="A776" s="1" t="n"/>
      <c r="B776" s="1" t="n"/>
      <c r="C776" s="2" t="n"/>
      <c r="E776" s="130">
        <f>IF($F776="","","EMP-"&amp;TEXT(ROW()-6,"0000"))</f>
        <v/>
      </c>
      <c r="F776" s="134" t="n"/>
      <c r="G776" s="127" t="n"/>
      <c r="H776" s="130">
        <f>IF($G776="","",IFERROR(INDEX(MEM_Nom,MATCH($G776,MEM_ID,0)),"⚠ ID inconnu"))</f>
        <v/>
      </c>
      <c r="I776" s="127" t="n"/>
      <c r="J776" s="130">
        <f>IF($I776="","",IFERROR(INDEX(LIV_Titre,MATCH($I776,LIV_Code,0)),"⚠ Code inconnu"))</f>
        <v/>
      </c>
      <c r="K776" s="138">
        <f>IF($F776="","",$F776+P_Duree)</f>
        <v/>
      </c>
      <c r="L776" s="134" t="n"/>
      <c r="M776" s="130">
        <f>IF(OR($F776="",$I776=""),"",IF($L776&lt;&gt;"",IF($L776&gt;$K776,"Rendu en retard","Rendu"),IF(TODAY()&gt;$K776,"En retard","En cours")))</f>
        <v/>
      </c>
      <c r="N776" s="139">
        <f>IF(OR($F776="",$I776=""),"",MAX(0,IF($L776&lt;&gt;"",$L776,TODAY())-$K776))</f>
        <v/>
      </c>
      <c r="O776" s="135">
        <f>IF(OR($F776="",$I776=""),"",$N776*P_Amende)</f>
        <v/>
      </c>
      <c r="P776" s="133" t="n"/>
      <c r="R776">
        <f>IF($M776="En retard",$N776+ROW()/100000,"")</f>
        <v/>
      </c>
      <c r="S776">
        <f>IF(OR($F776="",$I776=""),"",$F776+ROW()/100000)</f>
        <v/>
      </c>
      <c r="T776">
        <f>IF($I776="","",IFERROR(INDEX(LIV_Cat,MATCH($I776,LIV_Code,0)),""))</f>
        <v/>
      </c>
    </row>
    <row r="777" ht="21" customHeight="1">
      <c r="A777" s="1" t="n"/>
      <c r="B777" s="1" t="n"/>
      <c r="C777" s="2" t="n"/>
      <c r="E777" s="130">
        <f>IF($F777="","","EMP-"&amp;TEXT(ROW()-6,"0000"))</f>
        <v/>
      </c>
      <c r="F777" s="134" t="n"/>
      <c r="G777" s="127" t="n"/>
      <c r="H777" s="130">
        <f>IF($G777="","",IFERROR(INDEX(MEM_Nom,MATCH($G777,MEM_ID,0)),"⚠ ID inconnu"))</f>
        <v/>
      </c>
      <c r="I777" s="127" t="n"/>
      <c r="J777" s="130">
        <f>IF($I777="","",IFERROR(INDEX(LIV_Titre,MATCH($I777,LIV_Code,0)),"⚠ Code inconnu"))</f>
        <v/>
      </c>
      <c r="K777" s="138">
        <f>IF($F777="","",$F777+P_Duree)</f>
        <v/>
      </c>
      <c r="L777" s="134" t="n"/>
      <c r="M777" s="130">
        <f>IF(OR($F777="",$I777=""),"",IF($L777&lt;&gt;"",IF($L777&gt;$K777,"Rendu en retard","Rendu"),IF(TODAY()&gt;$K777,"En retard","En cours")))</f>
        <v/>
      </c>
      <c r="N777" s="139">
        <f>IF(OR($F777="",$I777=""),"",MAX(0,IF($L777&lt;&gt;"",$L777,TODAY())-$K777))</f>
        <v/>
      </c>
      <c r="O777" s="135">
        <f>IF(OR($F777="",$I777=""),"",$N777*P_Amende)</f>
        <v/>
      </c>
      <c r="P777" s="133" t="n"/>
      <c r="R777">
        <f>IF($M777="En retard",$N777+ROW()/100000,"")</f>
        <v/>
      </c>
      <c r="S777">
        <f>IF(OR($F777="",$I777=""),"",$F777+ROW()/100000)</f>
        <v/>
      </c>
      <c r="T777">
        <f>IF($I777="","",IFERROR(INDEX(LIV_Cat,MATCH($I777,LIV_Code,0)),""))</f>
        <v/>
      </c>
    </row>
    <row r="778" ht="21" customHeight="1">
      <c r="A778" s="1" t="n"/>
      <c r="B778" s="1" t="n"/>
      <c r="C778" s="2" t="n"/>
      <c r="E778" s="130">
        <f>IF($F778="","","EMP-"&amp;TEXT(ROW()-6,"0000"))</f>
        <v/>
      </c>
      <c r="F778" s="134" t="n"/>
      <c r="G778" s="127" t="n"/>
      <c r="H778" s="130">
        <f>IF($G778="","",IFERROR(INDEX(MEM_Nom,MATCH($G778,MEM_ID,0)),"⚠ ID inconnu"))</f>
        <v/>
      </c>
      <c r="I778" s="127" t="n"/>
      <c r="J778" s="130">
        <f>IF($I778="","",IFERROR(INDEX(LIV_Titre,MATCH($I778,LIV_Code,0)),"⚠ Code inconnu"))</f>
        <v/>
      </c>
      <c r="K778" s="138">
        <f>IF($F778="","",$F778+P_Duree)</f>
        <v/>
      </c>
      <c r="L778" s="134" t="n"/>
      <c r="M778" s="130">
        <f>IF(OR($F778="",$I778=""),"",IF($L778&lt;&gt;"",IF($L778&gt;$K778,"Rendu en retard","Rendu"),IF(TODAY()&gt;$K778,"En retard","En cours")))</f>
        <v/>
      </c>
      <c r="N778" s="139">
        <f>IF(OR($F778="",$I778=""),"",MAX(0,IF($L778&lt;&gt;"",$L778,TODAY())-$K778))</f>
        <v/>
      </c>
      <c r="O778" s="135">
        <f>IF(OR($F778="",$I778=""),"",$N778*P_Amende)</f>
        <v/>
      </c>
      <c r="P778" s="133" t="n"/>
      <c r="R778">
        <f>IF($M778="En retard",$N778+ROW()/100000,"")</f>
        <v/>
      </c>
      <c r="S778">
        <f>IF(OR($F778="",$I778=""),"",$F778+ROW()/100000)</f>
        <v/>
      </c>
      <c r="T778">
        <f>IF($I778="","",IFERROR(INDEX(LIV_Cat,MATCH($I778,LIV_Code,0)),""))</f>
        <v/>
      </c>
    </row>
    <row r="779" ht="21" customHeight="1">
      <c r="A779" s="1" t="n"/>
      <c r="B779" s="1" t="n"/>
      <c r="C779" s="2" t="n"/>
      <c r="E779" s="130">
        <f>IF($F779="","","EMP-"&amp;TEXT(ROW()-6,"0000"))</f>
        <v/>
      </c>
      <c r="F779" s="134" t="n"/>
      <c r="G779" s="127" t="n"/>
      <c r="H779" s="130">
        <f>IF($G779="","",IFERROR(INDEX(MEM_Nom,MATCH($G779,MEM_ID,0)),"⚠ ID inconnu"))</f>
        <v/>
      </c>
      <c r="I779" s="127" t="n"/>
      <c r="J779" s="130">
        <f>IF($I779="","",IFERROR(INDEX(LIV_Titre,MATCH($I779,LIV_Code,0)),"⚠ Code inconnu"))</f>
        <v/>
      </c>
      <c r="K779" s="138">
        <f>IF($F779="","",$F779+P_Duree)</f>
        <v/>
      </c>
      <c r="L779" s="134" t="n"/>
      <c r="M779" s="130">
        <f>IF(OR($F779="",$I779=""),"",IF($L779&lt;&gt;"",IF($L779&gt;$K779,"Rendu en retard","Rendu"),IF(TODAY()&gt;$K779,"En retard","En cours")))</f>
        <v/>
      </c>
      <c r="N779" s="139">
        <f>IF(OR($F779="",$I779=""),"",MAX(0,IF($L779&lt;&gt;"",$L779,TODAY())-$K779))</f>
        <v/>
      </c>
      <c r="O779" s="135">
        <f>IF(OR($F779="",$I779=""),"",$N779*P_Amende)</f>
        <v/>
      </c>
      <c r="P779" s="133" t="n"/>
      <c r="R779">
        <f>IF($M779="En retard",$N779+ROW()/100000,"")</f>
        <v/>
      </c>
      <c r="S779">
        <f>IF(OR($F779="",$I779=""),"",$F779+ROW()/100000)</f>
        <v/>
      </c>
      <c r="T779">
        <f>IF($I779="","",IFERROR(INDEX(LIV_Cat,MATCH($I779,LIV_Code,0)),""))</f>
        <v/>
      </c>
    </row>
    <row r="780" ht="21" customHeight="1">
      <c r="A780" s="1" t="n"/>
      <c r="B780" s="1" t="n"/>
      <c r="C780" s="2" t="n"/>
      <c r="E780" s="130">
        <f>IF($F780="","","EMP-"&amp;TEXT(ROW()-6,"0000"))</f>
        <v/>
      </c>
      <c r="F780" s="134" t="n"/>
      <c r="G780" s="127" t="n"/>
      <c r="H780" s="130">
        <f>IF($G780="","",IFERROR(INDEX(MEM_Nom,MATCH($G780,MEM_ID,0)),"⚠ ID inconnu"))</f>
        <v/>
      </c>
      <c r="I780" s="127" t="n"/>
      <c r="J780" s="130">
        <f>IF($I780="","",IFERROR(INDEX(LIV_Titre,MATCH($I780,LIV_Code,0)),"⚠ Code inconnu"))</f>
        <v/>
      </c>
      <c r="K780" s="138">
        <f>IF($F780="","",$F780+P_Duree)</f>
        <v/>
      </c>
      <c r="L780" s="134" t="n"/>
      <c r="M780" s="130">
        <f>IF(OR($F780="",$I780=""),"",IF($L780&lt;&gt;"",IF($L780&gt;$K780,"Rendu en retard","Rendu"),IF(TODAY()&gt;$K780,"En retard","En cours")))</f>
        <v/>
      </c>
      <c r="N780" s="139">
        <f>IF(OR($F780="",$I780=""),"",MAX(0,IF($L780&lt;&gt;"",$L780,TODAY())-$K780))</f>
        <v/>
      </c>
      <c r="O780" s="135">
        <f>IF(OR($F780="",$I780=""),"",$N780*P_Amende)</f>
        <v/>
      </c>
      <c r="P780" s="133" t="n"/>
      <c r="R780">
        <f>IF($M780="En retard",$N780+ROW()/100000,"")</f>
        <v/>
      </c>
      <c r="S780">
        <f>IF(OR($F780="",$I780=""),"",$F780+ROW()/100000)</f>
        <v/>
      </c>
      <c r="T780">
        <f>IF($I780="","",IFERROR(INDEX(LIV_Cat,MATCH($I780,LIV_Code,0)),""))</f>
        <v/>
      </c>
    </row>
    <row r="781" ht="21" customHeight="1">
      <c r="A781" s="1" t="n"/>
      <c r="B781" s="1" t="n"/>
      <c r="C781" s="2" t="n"/>
      <c r="E781" s="130">
        <f>IF($F781="","","EMP-"&amp;TEXT(ROW()-6,"0000"))</f>
        <v/>
      </c>
      <c r="F781" s="134" t="n"/>
      <c r="G781" s="127" t="n"/>
      <c r="H781" s="130">
        <f>IF($G781="","",IFERROR(INDEX(MEM_Nom,MATCH($G781,MEM_ID,0)),"⚠ ID inconnu"))</f>
        <v/>
      </c>
      <c r="I781" s="127" t="n"/>
      <c r="J781" s="130">
        <f>IF($I781="","",IFERROR(INDEX(LIV_Titre,MATCH($I781,LIV_Code,0)),"⚠ Code inconnu"))</f>
        <v/>
      </c>
      <c r="K781" s="138">
        <f>IF($F781="","",$F781+P_Duree)</f>
        <v/>
      </c>
      <c r="L781" s="134" t="n"/>
      <c r="M781" s="130">
        <f>IF(OR($F781="",$I781=""),"",IF($L781&lt;&gt;"",IF($L781&gt;$K781,"Rendu en retard","Rendu"),IF(TODAY()&gt;$K781,"En retard","En cours")))</f>
        <v/>
      </c>
      <c r="N781" s="139">
        <f>IF(OR($F781="",$I781=""),"",MAX(0,IF($L781&lt;&gt;"",$L781,TODAY())-$K781))</f>
        <v/>
      </c>
      <c r="O781" s="135">
        <f>IF(OR($F781="",$I781=""),"",$N781*P_Amende)</f>
        <v/>
      </c>
      <c r="P781" s="133" t="n"/>
      <c r="R781">
        <f>IF($M781="En retard",$N781+ROW()/100000,"")</f>
        <v/>
      </c>
      <c r="S781">
        <f>IF(OR($F781="",$I781=""),"",$F781+ROW()/100000)</f>
        <v/>
      </c>
      <c r="T781">
        <f>IF($I781="","",IFERROR(INDEX(LIV_Cat,MATCH($I781,LIV_Code,0)),""))</f>
        <v/>
      </c>
    </row>
    <row r="782" ht="21" customHeight="1">
      <c r="A782" s="1" t="n"/>
      <c r="B782" s="1" t="n"/>
      <c r="C782" s="2" t="n"/>
      <c r="E782" s="130">
        <f>IF($F782="","","EMP-"&amp;TEXT(ROW()-6,"0000"))</f>
        <v/>
      </c>
      <c r="F782" s="134" t="n"/>
      <c r="G782" s="127" t="n"/>
      <c r="H782" s="130">
        <f>IF($G782="","",IFERROR(INDEX(MEM_Nom,MATCH($G782,MEM_ID,0)),"⚠ ID inconnu"))</f>
        <v/>
      </c>
      <c r="I782" s="127" t="n"/>
      <c r="J782" s="130">
        <f>IF($I782="","",IFERROR(INDEX(LIV_Titre,MATCH($I782,LIV_Code,0)),"⚠ Code inconnu"))</f>
        <v/>
      </c>
      <c r="K782" s="138">
        <f>IF($F782="","",$F782+P_Duree)</f>
        <v/>
      </c>
      <c r="L782" s="134" t="n"/>
      <c r="M782" s="130">
        <f>IF(OR($F782="",$I782=""),"",IF($L782&lt;&gt;"",IF($L782&gt;$K782,"Rendu en retard","Rendu"),IF(TODAY()&gt;$K782,"En retard","En cours")))</f>
        <v/>
      </c>
      <c r="N782" s="139">
        <f>IF(OR($F782="",$I782=""),"",MAX(0,IF($L782&lt;&gt;"",$L782,TODAY())-$K782))</f>
        <v/>
      </c>
      <c r="O782" s="135">
        <f>IF(OR($F782="",$I782=""),"",$N782*P_Amende)</f>
        <v/>
      </c>
      <c r="P782" s="133" t="n"/>
      <c r="R782">
        <f>IF($M782="En retard",$N782+ROW()/100000,"")</f>
        <v/>
      </c>
      <c r="S782">
        <f>IF(OR($F782="",$I782=""),"",$F782+ROW()/100000)</f>
        <v/>
      </c>
      <c r="T782">
        <f>IF($I782="","",IFERROR(INDEX(LIV_Cat,MATCH($I782,LIV_Code,0)),""))</f>
        <v/>
      </c>
    </row>
    <row r="783" ht="21" customHeight="1">
      <c r="A783" s="1" t="n"/>
      <c r="B783" s="1" t="n"/>
      <c r="C783" s="2" t="n"/>
      <c r="E783" s="130">
        <f>IF($F783="","","EMP-"&amp;TEXT(ROW()-6,"0000"))</f>
        <v/>
      </c>
      <c r="F783" s="134" t="n"/>
      <c r="G783" s="127" t="n"/>
      <c r="H783" s="130">
        <f>IF($G783="","",IFERROR(INDEX(MEM_Nom,MATCH($G783,MEM_ID,0)),"⚠ ID inconnu"))</f>
        <v/>
      </c>
      <c r="I783" s="127" t="n"/>
      <c r="J783" s="130">
        <f>IF($I783="","",IFERROR(INDEX(LIV_Titre,MATCH($I783,LIV_Code,0)),"⚠ Code inconnu"))</f>
        <v/>
      </c>
      <c r="K783" s="138">
        <f>IF($F783="","",$F783+P_Duree)</f>
        <v/>
      </c>
      <c r="L783" s="134" t="n"/>
      <c r="M783" s="130">
        <f>IF(OR($F783="",$I783=""),"",IF($L783&lt;&gt;"",IF($L783&gt;$K783,"Rendu en retard","Rendu"),IF(TODAY()&gt;$K783,"En retard","En cours")))</f>
        <v/>
      </c>
      <c r="N783" s="139">
        <f>IF(OR($F783="",$I783=""),"",MAX(0,IF($L783&lt;&gt;"",$L783,TODAY())-$K783))</f>
        <v/>
      </c>
      <c r="O783" s="135">
        <f>IF(OR($F783="",$I783=""),"",$N783*P_Amende)</f>
        <v/>
      </c>
      <c r="P783" s="133" t="n"/>
      <c r="R783">
        <f>IF($M783="En retard",$N783+ROW()/100000,"")</f>
        <v/>
      </c>
      <c r="S783">
        <f>IF(OR($F783="",$I783=""),"",$F783+ROW()/100000)</f>
        <v/>
      </c>
      <c r="T783">
        <f>IF($I783="","",IFERROR(INDEX(LIV_Cat,MATCH($I783,LIV_Code,0)),""))</f>
        <v/>
      </c>
    </row>
    <row r="784" ht="21" customHeight="1">
      <c r="A784" s="1" t="n"/>
      <c r="B784" s="1" t="n"/>
      <c r="C784" s="2" t="n"/>
      <c r="E784" s="130">
        <f>IF($F784="","","EMP-"&amp;TEXT(ROW()-6,"0000"))</f>
        <v/>
      </c>
      <c r="F784" s="134" t="n"/>
      <c r="G784" s="127" t="n"/>
      <c r="H784" s="130">
        <f>IF($G784="","",IFERROR(INDEX(MEM_Nom,MATCH($G784,MEM_ID,0)),"⚠ ID inconnu"))</f>
        <v/>
      </c>
      <c r="I784" s="127" t="n"/>
      <c r="J784" s="130">
        <f>IF($I784="","",IFERROR(INDEX(LIV_Titre,MATCH($I784,LIV_Code,0)),"⚠ Code inconnu"))</f>
        <v/>
      </c>
      <c r="K784" s="138">
        <f>IF($F784="","",$F784+P_Duree)</f>
        <v/>
      </c>
      <c r="L784" s="134" t="n"/>
      <c r="M784" s="130">
        <f>IF(OR($F784="",$I784=""),"",IF($L784&lt;&gt;"",IF($L784&gt;$K784,"Rendu en retard","Rendu"),IF(TODAY()&gt;$K784,"En retard","En cours")))</f>
        <v/>
      </c>
      <c r="N784" s="139">
        <f>IF(OR($F784="",$I784=""),"",MAX(0,IF($L784&lt;&gt;"",$L784,TODAY())-$K784))</f>
        <v/>
      </c>
      <c r="O784" s="135">
        <f>IF(OR($F784="",$I784=""),"",$N784*P_Amende)</f>
        <v/>
      </c>
      <c r="P784" s="133" t="n"/>
      <c r="R784">
        <f>IF($M784="En retard",$N784+ROW()/100000,"")</f>
        <v/>
      </c>
      <c r="S784">
        <f>IF(OR($F784="",$I784=""),"",$F784+ROW()/100000)</f>
        <v/>
      </c>
      <c r="T784">
        <f>IF($I784="","",IFERROR(INDEX(LIV_Cat,MATCH($I784,LIV_Code,0)),""))</f>
        <v/>
      </c>
    </row>
    <row r="785" ht="21" customHeight="1">
      <c r="A785" s="1" t="n"/>
      <c r="B785" s="1" t="n"/>
      <c r="C785" s="2" t="n"/>
      <c r="E785" s="130">
        <f>IF($F785="","","EMP-"&amp;TEXT(ROW()-6,"0000"))</f>
        <v/>
      </c>
      <c r="F785" s="134" t="n"/>
      <c r="G785" s="127" t="n"/>
      <c r="H785" s="130">
        <f>IF($G785="","",IFERROR(INDEX(MEM_Nom,MATCH($G785,MEM_ID,0)),"⚠ ID inconnu"))</f>
        <v/>
      </c>
      <c r="I785" s="127" t="n"/>
      <c r="J785" s="130">
        <f>IF($I785="","",IFERROR(INDEX(LIV_Titre,MATCH($I785,LIV_Code,0)),"⚠ Code inconnu"))</f>
        <v/>
      </c>
      <c r="K785" s="138">
        <f>IF($F785="","",$F785+P_Duree)</f>
        <v/>
      </c>
      <c r="L785" s="134" t="n"/>
      <c r="M785" s="130">
        <f>IF(OR($F785="",$I785=""),"",IF($L785&lt;&gt;"",IF($L785&gt;$K785,"Rendu en retard","Rendu"),IF(TODAY()&gt;$K785,"En retard","En cours")))</f>
        <v/>
      </c>
      <c r="N785" s="139">
        <f>IF(OR($F785="",$I785=""),"",MAX(0,IF($L785&lt;&gt;"",$L785,TODAY())-$K785))</f>
        <v/>
      </c>
      <c r="O785" s="135">
        <f>IF(OR($F785="",$I785=""),"",$N785*P_Amende)</f>
        <v/>
      </c>
      <c r="P785" s="133" t="n"/>
      <c r="R785">
        <f>IF($M785="En retard",$N785+ROW()/100000,"")</f>
        <v/>
      </c>
      <c r="S785">
        <f>IF(OR($F785="",$I785=""),"",$F785+ROW()/100000)</f>
        <v/>
      </c>
      <c r="T785">
        <f>IF($I785="","",IFERROR(INDEX(LIV_Cat,MATCH($I785,LIV_Code,0)),""))</f>
        <v/>
      </c>
    </row>
    <row r="786" ht="21" customHeight="1">
      <c r="A786" s="1" t="n"/>
      <c r="B786" s="1" t="n"/>
      <c r="C786" s="2" t="n"/>
      <c r="E786" s="130">
        <f>IF($F786="","","EMP-"&amp;TEXT(ROW()-6,"0000"))</f>
        <v/>
      </c>
      <c r="F786" s="134" t="n"/>
      <c r="G786" s="127" t="n"/>
      <c r="H786" s="130">
        <f>IF($G786="","",IFERROR(INDEX(MEM_Nom,MATCH($G786,MEM_ID,0)),"⚠ ID inconnu"))</f>
        <v/>
      </c>
      <c r="I786" s="127" t="n"/>
      <c r="J786" s="130">
        <f>IF($I786="","",IFERROR(INDEX(LIV_Titre,MATCH($I786,LIV_Code,0)),"⚠ Code inconnu"))</f>
        <v/>
      </c>
      <c r="K786" s="138">
        <f>IF($F786="","",$F786+P_Duree)</f>
        <v/>
      </c>
      <c r="L786" s="134" t="n"/>
      <c r="M786" s="130">
        <f>IF(OR($F786="",$I786=""),"",IF($L786&lt;&gt;"",IF($L786&gt;$K786,"Rendu en retard","Rendu"),IF(TODAY()&gt;$K786,"En retard","En cours")))</f>
        <v/>
      </c>
      <c r="N786" s="139">
        <f>IF(OR($F786="",$I786=""),"",MAX(0,IF($L786&lt;&gt;"",$L786,TODAY())-$K786))</f>
        <v/>
      </c>
      <c r="O786" s="135">
        <f>IF(OR($F786="",$I786=""),"",$N786*P_Amende)</f>
        <v/>
      </c>
      <c r="P786" s="133" t="n"/>
      <c r="R786">
        <f>IF($M786="En retard",$N786+ROW()/100000,"")</f>
        <v/>
      </c>
      <c r="S786">
        <f>IF(OR($F786="",$I786=""),"",$F786+ROW()/100000)</f>
        <v/>
      </c>
      <c r="T786">
        <f>IF($I786="","",IFERROR(INDEX(LIV_Cat,MATCH($I786,LIV_Code,0)),""))</f>
        <v/>
      </c>
    </row>
    <row r="787" ht="21" customHeight="1">
      <c r="A787" s="1" t="n"/>
      <c r="B787" s="1" t="n"/>
      <c r="C787" s="2" t="n"/>
      <c r="E787" s="130">
        <f>IF($F787="","","EMP-"&amp;TEXT(ROW()-6,"0000"))</f>
        <v/>
      </c>
      <c r="F787" s="134" t="n"/>
      <c r="G787" s="127" t="n"/>
      <c r="H787" s="130">
        <f>IF($G787="","",IFERROR(INDEX(MEM_Nom,MATCH($G787,MEM_ID,0)),"⚠ ID inconnu"))</f>
        <v/>
      </c>
      <c r="I787" s="127" t="n"/>
      <c r="J787" s="130">
        <f>IF($I787="","",IFERROR(INDEX(LIV_Titre,MATCH($I787,LIV_Code,0)),"⚠ Code inconnu"))</f>
        <v/>
      </c>
      <c r="K787" s="138">
        <f>IF($F787="","",$F787+P_Duree)</f>
        <v/>
      </c>
      <c r="L787" s="134" t="n"/>
      <c r="M787" s="130">
        <f>IF(OR($F787="",$I787=""),"",IF($L787&lt;&gt;"",IF($L787&gt;$K787,"Rendu en retard","Rendu"),IF(TODAY()&gt;$K787,"En retard","En cours")))</f>
        <v/>
      </c>
      <c r="N787" s="139">
        <f>IF(OR($F787="",$I787=""),"",MAX(0,IF($L787&lt;&gt;"",$L787,TODAY())-$K787))</f>
        <v/>
      </c>
      <c r="O787" s="135">
        <f>IF(OR($F787="",$I787=""),"",$N787*P_Amende)</f>
        <v/>
      </c>
      <c r="P787" s="133" t="n"/>
      <c r="R787">
        <f>IF($M787="En retard",$N787+ROW()/100000,"")</f>
        <v/>
      </c>
      <c r="S787">
        <f>IF(OR($F787="",$I787=""),"",$F787+ROW()/100000)</f>
        <v/>
      </c>
      <c r="T787">
        <f>IF($I787="","",IFERROR(INDEX(LIV_Cat,MATCH($I787,LIV_Code,0)),""))</f>
        <v/>
      </c>
    </row>
    <row r="788" ht="21" customHeight="1">
      <c r="A788" s="1" t="n"/>
      <c r="B788" s="1" t="n"/>
      <c r="C788" s="2" t="n"/>
      <c r="E788" s="130">
        <f>IF($F788="","","EMP-"&amp;TEXT(ROW()-6,"0000"))</f>
        <v/>
      </c>
      <c r="F788" s="134" t="n"/>
      <c r="G788" s="127" t="n"/>
      <c r="H788" s="130">
        <f>IF($G788="","",IFERROR(INDEX(MEM_Nom,MATCH($G788,MEM_ID,0)),"⚠ ID inconnu"))</f>
        <v/>
      </c>
      <c r="I788" s="127" t="n"/>
      <c r="J788" s="130">
        <f>IF($I788="","",IFERROR(INDEX(LIV_Titre,MATCH($I788,LIV_Code,0)),"⚠ Code inconnu"))</f>
        <v/>
      </c>
      <c r="K788" s="138">
        <f>IF($F788="","",$F788+P_Duree)</f>
        <v/>
      </c>
      <c r="L788" s="134" t="n"/>
      <c r="M788" s="130">
        <f>IF(OR($F788="",$I788=""),"",IF($L788&lt;&gt;"",IF($L788&gt;$K788,"Rendu en retard","Rendu"),IF(TODAY()&gt;$K788,"En retard","En cours")))</f>
        <v/>
      </c>
      <c r="N788" s="139">
        <f>IF(OR($F788="",$I788=""),"",MAX(0,IF($L788&lt;&gt;"",$L788,TODAY())-$K788))</f>
        <v/>
      </c>
      <c r="O788" s="135">
        <f>IF(OR($F788="",$I788=""),"",$N788*P_Amende)</f>
        <v/>
      </c>
      <c r="P788" s="133" t="n"/>
      <c r="R788">
        <f>IF($M788="En retard",$N788+ROW()/100000,"")</f>
        <v/>
      </c>
      <c r="S788">
        <f>IF(OR($F788="",$I788=""),"",$F788+ROW()/100000)</f>
        <v/>
      </c>
      <c r="T788">
        <f>IF($I788="","",IFERROR(INDEX(LIV_Cat,MATCH($I788,LIV_Code,0)),""))</f>
        <v/>
      </c>
    </row>
    <row r="789" ht="21" customHeight="1">
      <c r="A789" s="1" t="n"/>
      <c r="B789" s="1" t="n"/>
      <c r="C789" s="2" t="n"/>
      <c r="E789" s="130">
        <f>IF($F789="","","EMP-"&amp;TEXT(ROW()-6,"0000"))</f>
        <v/>
      </c>
      <c r="F789" s="134" t="n"/>
      <c r="G789" s="127" t="n"/>
      <c r="H789" s="130">
        <f>IF($G789="","",IFERROR(INDEX(MEM_Nom,MATCH($G789,MEM_ID,0)),"⚠ ID inconnu"))</f>
        <v/>
      </c>
      <c r="I789" s="127" t="n"/>
      <c r="J789" s="130">
        <f>IF($I789="","",IFERROR(INDEX(LIV_Titre,MATCH($I789,LIV_Code,0)),"⚠ Code inconnu"))</f>
        <v/>
      </c>
      <c r="K789" s="138">
        <f>IF($F789="","",$F789+P_Duree)</f>
        <v/>
      </c>
      <c r="L789" s="134" t="n"/>
      <c r="M789" s="130">
        <f>IF(OR($F789="",$I789=""),"",IF($L789&lt;&gt;"",IF($L789&gt;$K789,"Rendu en retard","Rendu"),IF(TODAY()&gt;$K789,"En retard","En cours")))</f>
        <v/>
      </c>
      <c r="N789" s="139">
        <f>IF(OR($F789="",$I789=""),"",MAX(0,IF($L789&lt;&gt;"",$L789,TODAY())-$K789))</f>
        <v/>
      </c>
      <c r="O789" s="135">
        <f>IF(OR($F789="",$I789=""),"",$N789*P_Amende)</f>
        <v/>
      </c>
      <c r="P789" s="133" t="n"/>
      <c r="R789">
        <f>IF($M789="En retard",$N789+ROW()/100000,"")</f>
        <v/>
      </c>
      <c r="S789">
        <f>IF(OR($F789="",$I789=""),"",$F789+ROW()/100000)</f>
        <v/>
      </c>
      <c r="T789">
        <f>IF($I789="","",IFERROR(INDEX(LIV_Cat,MATCH($I789,LIV_Code,0)),""))</f>
        <v/>
      </c>
    </row>
    <row r="790" ht="21" customHeight="1">
      <c r="A790" s="1" t="n"/>
      <c r="B790" s="1" t="n"/>
      <c r="C790" s="2" t="n"/>
      <c r="E790" s="130">
        <f>IF($F790="","","EMP-"&amp;TEXT(ROW()-6,"0000"))</f>
        <v/>
      </c>
      <c r="F790" s="134" t="n"/>
      <c r="G790" s="127" t="n"/>
      <c r="H790" s="130">
        <f>IF($G790="","",IFERROR(INDEX(MEM_Nom,MATCH($G790,MEM_ID,0)),"⚠ ID inconnu"))</f>
        <v/>
      </c>
      <c r="I790" s="127" t="n"/>
      <c r="J790" s="130">
        <f>IF($I790="","",IFERROR(INDEX(LIV_Titre,MATCH($I790,LIV_Code,0)),"⚠ Code inconnu"))</f>
        <v/>
      </c>
      <c r="K790" s="138">
        <f>IF($F790="","",$F790+P_Duree)</f>
        <v/>
      </c>
      <c r="L790" s="134" t="n"/>
      <c r="M790" s="130">
        <f>IF(OR($F790="",$I790=""),"",IF($L790&lt;&gt;"",IF($L790&gt;$K790,"Rendu en retard","Rendu"),IF(TODAY()&gt;$K790,"En retard","En cours")))</f>
        <v/>
      </c>
      <c r="N790" s="139">
        <f>IF(OR($F790="",$I790=""),"",MAX(0,IF($L790&lt;&gt;"",$L790,TODAY())-$K790))</f>
        <v/>
      </c>
      <c r="O790" s="135">
        <f>IF(OR($F790="",$I790=""),"",$N790*P_Amende)</f>
        <v/>
      </c>
      <c r="P790" s="133" t="n"/>
      <c r="R790">
        <f>IF($M790="En retard",$N790+ROW()/100000,"")</f>
        <v/>
      </c>
      <c r="S790">
        <f>IF(OR($F790="",$I790=""),"",$F790+ROW()/100000)</f>
        <v/>
      </c>
      <c r="T790">
        <f>IF($I790="","",IFERROR(INDEX(LIV_Cat,MATCH($I790,LIV_Code,0)),""))</f>
        <v/>
      </c>
    </row>
    <row r="791" ht="21" customHeight="1">
      <c r="A791" s="1" t="n"/>
      <c r="B791" s="1" t="n"/>
      <c r="C791" s="2" t="n"/>
      <c r="E791" s="130">
        <f>IF($F791="","","EMP-"&amp;TEXT(ROW()-6,"0000"))</f>
        <v/>
      </c>
      <c r="F791" s="134" t="n"/>
      <c r="G791" s="127" t="n"/>
      <c r="H791" s="130">
        <f>IF($G791="","",IFERROR(INDEX(MEM_Nom,MATCH($G791,MEM_ID,0)),"⚠ ID inconnu"))</f>
        <v/>
      </c>
      <c r="I791" s="127" t="n"/>
      <c r="J791" s="130">
        <f>IF($I791="","",IFERROR(INDEX(LIV_Titre,MATCH($I791,LIV_Code,0)),"⚠ Code inconnu"))</f>
        <v/>
      </c>
      <c r="K791" s="138">
        <f>IF($F791="","",$F791+P_Duree)</f>
        <v/>
      </c>
      <c r="L791" s="134" t="n"/>
      <c r="M791" s="130">
        <f>IF(OR($F791="",$I791=""),"",IF($L791&lt;&gt;"",IF($L791&gt;$K791,"Rendu en retard","Rendu"),IF(TODAY()&gt;$K791,"En retard","En cours")))</f>
        <v/>
      </c>
      <c r="N791" s="139">
        <f>IF(OR($F791="",$I791=""),"",MAX(0,IF($L791&lt;&gt;"",$L791,TODAY())-$K791))</f>
        <v/>
      </c>
      <c r="O791" s="135">
        <f>IF(OR($F791="",$I791=""),"",$N791*P_Amende)</f>
        <v/>
      </c>
      <c r="P791" s="133" t="n"/>
      <c r="R791">
        <f>IF($M791="En retard",$N791+ROW()/100000,"")</f>
        <v/>
      </c>
      <c r="S791">
        <f>IF(OR($F791="",$I791=""),"",$F791+ROW()/100000)</f>
        <v/>
      </c>
      <c r="T791">
        <f>IF($I791="","",IFERROR(INDEX(LIV_Cat,MATCH($I791,LIV_Code,0)),""))</f>
        <v/>
      </c>
    </row>
    <row r="792" ht="21" customHeight="1">
      <c r="A792" s="1" t="n"/>
      <c r="B792" s="1" t="n"/>
      <c r="C792" s="2" t="n"/>
      <c r="E792" s="130">
        <f>IF($F792="","","EMP-"&amp;TEXT(ROW()-6,"0000"))</f>
        <v/>
      </c>
      <c r="F792" s="134" t="n"/>
      <c r="G792" s="127" t="n"/>
      <c r="H792" s="130">
        <f>IF($G792="","",IFERROR(INDEX(MEM_Nom,MATCH($G792,MEM_ID,0)),"⚠ ID inconnu"))</f>
        <v/>
      </c>
      <c r="I792" s="127" t="n"/>
      <c r="J792" s="130">
        <f>IF($I792="","",IFERROR(INDEX(LIV_Titre,MATCH($I792,LIV_Code,0)),"⚠ Code inconnu"))</f>
        <v/>
      </c>
      <c r="K792" s="138">
        <f>IF($F792="","",$F792+P_Duree)</f>
        <v/>
      </c>
      <c r="L792" s="134" t="n"/>
      <c r="M792" s="130">
        <f>IF(OR($F792="",$I792=""),"",IF($L792&lt;&gt;"",IF($L792&gt;$K792,"Rendu en retard","Rendu"),IF(TODAY()&gt;$K792,"En retard","En cours")))</f>
        <v/>
      </c>
      <c r="N792" s="139">
        <f>IF(OR($F792="",$I792=""),"",MAX(0,IF($L792&lt;&gt;"",$L792,TODAY())-$K792))</f>
        <v/>
      </c>
      <c r="O792" s="135">
        <f>IF(OR($F792="",$I792=""),"",$N792*P_Amende)</f>
        <v/>
      </c>
      <c r="P792" s="133" t="n"/>
      <c r="R792">
        <f>IF($M792="En retard",$N792+ROW()/100000,"")</f>
        <v/>
      </c>
      <c r="S792">
        <f>IF(OR($F792="",$I792=""),"",$F792+ROW()/100000)</f>
        <v/>
      </c>
      <c r="T792">
        <f>IF($I792="","",IFERROR(INDEX(LIV_Cat,MATCH($I792,LIV_Code,0)),""))</f>
        <v/>
      </c>
    </row>
    <row r="793" ht="21" customHeight="1">
      <c r="A793" s="1" t="n"/>
      <c r="B793" s="1" t="n"/>
      <c r="C793" s="2" t="n"/>
      <c r="E793" s="130">
        <f>IF($F793="","","EMP-"&amp;TEXT(ROW()-6,"0000"))</f>
        <v/>
      </c>
      <c r="F793" s="134" t="n"/>
      <c r="G793" s="127" t="n"/>
      <c r="H793" s="130">
        <f>IF($G793="","",IFERROR(INDEX(MEM_Nom,MATCH($G793,MEM_ID,0)),"⚠ ID inconnu"))</f>
        <v/>
      </c>
      <c r="I793" s="127" t="n"/>
      <c r="J793" s="130">
        <f>IF($I793="","",IFERROR(INDEX(LIV_Titre,MATCH($I793,LIV_Code,0)),"⚠ Code inconnu"))</f>
        <v/>
      </c>
      <c r="K793" s="138">
        <f>IF($F793="","",$F793+P_Duree)</f>
        <v/>
      </c>
      <c r="L793" s="134" t="n"/>
      <c r="M793" s="130">
        <f>IF(OR($F793="",$I793=""),"",IF($L793&lt;&gt;"",IF($L793&gt;$K793,"Rendu en retard","Rendu"),IF(TODAY()&gt;$K793,"En retard","En cours")))</f>
        <v/>
      </c>
      <c r="N793" s="139">
        <f>IF(OR($F793="",$I793=""),"",MAX(0,IF($L793&lt;&gt;"",$L793,TODAY())-$K793))</f>
        <v/>
      </c>
      <c r="O793" s="135">
        <f>IF(OR($F793="",$I793=""),"",$N793*P_Amende)</f>
        <v/>
      </c>
      <c r="P793" s="133" t="n"/>
      <c r="R793">
        <f>IF($M793="En retard",$N793+ROW()/100000,"")</f>
        <v/>
      </c>
      <c r="S793">
        <f>IF(OR($F793="",$I793=""),"",$F793+ROW()/100000)</f>
        <v/>
      </c>
      <c r="T793">
        <f>IF($I793="","",IFERROR(INDEX(LIV_Cat,MATCH($I793,LIV_Code,0)),""))</f>
        <v/>
      </c>
    </row>
    <row r="794" ht="21" customHeight="1">
      <c r="A794" s="1" t="n"/>
      <c r="B794" s="1" t="n"/>
      <c r="C794" s="2" t="n"/>
      <c r="E794" s="130">
        <f>IF($F794="","","EMP-"&amp;TEXT(ROW()-6,"0000"))</f>
        <v/>
      </c>
      <c r="F794" s="134" t="n"/>
      <c r="G794" s="127" t="n"/>
      <c r="H794" s="130">
        <f>IF($G794="","",IFERROR(INDEX(MEM_Nom,MATCH($G794,MEM_ID,0)),"⚠ ID inconnu"))</f>
        <v/>
      </c>
      <c r="I794" s="127" t="n"/>
      <c r="J794" s="130">
        <f>IF($I794="","",IFERROR(INDEX(LIV_Titre,MATCH($I794,LIV_Code,0)),"⚠ Code inconnu"))</f>
        <v/>
      </c>
      <c r="K794" s="138">
        <f>IF($F794="","",$F794+P_Duree)</f>
        <v/>
      </c>
      <c r="L794" s="134" t="n"/>
      <c r="M794" s="130">
        <f>IF(OR($F794="",$I794=""),"",IF($L794&lt;&gt;"",IF($L794&gt;$K794,"Rendu en retard","Rendu"),IF(TODAY()&gt;$K794,"En retard","En cours")))</f>
        <v/>
      </c>
      <c r="N794" s="139">
        <f>IF(OR($F794="",$I794=""),"",MAX(0,IF($L794&lt;&gt;"",$L794,TODAY())-$K794))</f>
        <v/>
      </c>
      <c r="O794" s="135">
        <f>IF(OR($F794="",$I794=""),"",$N794*P_Amende)</f>
        <v/>
      </c>
      <c r="P794" s="133" t="n"/>
      <c r="R794">
        <f>IF($M794="En retard",$N794+ROW()/100000,"")</f>
        <v/>
      </c>
      <c r="S794">
        <f>IF(OR($F794="",$I794=""),"",$F794+ROW()/100000)</f>
        <v/>
      </c>
      <c r="T794">
        <f>IF($I794="","",IFERROR(INDEX(LIV_Cat,MATCH($I794,LIV_Code,0)),""))</f>
        <v/>
      </c>
    </row>
    <row r="795" ht="21" customHeight="1">
      <c r="A795" s="1" t="n"/>
      <c r="B795" s="1" t="n"/>
      <c r="C795" s="2" t="n"/>
      <c r="E795" s="130">
        <f>IF($F795="","","EMP-"&amp;TEXT(ROW()-6,"0000"))</f>
        <v/>
      </c>
      <c r="F795" s="134" t="n"/>
      <c r="G795" s="127" t="n"/>
      <c r="H795" s="130">
        <f>IF($G795="","",IFERROR(INDEX(MEM_Nom,MATCH($G795,MEM_ID,0)),"⚠ ID inconnu"))</f>
        <v/>
      </c>
      <c r="I795" s="127" t="n"/>
      <c r="J795" s="130">
        <f>IF($I795="","",IFERROR(INDEX(LIV_Titre,MATCH($I795,LIV_Code,0)),"⚠ Code inconnu"))</f>
        <v/>
      </c>
      <c r="K795" s="138">
        <f>IF($F795="","",$F795+P_Duree)</f>
        <v/>
      </c>
      <c r="L795" s="134" t="n"/>
      <c r="M795" s="130">
        <f>IF(OR($F795="",$I795=""),"",IF($L795&lt;&gt;"",IF($L795&gt;$K795,"Rendu en retard","Rendu"),IF(TODAY()&gt;$K795,"En retard","En cours")))</f>
        <v/>
      </c>
      <c r="N795" s="139">
        <f>IF(OR($F795="",$I795=""),"",MAX(0,IF($L795&lt;&gt;"",$L795,TODAY())-$K795))</f>
        <v/>
      </c>
      <c r="O795" s="135">
        <f>IF(OR($F795="",$I795=""),"",$N795*P_Amende)</f>
        <v/>
      </c>
      <c r="P795" s="133" t="n"/>
      <c r="R795">
        <f>IF($M795="En retard",$N795+ROW()/100000,"")</f>
        <v/>
      </c>
      <c r="S795">
        <f>IF(OR($F795="",$I795=""),"",$F795+ROW()/100000)</f>
        <v/>
      </c>
      <c r="T795">
        <f>IF($I795="","",IFERROR(INDEX(LIV_Cat,MATCH($I795,LIV_Code,0)),""))</f>
        <v/>
      </c>
    </row>
    <row r="796" ht="21" customHeight="1">
      <c r="A796" s="1" t="n"/>
      <c r="B796" s="1" t="n"/>
      <c r="C796" s="2" t="n"/>
      <c r="E796" s="130">
        <f>IF($F796="","","EMP-"&amp;TEXT(ROW()-6,"0000"))</f>
        <v/>
      </c>
      <c r="F796" s="134" t="n"/>
      <c r="G796" s="127" t="n"/>
      <c r="H796" s="130">
        <f>IF($G796="","",IFERROR(INDEX(MEM_Nom,MATCH($G796,MEM_ID,0)),"⚠ ID inconnu"))</f>
        <v/>
      </c>
      <c r="I796" s="127" t="n"/>
      <c r="J796" s="130">
        <f>IF($I796="","",IFERROR(INDEX(LIV_Titre,MATCH($I796,LIV_Code,0)),"⚠ Code inconnu"))</f>
        <v/>
      </c>
      <c r="K796" s="138">
        <f>IF($F796="","",$F796+P_Duree)</f>
        <v/>
      </c>
      <c r="L796" s="134" t="n"/>
      <c r="M796" s="130">
        <f>IF(OR($F796="",$I796=""),"",IF($L796&lt;&gt;"",IF($L796&gt;$K796,"Rendu en retard","Rendu"),IF(TODAY()&gt;$K796,"En retard","En cours")))</f>
        <v/>
      </c>
      <c r="N796" s="139">
        <f>IF(OR($F796="",$I796=""),"",MAX(0,IF($L796&lt;&gt;"",$L796,TODAY())-$K796))</f>
        <v/>
      </c>
      <c r="O796" s="135">
        <f>IF(OR($F796="",$I796=""),"",$N796*P_Amende)</f>
        <v/>
      </c>
      <c r="P796" s="133" t="n"/>
      <c r="R796">
        <f>IF($M796="En retard",$N796+ROW()/100000,"")</f>
        <v/>
      </c>
      <c r="S796">
        <f>IF(OR($F796="",$I796=""),"",$F796+ROW()/100000)</f>
        <v/>
      </c>
      <c r="T796">
        <f>IF($I796="","",IFERROR(INDEX(LIV_Cat,MATCH($I796,LIV_Code,0)),""))</f>
        <v/>
      </c>
    </row>
    <row r="797" ht="21" customHeight="1">
      <c r="A797" s="1" t="n"/>
      <c r="B797" s="1" t="n"/>
      <c r="C797" s="2" t="n"/>
      <c r="E797" s="130">
        <f>IF($F797="","","EMP-"&amp;TEXT(ROW()-6,"0000"))</f>
        <v/>
      </c>
      <c r="F797" s="134" t="n"/>
      <c r="G797" s="127" t="n"/>
      <c r="H797" s="130">
        <f>IF($G797="","",IFERROR(INDEX(MEM_Nom,MATCH($G797,MEM_ID,0)),"⚠ ID inconnu"))</f>
        <v/>
      </c>
      <c r="I797" s="127" t="n"/>
      <c r="J797" s="130">
        <f>IF($I797="","",IFERROR(INDEX(LIV_Titre,MATCH($I797,LIV_Code,0)),"⚠ Code inconnu"))</f>
        <v/>
      </c>
      <c r="K797" s="138">
        <f>IF($F797="","",$F797+P_Duree)</f>
        <v/>
      </c>
      <c r="L797" s="134" t="n"/>
      <c r="M797" s="130">
        <f>IF(OR($F797="",$I797=""),"",IF($L797&lt;&gt;"",IF($L797&gt;$K797,"Rendu en retard","Rendu"),IF(TODAY()&gt;$K797,"En retard","En cours")))</f>
        <v/>
      </c>
      <c r="N797" s="139">
        <f>IF(OR($F797="",$I797=""),"",MAX(0,IF($L797&lt;&gt;"",$L797,TODAY())-$K797))</f>
        <v/>
      </c>
      <c r="O797" s="135">
        <f>IF(OR($F797="",$I797=""),"",$N797*P_Amende)</f>
        <v/>
      </c>
      <c r="P797" s="133" t="n"/>
      <c r="R797">
        <f>IF($M797="En retard",$N797+ROW()/100000,"")</f>
        <v/>
      </c>
      <c r="S797">
        <f>IF(OR($F797="",$I797=""),"",$F797+ROW()/100000)</f>
        <v/>
      </c>
      <c r="T797">
        <f>IF($I797="","",IFERROR(INDEX(LIV_Cat,MATCH($I797,LIV_Code,0)),""))</f>
        <v/>
      </c>
    </row>
    <row r="798" ht="21" customHeight="1">
      <c r="A798" s="1" t="n"/>
      <c r="B798" s="1" t="n"/>
      <c r="C798" s="2" t="n"/>
      <c r="E798" s="130">
        <f>IF($F798="","","EMP-"&amp;TEXT(ROW()-6,"0000"))</f>
        <v/>
      </c>
      <c r="F798" s="134" t="n"/>
      <c r="G798" s="127" t="n"/>
      <c r="H798" s="130">
        <f>IF($G798="","",IFERROR(INDEX(MEM_Nom,MATCH($G798,MEM_ID,0)),"⚠ ID inconnu"))</f>
        <v/>
      </c>
      <c r="I798" s="127" t="n"/>
      <c r="J798" s="130">
        <f>IF($I798="","",IFERROR(INDEX(LIV_Titre,MATCH($I798,LIV_Code,0)),"⚠ Code inconnu"))</f>
        <v/>
      </c>
      <c r="K798" s="138">
        <f>IF($F798="","",$F798+P_Duree)</f>
        <v/>
      </c>
      <c r="L798" s="134" t="n"/>
      <c r="M798" s="130">
        <f>IF(OR($F798="",$I798=""),"",IF($L798&lt;&gt;"",IF($L798&gt;$K798,"Rendu en retard","Rendu"),IF(TODAY()&gt;$K798,"En retard","En cours")))</f>
        <v/>
      </c>
      <c r="N798" s="139">
        <f>IF(OR($F798="",$I798=""),"",MAX(0,IF($L798&lt;&gt;"",$L798,TODAY())-$K798))</f>
        <v/>
      </c>
      <c r="O798" s="135">
        <f>IF(OR($F798="",$I798=""),"",$N798*P_Amende)</f>
        <v/>
      </c>
      <c r="P798" s="133" t="n"/>
      <c r="R798">
        <f>IF($M798="En retard",$N798+ROW()/100000,"")</f>
        <v/>
      </c>
      <c r="S798">
        <f>IF(OR($F798="",$I798=""),"",$F798+ROW()/100000)</f>
        <v/>
      </c>
      <c r="T798">
        <f>IF($I798="","",IFERROR(INDEX(LIV_Cat,MATCH($I798,LIV_Code,0)),""))</f>
        <v/>
      </c>
    </row>
    <row r="799" ht="21" customHeight="1">
      <c r="A799" s="1" t="n"/>
      <c r="B799" s="1" t="n"/>
      <c r="C799" s="2" t="n"/>
      <c r="E799" s="130">
        <f>IF($F799="","","EMP-"&amp;TEXT(ROW()-6,"0000"))</f>
        <v/>
      </c>
      <c r="F799" s="134" t="n"/>
      <c r="G799" s="127" t="n"/>
      <c r="H799" s="130">
        <f>IF($G799="","",IFERROR(INDEX(MEM_Nom,MATCH($G799,MEM_ID,0)),"⚠ ID inconnu"))</f>
        <v/>
      </c>
      <c r="I799" s="127" t="n"/>
      <c r="J799" s="130">
        <f>IF($I799="","",IFERROR(INDEX(LIV_Titre,MATCH($I799,LIV_Code,0)),"⚠ Code inconnu"))</f>
        <v/>
      </c>
      <c r="K799" s="138">
        <f>IF($F799="","",$F799+P_Duree)</f>
        <v/>
      </c>
      <c r="L799" s="134" t="n"/>
      <c r="M799" s="130">
        <f>IF(OR($F799="",$I799=""),"",IF($L799&lt;&gt;"",IF($L799&gt;$K799,"Rendu en retard","Rendu"),IF(TODAY()&gt;$K799,"En retard","En cours")))</f>
        <v/>
      </c>
      <c r="N799" s="139">
        <f>IF(OR($F799="",$I799=""),"",MAX(0,IF($L799&lt;&gt;"",$L799,TODAY())-$K799))</f>
        <v/>
      </c>
      <c r="O799" s="135">
        <f>IF(OR($F799="",$I799=""),"",$N799*P_Amende)</f>
        <v/>
      </c>
      <c r="P799" s="133" t="n"/>
      <c r="R799">
        <f>IF($M799="En retard",$N799+ROW()/100000,"")</f>
        <v/>
      </c>
      <c r="S799">
        <f>IF(OR($F799="",$I799=""),"",$F799+ROW()/100000)</f>
        <v/>
      </c>
      <c r="T799">
        <f>IF($I799="","",IFERROR(INDEX(LIV_Cat,MATCH($I799,LIV_Code,0)),""))</f>
        <v/>
      </c>
    </row>
    <row r="800" ht="21" customHeight="1">
      <c r="A800" s="1" t="n"/>
      <c r="B800" s="1" t="n"/>
      <c r="C800" s="2" t="n"/>
      <c r="E800" s="130">
        <f>IF($F800="","","EMP-"&amp;TEXT(ROW()-6,"0000"))</f>
        <v/>
      </c>
      <c r="F800" s="134" t="n"/>
      <c r="G800" s="127" t="n"/>
      <c r="H800" s="130">
        <f>IF($G800="","",IFERROR(INDEX(MEM_Nom,MATCH($G800,MEM_ID,0)),"⚠ ID inconnu"))</f>
        <v/>
      </c>
      <c r="I800" s="127" t="n"/>
      <c r="J800" s="130">
        <f>IF($I800="","",IFERROR(INDEX(LIV_Titre,MATCH($I800,LIV_Code,0)),"⚠ Code inconnu"))</f>
        <v/>
      </c>
      <c r="K800" s="138">
        <f>IF($F800="","",$F800+P_Duree)</f>
        <v/>
      </c>
      <c r="L800" s="134" t="n"/>
      <c r="M800" s="130">
        <f>IF(OR($F800="",$I800=""),"",IF($L800&lt;&gt;"",IF($L800&gt;$K800,"Rendu en retard","Rendu"),IF(TODAY()&gt;$K800,"En retard","En cours")))</f>
        <v/>
      </c>
      <c r="N800" s="139">
        <f>IF(OR($F800="",$I800=""),"",MAX(0,IF($L800&lt;&gt;"",$L800,TODAY())-$K800))</f>
        <v/>
      </c>
      <c r="O800" s="135">
        <f>IF(OR($F800="",$I800=""),"",$N800*P_Amende)</f>
        <v/>
      </c>
      <c r="P800" s="133" t="n"/>
      <c r="R800">
        <f>IF($M800="En retard",$N800+ROW()/100000,"")</f>
        <v/>
      </c>
      <c r="S800">
        <f>IF(OR($F800="",$I800=""),"",$F800+ROW()/100000)</f>
        <v/>
      </c>
      <c r="T800">
        <f>IF($I800="","",IFERROR(INDEX(LIV_Cat,MATCH($I800,LIV_Code,0)),""))</f>
        <v/>
      </c>
    </row>
    <row r="801" ht="21" customHeight="1">
      <c r="A801" s="1" t="n"/>
      <c r="B801" s="1" t="n"/>
      <c r="C801" s="2" t="n"/>
      <c r="E801" s="130">
        <f>IF($F801="","","EMP-"&amp;TEXT(ROW()-6,"0000"))</f>
        <v/>
      </c>
      <c r="F801" s="134" t="n"/>
      <c r="G801" s="127" t="n"/>
      <c r="H801" s="130">
        <f>IF($G801="","",IFERROR(INDEX(MEM_Nom,MATCH($G801,MEM_ID,0)),"⚠ ID inconnu"))</f>
        <v/>
      </c>
      <c r="I801" s="127" t="n"/>
      <c r="J801" s="130">
        <f>IF($I801="","",IFERROR(INDEX(LIV_Titre,MATCH($I801,LIV_Code,0)),"⚠ Code inconnu"))</f>
        <v/>
      </c>
      <c r="K801" s="138">
        <f>IF($F801="","",$F801+P_Duree)</f>
        <v/>
      </c>
      <c r="L801" s="134" t="n"/>
      <c r="M801" s="130">
        <f>IF(OR($F801="",$I801=""),"",IF($L801&lt;&gt;"",IF($L801&gt;$K801,"Rendu en retard","Rendu"),IF(TODAY()&gt;$K801,"En retard","En cours")))</f>
        <v/>
      </c>
      <c r="N801" s="139">
        <f>IF(OR($F801="",$I801=""),"",MAX(0,IF($L801&lt;&gt;"",$L801,TODAY())-$K801))</f>
        <v/>
      </c>
      <c r="O801" s="135">
        <f>IF(OR($F801="",$I801=""),"",$N801*P_Amende)</f>
        <v/>
      </c>
      <c r="P801" s="133" t="n"/>
      <c r="R801">
        <f>IF($M801="En retard",$N801+ROW()/100000,"")</f>
        <v/>
      </c>
      <c r="S801">
        <f>IF(OR($F801="",$I801=""),"",$F801+ROW()/100000)</f>
        <v/>
      </c>
      <c r="T801">
        <f>IF($I801="","",IFERROR(INDEX(LIV_Cat,MATCH($I801,LIV_Code,0)),""))</f>
        <v/>
      </c>
    </row>
    <row r="802" ht="21" customHeight="1">
      <c r="A802" s="1" t="n"/>
      <c r="B802" s="1" t="n"/>
      <c r="C802" s="2" t="n"/>
      <c r="E802" s="130">
        <f>IF($F802="","","EMP-"&amp;TEXT(ROW()-6,"0000"))</f>
        <v/>
      </c>
      <c r="F802" s="134" t="n"/>
      <c r="G802" s="127" t="n"/>
      <c r="H802" s="130">
        <f>IF($G802="","",IFERROR(INDEX(MEM_Nom,MATCH($G802,MEM_ID,0)),"⚠ ID inconnu"))</f>
        <v/>
      </c>
      <c r="I802" s="127" t="n"/>
      <c r="J802" s="130">
        <f>IF($I802="","",IFERROR(INDEX(LIV_Titre,MATCH($I802,LIV_Code,0)),"⚠ Code inconnu"))</f>
        <v/>
      </c>
      <c r="K802" s="138">
        <f>IF($F802="","",$F802+P_Duree)</f>
        <v/>
      </c>
      <c r="L802" s="134" t="n"/>
      <c r="M802" s="130">
        <f>IF(OR($F802="",$I802=""),"",IF($L802&lt;&gt;"",IF($L802&gt;$K802,"Rendu en retard","Rendu"),IF(TODAY()&gt;$K802,"En retard","En cours")))</f>
        <v/>
      </c>
      <c r="N802" s="139">
        <f>IF(OR($F802="",$I802=""),"",MAX(0,IF($L802&lt;&gt;"",$L802,TODAY())-$K802))</f>
        <v/>
      </c>
      <c r="O802" s="135">
        <f>IF(OR($F802="",$I802=""),"",$N802*P_Amende)</f>
        <v/>
      </c>
      <c r="P802" s="133" t="n"/>
      <c r="R802">
        <f>IF($M802="En retard",$N802+ROW()/100000,"")</f>
        <v/>
      </c>
      <c r="S802">
        <f>IF(OR($F802="",$I802=""),"",$F802+ROW()/100000)</f>
        <v/>
      </c>
      <c r="T802">
        <f>IF($I802="","",IFERROR(INDEX(LIV_Cat,MATCH($I802,LIV_Code,0)),""))</f>
        <v/>
      </c>
    </row>
    <row r="803" ht="21" customHeight="1">
      <c r="A803" s="1" t="n"/>
      <c r="B803" s="1" t="n"/>
      <c r="C803" s="2" t="n"/>
      <c r="E803" s="130">
        <f>IF($F803="","","EMP-"&amp;TEXT(ROW()-6,"0000"))</f>
        <v/>
      </c>
      <c r="F803" s="134" t="n"/>
      <c r="G803" s="127" t="n"/>
      <c r="H803" s="130">
        <f>IF($G803="","",IFERROR(INDEX(MEM_Nom,MATCH($G803,MEM_ID,0)),"⚠ ID inconnu"))</f>
        <v/>
      </c>
      <c r="I803" s="127" t="n"/>
      <c r="J803" s="130">
        <f>IF($I803="","",IFERROR(INDEX(LIV_Titre,MATCH($I803,LIV_Code,0)),"⚠ Code inconnu"))</f>
        <v/>
      </c>
      <c r="K803" s="138">
        <f>IF($F803="","",$F803+P_Duree)</f>
        <v/>
      </c>
      <c r="L803" s="134" t="n"/>
      <c r="M803" s="130">
        <f>IF(OR($F803="",$I803=""),"",IF($L803&lt;&gt;"",IF($L803&gt;$K803,"Rendu en retard","Rendu"),IF(TODAY()&gt;$K803,"En retard","En cours")))</f>
        <v/>
      </c>
      <c r="N803" s="139">
        <f>IF(OR($F803="",$I803=""),"",MAX(0,IF($L803&lt;&gt;"",$L803,TODAY())-$K803))</f>
        <v/>
      </c>
      <c r="O803" s="135">
        <f>IF(OR($F803="",$I803=""),"",$N803*P_Amende)</f>
        <v/>
      </c>
      <c r="P803" s="133" t="n"/>
      <c r="R803">
        <f>IF($M803="En retard",$N803+ROW()/100000,"")</f>
        <v/>
      </c>
      <c r="S803">
        <f>IF(OR($F803="",$I803=""),"",$F803+ROW()/100000)</f>
        <v/>
      </c>
      <c r="T803">
        <f>IF($I803="","",IFERROR(INDEX(LIV_Cat,MATCH($I803,LIV_Code,0)),""))</f>
        <v/>
      </c>
    </row>
    <row r="804" ht="21" customHeight="1">
      <c r="A804" s="1" t="n"/>
      <c r="B804" s="1" t="n"/>
      <c r="C804" s="2" t="n"/>
      <c r="E804" s="130">
        <f>IF($F804="","","EMP-"&amp;TEXT(ROW()-6,"0000"))</f>
        <v/>
      </c>
      <c r="F804" s="134" t="n"/>
      <c r="G804" s="127" t="n"/>
      <c r="H804" s="130">
        <f>IF($G804="","",IFERROR(INDEX(MEM_Nom,MATCH($G804,MEM_ID,0)),"⚠ ID inconnu"))</f>
        <v/>
      </c>
      <c r="I804" s="127" t="n"/>
      <c r="J804" s="130">
        <f>IF($I804="","",IFERROR(INDEX(LIV_Titre,MATCH($I804,LIV_Code,0)),"⚠ Code inconnu"))</f>
        <v/>
      </c>
      <c r="K804" s="138">
        <f>IF($F804="","",$F804+P_Duree)</f>
        <v/>
      </c>
      <c r="L804" s="134" t="n"/>
      <c r="M804" s="130">
        <f>IF(OR($F804="",$I804=""),"",IF($L804&lt;&gt;"",IF($L804&gt;$K804,"Rendu en retard","Rendu"),IF(TODAY()&gt;$K804,"En retard","En cours")))</f>
        <v/>
      </c>
      <c r="N804" s="139">
        <f>IF(OR($F804="",$I804=""),"",MAX(0,IF($L804&lt;&gt;"",$L804,TODAY())-$K804))</f>
        <v/>
      </c>
      <c r="O804" s="135">
        <f>IF(OR($F804="",$I804=""),"",$N804*P_Amende)</f>
        <v/>
      </c>
      <c r="P804" s="133" t="n"/>
      <c r="R804">
        <f>IF($M804="En retard",$N804+ROW()/100000,"")</f>
        <v/>
      </c>
      <c r="S804">
        <f>IF(OR($F804="",$I804=""),"",$F804+ROW()/100000)</f>
        <v/>
      </c>
      <c r="T804">
        <f>IF($I804="","",IFERROR(INDEX(LIV_Cat,MATCH($I804,LIV_Code,0)),""))</f>
        <v/>
      </c>
    </row>
    <row r="805" ht="21" customHeight="1">
      <c r="A805" s="1" t="n"/>
      <c r="B805" s="1" t="n"/>
      <c r="C805" s="2" t="n"/>
      <c r="E805" s="130">
        <f>IF($F805="","","EMP-"&amp;TEXT(ROW()-6,"0000"))</f>
        <v/>
      </c>
      <c r="F805" s="134" t="n"/>
      <c r="G805" s="127" t="n"/>
      <c r="H805" s="130">
        <f>IF($G805="","",IFERROR(INDEX(MEM_Nom,MATCH($G805,MEM_ID,0)),"⚠ ID inconnu"))</f>
        <v/>
      </c>
      <c r="I805" s="127" t="n"/>
      <c r="J805" s="130">
        <f>IF($I805="","",IFERROR(INDEX(LIV_Titre,MATCH($I805,LIV_Code,0)),"⚠ Code inconnu"))</f>
        <v/>
      </c>
      <c r="K805" s="138">
        <f>IF($F805="","",$F805+P_Duree)</f>
        <v/>
      </c>
      <c r="L805" s="134" t="n"/>
      <c r="M805" s="130">
        <f>IF(OR($F805="",$I805=""),"",IF($L805&lt;&gt;"",IF($L805&gt;$K805,"Rendu en retard","Rendu"),IF(TODAY()&gt;$K805,"En retard","En cours")))</f>
        <v/>
      </c>
      <c r="N805" s="139">
        <f>IF(OR($F805="",$I805=""),"",MAX(0,IF($L805&lt;&gt;"",$L805,TODAY())-$K805))</f>
        <v/>
      </c>
      <c r="O805" s="135">
        <f>IF(OR($F805="",$I805=""),"",$N805*P_Amende)</f>
        <v/>
      </c>
      <c r="P805" s="133" t="n"/>
      <c r="R805">
        <f>IF($M805="En retard",$N805+ROW()/100000,"")</f>
        <v/>
      </c>
      <c r="S805">
        <f>IF(OR($F805="",$I805=""),"",$F805+ROW()/100000)</f>
        <v/>
      </c>
      <c r="T805">
        <f>IF($I805="","",IFERROR(INDEX(LIV_Cat,MATCH($I805,LIV_Code,0)),""))</f>
        <v/>
      </c>
    </row>
    <row r="806" ht="21" customHeight="1">
      <c r="A806" s="1" t="n"/>
      <c r="B806" s="1" t="n"/>
      <c r="C806" s="2" t="n"/>
      <c r="E806" s="130">
        <f>IF($F806="","","EMP-"&amp;TEXT(ROW()-6,"0000"))</f>
        <v/>
      </c>
      <c r="F806" s="134" t="n"/>
      <c r="G806" s="127" t="n"/>
      <c r="H806" s="130">
        <f>IF($G806="","",IFERROR(INDEX(MEM_Nom,MATCH($G806,MEM_ID,0)),"⚠ ID inconnu"))</f>
        <v/>
      </c>
      <c r="I806" s="127" t="n"/>
      <c r="J806" s="130">
        <f>IF($I806="","",IFERROR(INDEX(LIV_Titre,MATCH($I806,LIV_Code,0)),"⚠ Code inconnu"))</f>
        <v/>
      </c>
      <c r="K806" s="138">
        <f>IF($F806="","",$F806+P_Duree)</f>
        <v/>
      </c>
      <c r="L806" s="134" t="n"/>
      <c r="M806" s="130">
        <f>IF(OR($F806="",$I806=""),"",IF($L806&lt;&gt;"",IF($L806&gt;$K806,"Rendu en retard","Rendu"),IF(TODAY()&gt;$K806,"En retard","En cours")))</f>
        <v/>
      </c>
      <c r="N806" s="139">
        <f>IF(OR($F806="",$I806=""),"",MAX(0,IF($L806&lt;&gt;"",$L806,TODAY())-$K806))</f>
        <v/>
      </c>
      <c r="O806" s="135">
        <f>IF(OR($F806="",$I806=""),"",$N806*P_Amende)</f>
        <v/>
      </c>
      <c r="P806" s="133" t="n"/>
      <c r="R806">
        <f>IF($M806="En retard",$N806+ROW()/100000,"")</f>
        <v/>
      </c>
      <c r="S806">
        <f>IF(OR($F806="",$I806=""),"",$F806+ROW()/100000)</f>
        <v/>
      </c>
      <c r="T806">
        <f>IF($I806="","",IFERROR(INDEX(LIV_Cat,MATCH($I806,LIV_Code,0)),""))</f>
        <v/>
      </c>
    </row>
    <row r="807" ht="21" customHeight="1">
      <c r="A807" s="1" t="n"/>
      <c r="B807" s="1" t="n"/>
      <c r="C807" s="2" t="n"/>
      <c r="E807" s="130">
        <f>IF($F807="","","EMP-"&amp;TEXT(ROW()-6,"0000"))</f>
        <v/>
      </c>
      <c r="F807" s="134" t="n"/>
      <c r="G807" s="127" t="n"/>
      <c r="H807" s="130">
        <f>IF($G807="","",IFERROR(INDEX(MEM_Nom,MATCH($G807,MEM_ID,0)),"⚠ ID inconnu"))</f>
        <v/>
      </c>
      <c r="I807" s="127" t="n"/>
      <c r="J807" s="130">
        <f>IF($I807="","",IFERROR(INDEX(LIV_Titre,MATCH($I807,LIV_Code,0)),"⚠ Code inconnu"))</f>
        <v/>
      </c>
      <c r="K807" s="138">
        <f>IF($F807="","",$F807+P_Duree)</f>
        <v/>
      </c>
      <c r="L807" s="134" t="n"/>
      <c r="M807" s="130">
        <f>IF(OR($F807="",$I807=""),"",IF($L807&lt;&gt;"",IF($L807&gt;$K807,"Rendu en retard","Rendu"),IF(TODAY()&gt;$K807,"En retard","En cours")))</f>
        <v/>
      </c>
      <c r="N807" s="139">
        <f>IF(OR($F807="",$I807=""),"",MAX(0,IF($L807&lt;&gt;"",$L807,TODAY())-$K807))</f>
        <v/>
      </c>
      <c r="O807" s="135">
        <f>IF(OR($F807="",$I807=""),"",$N807*P_Amende)</f>
        <v/>
      </c>
      <c r="P807" s="133" t="n"/>
      <c r="R807">
        <f>IF($M807="En retard",$N807+ROW()/100000,"")</f>
        <v/>
      </c>
      <c r="S807">
        <f>IF(OR($F807="",$I807=""),"",$F807+ROW()/100000)</f>
        <v/>
      </c>
      <c r="T807">
        <f>IF($I807="","",IFERROR(INDEX(LIV_Cat,MATCH($I807,LIV_Code,0)),""))</f>
        <v/>
      </c>
    </row>
    <row r="808" ht="21" customHeight="1">
      <c r="A808" s="1" t="n"/>
      <c r="B808" s="1" t="n"/>
      <c r="C808" s="2" t="n"/>
      <c r="E808" s="130">
        <f>IF($F808="","","EMP-"&amp;TEXT(ROW()-6,"0000"))</f>
        <v/>
      </c>
      <c r="F808" s="134" t="n"/>
      <c r="G808" s="127" t="n"/>
      <c r="H808" s="130">
        <f>IF($G808="","",IFERROR(INDEX(MEM_Nom,MATCH($G808,MEM_ID,0)),"⚠ ID inconnu"))</f>
        <v/>
      </c>
      <c r="I808" s="127" t="n"/>
      <c r="J808" s="130">
        <f>IF($I808="","",IFERROR(INDEX(LIV_Titre,MATCH($I808,LIV_Code,0)),"⚠ Code inconnu"))</f>
        <v/>
      </c>
      <c r="K808" s="138">
        <f>IF($F808="","",$F808+P_Duree)</f>
        <v/>
      </c>
      <c r="L808" s="134" t="n"/>
      <c r="M808" s="130">
        <f>IF(OR($F808="",$I808=""),"",IF($L808&lt;&gt;"",IF($L808&gt;$K808,"Rendu en retard","Rendu"),IF(TODAY()&gt;$K808,"En retard","En cours")))</f>
        <v/>
      </c>
      <c r="N808" s="139">
        <f>IF(OR($F808="",$I808=""),"",MAX(0,IF($L808&lt;&gt;"",$L808,TODAY())-$K808))</f>
        <v/>
      </c>
      <c r="O808" s="135">
        <f>IF(OR($F808="",$I808=""),"",$N808*P_Amende)</f>
        <v/>
      </c>
      <c r="P808" s="133" t="n"/>
      <c r="R808">
        <f>IF($M808="En retard",$N808+ROW()/100000,"")</f>
        <v/>
      </c>
      <c r="S808">
        <f>IF(OR($F808="",$I808=""),"",$F808+ROW()/100000)</f>
        <v/>
      </c>
      <c r="T808">
        <f>IF($I808="","",IFERROR(INDEX(LIV_Cat,MATCH($I808,LIV_Code,0)),""))</f>
        <v/>
      </c>
    </row>
    <row r="809" ht="21" customHeight="1">
      <c r="A809" s="1" t="n"/>
      <c r="B809" s="1" t="n"/>
      <c r="C809" s="2" t="n"/>
      <c r="E809" s="130">
        <f>IF($F809="","","EMP-"&amp;TEXT(ROW()-6,"0000"))</f>
        <v/>
      </c>
      <c r="F809" s="134" t="n"/>
      <c r="G809" s="127" t="n"/>
      <c r="H809" s="130">
        <f>IF($G809="","",IFERROR(INDEX(MEM_Nom,MATCH($G809,MEM_ID,0)),"⚠ ID inconnu"))</f>
        <v/>
      </c>
      <c r="I809" s="127" t="n"/>
      <c r="J809" s="130">
        <f>IF($I809="","",IFERROR(INDEX(LIV_Titre,MATCH($I809,LIV_Code,0)),"⚠ Code inconnu"))</f>
        <v/>
      </c>
      <c r="K809" s="138">
        <f>IF($F809="","",$F809+P_Duree)</f>
        <v/>
      </c>
      <c r="L809" s="134" t="n"/>
      <c r="M809" s="130">
        <f>IF(OR($F809="",$I809=""),"",IF($L809&lt;&gt;"",IF($L809&gt;$K809,"Rendu en retard","Rendu"),IF(TODAY()&gt;$K809,"En retard","En cours")))</f>
        <v/>
      </c>
      <c r="N809" s="139">
        <f>IF(OR($F809="",$I809=""),"",MAX(0,IF($L809&lt;&gt;"",$L809,TODAY())-$K809))</f>
        <v/>
      </c>
      <c r="O809" s="135">
        <f>IF(OR($F809="",$I809=""),"",$N809*P_Amende)</f>
        <v/>
      </c>
      <c r="P809" s="133" t="n"/>
      <c r="R809">
        <f>IF($M809="En retard",$N809+ROW()/100000,"")</f>
        <v/>
      </c>
      <c r="S809">
        <f>IF(OR($F809="",$I809=""),"",$F809+ROW()/100000)</f>
        <v/>
      </c>
      <c r="T809">
        <f>IF($I809="","",IFERROR(INDEX(LIV_Cat,MATCH($I809,LIV_Code,0)),""))</f>
        <v/>
      </c>
    </row>
    <row r="810" ht="21" customHeight="1">
      <c r="A810" s="1" t="n"/>
      <c r="B810" s="1" t="n"/>
      <c r="C810" s="2" t="n"/>
      <c r="E810" s="130">
        <f>IF($F810="","","EMP-"&amp;TEXT(ROW()-6,"0000"))</f>
        <v/>
      </c>
      <c r="F810" s="134" t="n"/>
      <c r="G810" s="127" t="n"/>
      <c r="H810" s="130">
        <f>IF($G810="","",IFERROR(INDEX(MEM_Nom,MATCH($G810,MEM_ID,0)),"⚠ ID inconnu"))</f>
        <v/>
      </c>
      <c r="I810" s="127" t="n"/>
      <c r="J810" s="130">
        <f>IF($I810="","",IFERROR(INDEX(LIV_Titre,MATCH($I810,LIV_Code,0)),"⚠ Code inconnu"))</f>
        <v/>
      </c>
      <c r="K810" s="138">
        <f>IF($F810="","",$F810+P_Duree)</f>
        <v/>
      </c>
      <c r="L810" s="134" t="n"/>
      <c r="M810" s="130">
        <f>IF(OR($F810="",$I810=""),"",IF($L810&lt;&gt;"",IF($L810&gt;$K810,"Rendu en retard","Rendu"),IF(TODAY()&gt;$K810,"En retard","En cours")))</f>
        <v/>
      </c>
      <c r="N810" s="139">
        <f>IF(OR($F810="",$I810=""),"",MAX(0,IF($L810&lt;&gt;"",$L810,TODAY())-$K810))</f>
        <v/>
      </c>
      <c r="O810" s="135">
        <f>IF(OR($F810="",$I810=""),"",$N810*P_Amende)</f>
        <v/>
      </c>
      <c r="P810" s="133" t="n"/>
      <c r="R810">
        <f>IF($M810="En retard",$N810+ROW()/100000,"")</f>
        <v/>
      </c>
      <c r="S810">
        <f>IF(OR($F810="",$I810=""),"",$F810+ROW()/100000)</f>
        <v/>
      </c>
      <c r="T810">
        <f>IF($I810="","",IFERROR(INDEX(LIV_Cat,MATCH($I810,LIV_Code,0)),""))</f>
        <v/>
      </c>
    </row>
    <row r="811" ht="21" customHeight="1">
      <c r="A811" s="1" t="n"/>
      <c r="B811" s="1" t="n"/>
      <c r="C811" s="2" t="n"/>
      <c r="E811" s="130">
        <f>IF($F811="","","EMP-"&amp;TEXT(ROW()-6,"0000"))</f>
        <v/>
      </c>
      <c r="F811" s="134" t="n"/>
      <c r="G811" s="127" t="n"/>
      <c r="H811" s="130">
        <f>IF($G811="","",IFERROR(INDEX(MEM_Nom,MATCH($G811,MEM_ID,0)),"⚠ ID inconnu"))</f>
        <v/>
      </c>
      <c r="I811" s="127" t="n"/>
      <c r="J811" s="130">
        <f>IF($I811="","",IFERROR(INDEX(LIV_Titre,MATCH($I811,LIV_Code,0)),"⚠ Code inconnu"))</f>
        <v/>
      </c>
      <c r="K811" s="138">
        <f>IF($F811="","",$F811+P_Duree)</f>
        <v/>
      </c>
      <c r="L811" s="134" t="n"/>
      <c r="M811" s="130">
        <f>IF(OR($F811="",$I811=""),"",IF($L811&lt;&gt;"",IF($L811&gt;$K811,"Rendu en retard","Rendu"),IF(TODAY()&gt;$K811,"En retard","En cours")))</f>
        <v/>
      </c>
      <c r="N811" s="139">
        <f>IF(OR($F811="",$I811=""),"",MAX(0,IF($L811&lt;&gt;"",$L811,TODAY())-$K811))</f>
        <v/>
      </c>
      <c r="O811" s="135">
        <f>IF(OR($F811="",$I811=""),"",$N811*P_Amende)</f>
        <v/>
      </c>
      <c r="P811" s="133" t="n"/>
      <c r="R811">
        <f>IF($M811="En retard",$N811+ROW()/100000,"")</f>
        <v/>
      </c>
      <c r="S811">
        <f>IF(OR($F811="",$I811=""),"",$F811+ROW()/100000)</f>
        <v/>
      </c>
      <c r="T811">
        <f>IF($I811="","",IFERROR(INDEX(LIV_Cat,MATCH($I811,LIV_Code,0)),""))</f>
        <v/>
      </c>
    </row>
    <row r="812" ht="21" customHeight="1">
      <c r="A812" s="1" t="n"/>
      <c r="B812" s="1" t="n"/>
      <c r="C812" s="2" t="n"/>
      <c r="E812" s="130">
        <f>IF($F812="","","EMP-"&amp;TEXT(ROW()-6,"0000"))</f>
        <v/>
      </c>
      <c r="F812" s="134" t="n"/>
      <c r="G812" s="127" t="n"/>
      <c r="H812" s="130">
        <f>IF($G812="","",IFERROR(INDEX(MEM_Nom,MATCH($G812,MEM_ID,0)),"⚠ ID inconnu"))</f>
        <v/>
      </c>
      <c r="I812" s="127" t="n"/>
      <c r="J812" s="130">
        <f>IF($I812="","",IFERROR(INDEX(LIV_Titre,MATCH($I812,LIV_Code,0)),"⚠ Code inconnu"))</f>
        <v/>
      </c>
      <c r="K812" s="138">
        <f>IF($F812="","",$F812+P_Duree)</f>
        <v/>
      </c>
      <c r="L812" s="134" t="n"/>
      <c r="M812" s="130">
        <f>IF(OR($F812="",$I812=""),"",IF($L812&lt;&gt;"",IF($L812&gt;$K812,"Rendu en retard","Rendu"),IF(TODAY()&gt;$K812,"En retard","En cours")))</f>
        <v/>
      </c>
      <c r="N812" s="139">
        <f>IF(OR($F812="",$I812=""),"",MAX(0,IF($L812&lt;&gt;"",$L812,TODAY())-$K812))</f>
        <v/>
      </c>
      <c r="O812" s="135">
        <f>IF(OR($F812="",$I812=""),"",$N812*P_Amende)</f>
        <v/>
      </c>
      <c r="P812" s="133" t="n"/>
      <c r="R812">
        <f>IF($M812="En retard",$N812+ROW()/100000,"")</f>
        <v/>
      </c>
      <c r="S812">
        <f>IF(OR($F812="",$I812=""),"",$F812+ROW()/100000)</f>
        <v/>
      </c>
      <c r="T812">
        <f>IF($I812="","",IFERROR(INDEX(LIV_Cat,MATCH($I812,LIV_Code,0)),""))</f>
        <v/>
      </c>
    </row>
    <row r="813" ht="21" customHeight="1">
      <c r="A813" s="1" t="n"/>
      <c r="B813" s="1" t="n"/>
      <c r="C813" s="2" t="n"/>
      <c r="E813" s="130">
        <f>IF($F813="","","EMP-"&amp;TEXT(ROW()-6,"0000"))</f>
        <v/>
      </c>
      <c r="F813" s="134" t="n"/>
      <c r="G813" s="127" t="n"/>
      <c r="H813" s="130">
        <f>IF($G813="","",IFERROR(INDEX(MEM_Nom,MATCH($G813,MEM_ID,0)),"⚠ ID inconnu"))</f>
        <v/>
      </c>
      <c r="I813" s="127" t="n"/>
      <c r="J813" s="130">
        <f>IF($I813="","",IFERROR(INDEX(LIV_Titre,MATCH($I813,LIV_Code,0)),"⚠ Code inconnu"))</f>
        <v/>
      </c>
      <c r="K813" s="138">
        <f>IF($F813="","",$F813+P_Duree)</f>
        <v/>
      </c>
      <c r="L813" s="134" t="n"/>
      <c r="M813" s="130">
        <f>IF(OR($F813="",$I813=""),"",IF($L813&lt;&gt;"",IF($L813&gt;$K813,"Rendu en retard","Rendu"),IF(TODAY()&gt;$K813,"En retard","En cours")))</f>
        <v/>
      </c>
      <c r="N813" s="139">
        <f>IF(OR($F813="",$I813=""),"",MAX(0,IF($L813&lt;&gt;"",$L813,TODAY())-$K813))</f>
        <v/>
      </c>
      <c r="O813" s="135">
        <f>IF(OR($F813="",$I813=""),"",$N813*P_Amende)</f>
        <v/>
      </c>
      <c r="P813" s="133" t="n"/>
      <c r="R813">
        <f>IF($M813="En retard",$N813+ROW()/100000,"")</f>
        <v/>
      </c>
      <c r="S813">
        <f>IF(OR($F813="",$I813=""),"",$F813+ROW()/100000)</f>
        <v/>
      </c>
      <c r="T813">
        <f>IF($I813="","",IFERROR(INDEX(LIV_Cat,MATCH($I813,LIV_Code,0)),""))</f>
        <v/>
      </c>
    </row>
    <row r="814" ht="21" customHeight="1">
      <c r="A814" s="1" t="n"/>
      <c r="B814" s="1" t="n"/>
      <c r="C814" s="2" t="n"/>
      <c r="E814" s="130">
        <f>IF($F814="","","EMP-"&amp;TEXT(ROW()-6,"0000"))</f>
        <v/>
      </c>
      <c r="F814" s="134" t="n"/>
      <c r="G814" s="127" t="n"/>
      <c r="H814" s="130">
        <f>IF($G814="","",IFERROR(INDEX(MEM_Nom,MATCH($G814,MEM_ID,0)),"⚠ ID inconnu"))</f>
        <v/>
      </c>
      <c r="I814" s="127" t="n"/>
      <c r="J814" s="130">
        <f>IF($I814="","",IFERROR(INDEX(LIV_Titre,MATCH($I814,LIV_Code,0)),"⚠ Code inconnu"))</f>
        <v/>
      </c>
      <c r="K814" s="138">
        <f>IF($F814="","",$F814+P_Duree)</f>
        <v/>
      </c>
      <c r="L814" s="134" t="n"/>
      <c r="M814" s="130">
        <f>IF(OR($F814="",$I814=""),"",IF($L814&lt;&gt;"",IF($L814&gt;$K814,"Rendu en retard","Rendu"),IF(TODAY()&gt;$K814,"En retard","En cours")))</f>
        <v/>
      </c>
      <c r="N814" s="139">
        <f>IF(OR($F814="",$I814=""),"",MAX(0,IF($L814&lt;&gt;"",$L814,TODAY())-$K814))</f>
        <v/>
      </c>
      <c r="O814" s="135">
        <f>IF(OR($F814="",$I814=""),"",$N814*P_Amende)</f>
        <v/>
      </c>
      <c r="P814" s="133" t="n"/>
      <c r="R814">
        <f>IF($M814="En retard",$N814+ROW()/100000,"")</f>
        <v/>
      </c>
      <c r="S814">
        <f>IF(OR($F814="",$I814=""),"",$F814+ROW()/100000)</f>
        <v/>
      </c>
      <c r="T814">
        <f>IF($I814="","",IFERROR(INDEX(LIV_Cat,MATCH($I814,LIV_Code,0)),""))</f>
        <v/>
      </c>
    </row>
    <row r="815" ht="21" customHeight="1">
      <c r="A815" s="1" t="n"/>
      <c r="B815" s="1" t="n"/>
      <c r="C815" s="2" t="n"/>
      <c r="E815" s="130">
        <f>IF($F815="","","EMP-"&amp;TEXT(ROW()-6,"0000"))</f>
        <v/>
      </c>
      <c r="F815" s="134" t="n"/>
      <c r="G815" s="127" t="n"/>
      <c r="H815" s="130">
        <f>IF($G815="","",IFERROR(INDEX(MEM_Nom,MATCH($G815,MEM_ID,0)),"⚠ ID inconnu"))</f>
        <v/>
      </c>
      <c r="I815" s="127" t="n"/>
      <c r="J815" s="130">
        <f>IF($I815="","",IFERROR(INDEX(LIV_Titre,MATCH($I815,LIV_Code,0)),"⚠ Code inconnu"))</f>
        <v/>
      </c>
      <c r="K815" s="138">
        <f>IF($F815="","",$F815+P_Duree)</f>
        <v/>
      </c>
      <c r="L815" s="134" t="n"/>
      <c r="M815" s="130">
        <f>IF(OR($F815="",$I815=""),"",IF($L815&lt;&gt;"",IF($L815&gt;$K815,"Rendu en retard","Rendu"),IF(TODAY()&gt;$K815,"En retard","En cours")))</f>
        <v/>
      </c>
      <c r="N815" s="139">
        <f>IF(OR($F815="",$I815=""),"",MAX(0,IF($L815&lt;&gt;"",$L815,TODAY())-$K815))</f>
        <v/>
      </c>
      <c r="O815" s="135">
        <f>IF(OR($F815="",$I815=""),"",$N815*P_Amende)</f>
        <v/>
      </c>
      <c r="P815" s="133" t="n"/>
      <c r="R815">
        <f>IF($M815="En retard",$N815+ROW()/100000,"")</f>
        <v/>
      </c>
      <c r="S815">
        <f>IF(OR($F815="",$I815=""),"",$F815+ROW()/100000)</f>
        <v/>
      </c>
      <c r="T815">
        <f>IF($I815="","",IFERROR(INDEX(LIV_Cat,MATCH($I815,LIV_Code,0)),""))</f>
        <v/>
      </c>
    </row>
    <row r="816" ht="21" customHeight="1">
      <c r="A816" s="1" t="n"/>
      <c r="B816" s="1" t="n"/>
      <c r="C816" s="2" t="n"/>
      <c r="E816" s="130">
        <f>IF($F816="","","EMP-"&amp;TEXT(ROW()-6,"0000"))</f>
        <v/>
      </c>
      <c r="F816" s="134" t="n"/>
      <c r="G816" s="127" t="n"/>
      <c r="H816" s="130">
        <f>IF($G816="","",IFERROR(INDEX(MEM_Nom,MATCH($G816,MEM_ID,0)),"⚠ ID inconnu"))</f>
        <v/>
      </c>
      <c r="I816" s="127" t="n"/>
      <c r="J816" s="130">
        <f>IF($I816="","",IFERROR(INDEX(LIV_Titre,MATCH($I816,LIV_Code,0)),"⚠ Code inconnu"))</f>
        <v/>
      </c>
      <c r="K816" s="138">
        <f>IF($F816="","",$F816+P_Duree)</f>
        <v/>
      </c>
      <c r="L816" s="134" t="n"/>
      <c r="M816" s="130">
        <f>IF(OR($F816="",$I816=""),"",IF($L816&lt;&gt;"",IF($L816&gt;$K816,"Rendu en retard","Rendu"),IF(TODAY()&gt;$K816,"En retard","En cours")))</f>
        <v/>
      </c>
      <c r="N816" s="139">
        <f>IF(OR($F816="",$I816=""),"",MAX(0,IF($L816&lt;&gt;"",$L816,TODAY())-$K816))</f>
        <v/>
      </c>
      <c r="O816" s="135">
        <f>IF(OR($F816="",$I816=""),"",$N816*P_Amende)</f>
        <v/>
      </c>
      <c r="P816" s="133" t="n"/>
      <c r="R816">
        <f>IF($M816="En retard",$N816+ROW()/100000,"")</f>
        <v/>
      </c>
      <c r="S816">
        <f>IF(OR($F816="",$I816=""),"",$F816+ROW()/100000)</f>
        <v/>
      </c>
      <c r="T816">
        <f>IF($I816="","",IFERROR(INDEX(LIV_Cat,MATCH($I816,LIV_Code,0)),""))</f>
        <v/>
      </c>
    </row>
    <row r="817" ht="21" customHeight="1">
      <c r="A817" s="1" t="n"/>
      <c r="B817" s="1" t="n"/>
      <c r="C817" s="2" t="n"/>
      <c r="E817" s="130">
        <f>IF($F817="","","EMP-"&amp;TEXT(ROW()-6,"0000"))</f>
        <v/>
      </c>
      <c r="F817" s="134" t="n"/>
      <c r="G817" s="127" t="n"/>
      <c r="H817" s="130">
        <f>IF($G817="","",IFERROR(INDEX(MEM_Nom,MATCH($G817,MEM_ID,0)),"⚠ ID inconnu"))</f>
        <v/>
      </c>
      <c r="I817" s="127" t="n"/>
      <c r="J817" s="130">
        <f>IF($I817="","",IFERROR(INDEX(LIV_Titre,MATCH($I817,LIV_Code,0)),"⚠ Code inconnu"))</f>
        <v/>
      </c>
      <c r="K817" s="138">
        <f>IF($F817="","",$F817+P_Duree)</f>
        <v/>
      </c>
      <c r="L817" s="134" t="n"/>
      <c r="M817" s="130">
        <f>IF(OR($F817="",$I817=""),"",IF($L817&lt;&gt;"",IF($L817&gt;$K817,"Rendu en retard","Rendu"),IF(TODAY()&gt;$K817,"En retard","En cours")))</f>
        <v/>
      </c>
      <c r="N817" s="139">
        <f>IF(OR($F817="",$I817=""),"",MAX(0,IF($L817&lt;&gt;"",$L817,TODAY())-$K817))</f>
        <v/>
      </c>
      <c r="O817" s="135">
        <f>IF(OR($F817="",$I817=""),"",$N817*P_Amende)</f>
        <v/>
      </c>
      <c r="P817" s="133" t="n"/>
      <c r="R817">
        <f>IF($M817="En retard",$N817+ROW()/100000,"")</f>
        <v/>
      </c>
      <c r="S817">
        <f>IF(OR($F817="",$I817=""),"",$F817+ROW()/100000)</f>
        <v/>
      </c>
      <c r="T817">
        <f>IF($I817="","",IFERROR(INDEX(LIV_Cat,MATCH($I817,LIV_Code,0)),""))</f>
        <v/>
      </c>
    </row>
    <row r="818" ht="21" customHeight="1">
      <c r="A818" s="1" t="n"/>
      <c r="B818" s="1" t="n"/>
      <c r="C818" s="2" t="n"/>
      <c r="E818" s="130">
        <f>IF($F818="","","EMP-"&amp;TEXT(ROW()-6,"0000"))</f>
        <v/>
      </c>
      <c r="F818" s="134" t="n"/>
      <c r="G818" s="127" t="n"/>
      <c r="H818" s="130">
        <f>IF($G818="","",IFERROR(INDEX(MEM_Nom,MATCH($G818,MEM_ID,0)),"⚠ ID inconnu"))</f>
        <v/>
      </c>
      <c r="I818" s="127" t="n"/>
      <c r="J818" s="130">
        <f>IF($I818="","",IFERROR(INDEX(LIV_Titre,MATCH($I818,LIV_Code,0)),"⚠ Code inconnu"))</f>
        <v/>
      </c>
      <c r="K818" s="138">
        <f>IF($F818="","",$F818+P_Duree)</f>
        <v/>
      </c>
      <c r="L818" s="134" t="n"/>
      <c r="M818" s="130">
        <f>IF(OR($F818="",$I818=""),"",IF($L818&lt;&gt;"",IF($L818&gt;$K818,"Rendu en retard","Rendu"),IF(TODAY()&gt;$K818,"En retard","En cours")))</f>
        <v/>
      </c>
      <c r="N818" s="139">
        <f>IF(OR($F818="",$I818=""),"",MAX(0,IF($L818&lt;&gt;"",$L818,TODAY())-$K818))</f>
        <v/>
      </c>
      <c r="O818" s="135">
        <f>IF(OR($F818="",$I818=""),"",$N818*P_Amende)</f>
        <v/>
      </c>
      <c r="P818" s="133" t="n"/>
      <c r="R818">
        <f>IF($M818="En retard",$N818+ROW()/100000,"")</f>
        <v/>
      </c>
      <c r="S818">
        <f>IF(OR($F818="",$I818=""),"",$F818+ROW()/100000)</f>
        <v/>
      </c>
      <c r="T818">
        <f>IF($I818="","",IFERROR(INDEX(LIV_Cat,MATCH($I818,LIV_Code,0)),""))</f>
        <v/>
      </c>
    </row>
    <row r="819" ht="21" customHeight="1">
      <c r="A819" s="1" t="n"/>
      <c r="B819" s="1" t="n"/>
      <c r="C819" s="2" t="n"/>
      <c r="E819" s="130">
        <f>IF($F819="","","EMP-"&amp;TEXT(ROW()-6,"0000"))</f>
        <v/>
      </c>
      <c r="F819" s="134" t="n"/>
      <c r="G819" s="127" t="n"/>
      <c r="H819" s="130">
        <f>IF($G819="","",IFERROR(INDEX(MEM_Nom,MATCH($G819,MEM_ID,0)),"⚠ ID inconnu"))</f>
        <v/>
      </c>
      <c r="I819" s="127" t="n"/>
      <c r="J819" s="130">
        <f>IF($I819="","",IFERROR(INDEX(LIV_Titre,MATCH($I819,LIV_Code,0)),"⚠ Code inconnu"))</f>
        <v/>
      </c>
      <c r="K819" s="138">
        <f>IF($F819="","",$F819+P_Duree)</f>
        <v/>
      </c>
      <c r="L819" s="134" t="n"/>
      <c r="M819" s="130">
        <f>IF(OR($F819="",$I819=""),"",IF($L819&lt;&gt;"",IF($L819&gt;$K819,"Rendu en retard","Rendu"),IF(TODAY()&gt;$K819,"En retard","En cours")))</f>
        <v/>
      </c>
      <c r="N819" s="139">
        <f>IF(OR($F819="",$I819=""),"",MAX(0,IF($L819&lt;&gt;"",$L819,TODAY())-$K819))</f>
        <v/>
      </c>
      <c r="O819" s="135">
        <f>IF(OR($F819="",$I819=""),"",$N819*P_Amende)</f>
        <v/>
      </c>
      <c r="P819" s="133" t="n"/>
      <c r="R819">
        <f>IF($M819="En retard",$N819+ROW()/100000,"")</f>
        <v/>
      </c>
      <c r="S819">
        <f>IF(OR($F819="",$I819=""),"",$F819+ROW()/100000)</f>
        <v/>
      </c>
      <c r="T819">
        <f>IF($I819="","",IFERROR(INDEX(LIV_Cat,MATCH($I819,LIV_Code,0)),""))</f>
        <v/>
      </c>
    </row>
    <row r="820" ht="21" customHeight="1">
      <c r="A820" s="1" t="n"/>
      <c r="B820" s="1" t="n"/>
      <c r="C820" s="2" t="n"/>
      <c r="E820" s="130">
        <f>IF($F820="","","EMP-"&amp;TEXT(ROW()-6,"0000"))</f>
        <v/>
      </c>
      <c r="F820" s="134" t="n"/>
      <c r="G820" s="127" t="n"/>
      <c r="H820" s="130">
        <f>IF($G820="","",IFERROR(INDEX(MEM_Nom,MATCH($G820,MEM_ID,0)),"⚠ ID inconnu"))</f>
        <v/>
      </c>
      <c r="I820" s="127" t="n"/>
      <c r="J820" s="130">
        <f>IF($I820="","",IFERROR(INDEX(LIV_Titre,MATCH($I820,LIV_Code,0)),"⚠ Code inconnu"))</f>
        <v/>
      </c>
      <c r="K820" s="138">
        <f>IF($F820="","",$F820+P_Duree)</f>
        <v/>
      </c>
      <c r="L820" s="134" t="n"/>
      <c r="M820" s="130">
        <f>IF(OR($F820="",$I820=""),"",IF($L820&lt;&gt;"",IF($L820&gt;$K820,"Rendu en retard","Rendu"),IF(TODAY()&gt;$K820,"En retard","En cours")))</f>
        <v/>
      </c>
      <c r="N820" s="139">
        <f>IF(OR($F820="",$I820=""),"",MAX(0,IF($L820&lt;&gt;"",$L820,TODAY())-$K820))</f>
        <v/>
      </c>
      <c r="O820" s="135">
        <f>IF(OR($F820="",$I820=""),"",$N820*P_Amende)</f>
        <v/>
      </c>
      <c r="P820" s="133" t="n"/>
      <c r="R820">
        <f>IF($M820="En retard",$N820+ROW()/100000,"")</f>
        <v/>
      </c>
      <c r="S820">
        <f>IF(OR($F820="",$I820=""),"",$F820+ROW()/100000)</f>
        <v/>
      </c>
      <c r="T820">
        <f>IF($I820="","",IFERROR(INDEX(LIV_Cat,MATCH($I820,LIV_Code,0)),""))</f>
        <v/>
      </c>
    </row>
    <row r="821" ht="21" customHeight="1">
      <c r="A821" s="1" t="n"/>
      <c r="B821" s="1" t="n"/>
      <c r="C821" s="2" t="n"/>
      <c r="E821" s="130">
        <f>IF($F821="","","EMP-"&amp;TEXT(ROW()-6,"0000"))</f>
        <v/>
      </c>
      <c r="F821" s="134" t="n"/>
      <c r="G821" s="127" t="n"/>
      <c r="H821" s="130">
        <f>IF($G821="","",IFERROR(INDEX(MEM_Nom,MATCH($G821,MEM_ID,0)),"⚠ ID inconnu"))</f>
        <v/>
      </c>
      <c r="I821" s="127" t="n"/>
      <c r="J821" s="130">
        <f>IF($I821="","",IFERROR(INDEX(LIV_Titre,MATCH($I821,LIV_Code,0)),"⚠ Code inconnu"))</f>
        <v/>
      </c>
      <c r="K821" s="138">
        <f>IF($F821="","",$F821+P_Duree)</f>
        <v/>
      </c>
      <c r="L821" s="134" t="n"/>
      <c r="M821" s="130">
        <f>IF(OR($F821="",$I821=""),"",IF($L821&lt;&gt;"",IF($L821&gt;$K821,"Rendu en retard","Rendu"),IF(TODAY()&gt;$K821,"En retard","En cours")))</f>
        <v/>
      </c>
      <c r="N821" s="139">
        <f>IF(OR($F821="",$I821=""),"",MAX(0,IF($L821&lt;&gt;"",$L821,TODAY())-$K821))</f>
        <v/>
      </c>
      <c r="O821" s="135">
        <f>IF(OR($F821="",$I821=""),"",$N821*P_Amende)</f>
        <v/>
      </c>
      <c r="P821" s="133" t="n"/>
      <c r="R821">
        <f>IF($M821="En retard",$N821+ROW()/100000,"")</f>
        <v/>
      </c>
      <c r="S821">
        <f>IF(OR($F821="",$I821=""),"",$F821+ROW()/100000)</f>
        <v/>
      </c>
      <c r="T821">
        <f>IF($I821="","",IFERROR(INDEX(LIV_Cat,MATCH($I821,LIV_Code,0)),""))</f>
        <v/>
      </c>
    </row>
    <row r="822" ht="21" customHeight="1">
      <c r="A822" s="1" t="n"/>
      <c r="B822" s="1" t="n"/>
      <c r="C822" s="2" t="n"/>
      <c r="E822" s="130">
        <f>IF($F822="","","EMP-"&amp;TEXT(ROW()-6,"0000"))</f>
        <v/>
      </c>
      <c r="F822" s="134" t="n"/>
      <c r="G822" s="127" t="n"/>
      <c r="H822" s="130">
        <f>IF($G822="","",IFERROR(INDEX(MEM_Nom,MATCH($G822,MEM_ID,0)),"⚠ ID inconnu"))</f>
        <v/>
      </c>
      <c r="I822" s="127" t="n"/>
      <c r="J822" s="130">
        <f>IF($I822="","",IFERROR(INDEX(LIV_Titre,MATCH($I822,LIV_Code,0)),"⚠ Code inconnu"))</f>
        <v/>
      </c>
      <c r="K822" s="138">
        <f>IF($F822="","",$F822+P_Duree)</f>
        <v/>
      </c>
      <c r="L822" s="134" t="n"/>
      <c r="M822" s="130">
        <f>IF(OR($F822="",$I822=""),"",IF($L822&lt;&gt;"",IF($L822&gt;$K822,"Rendu en retard","Rendu"),IF(TODAY()&gt;$K822,"En retard","En cours")))</f>
        <v/>
      </c>
      <c r="N822" s="139">
        <f>IF(OR($F822="",$I822=""),"",MAX(0,IF($L822&lt;&gt;"",$L822,TODAY())-$K822))</f>
        <v/>
      </c>
      <c r="O822" s="135">
        <f>IF(OR($F822="",$I822=""),"",$N822*P_Amende)</f>
        <v/>
      </c>
      <c r="P822" s="133" t="n"/>
      <c r="R822">
        <f>IF($M822="En retard",$N822+ROW()/100000,"")</f>
        <v/>
      </c>
      <c r="S822">
        <f>IF(OR($F822="",$I822=""),"",$F822+ROW()/100000)</f>
        <v/>
      </c>
      <c r="T822">
        <f>IF($I822="","",IFERROR(INDEX(LIV_Cat,MATCH($I822,LIV_Code,0)),""))</f>
        <v/>
      </c>
    </row>
    <row r="823" ht="21" customHeight="1">
      <c r="A823" s="1" t="n"/>
      <c r="B823" s="1" t="n"/>
      <c r="C823" s="2" t="n"/>
      <c r="E823" s="130">
        <f>IF($F823="","","EMP-"&amp;TEXT(ROW()-6,"0000"))</f>
        <v/>
      </c>
      <c r="F823" s="134" t="n"/>
      <c r="G823" s="127" t="n"/>
      <c r="H823" s="130">
        <f>IF($G823="","",IFERROR(INDEX(MEM_Nom,MATCH($G823,MEM_ID,0)),"⚠ ID inconnu"))</f>
        <v/>
      </c>
      <c r="I823" s="127" t="n"/>
      <c r="J823" s="130">
        <f>IF($I823="","",IFERROR(INDEX(LIV_Titre,MATCH($I823,LIV_Code,0)),"⚠ Code inconnu"))</f>
        <v/>
      </c>
      <c r="K823" s="138">
        <f>IF($F823="","",$F823+P_Duree)</f>
        <v/>
      </c>
      <c r="L823" s="134" t="n"/>
      <c r="M823" s="130">
        <f>IF(OR($F823="",$I823=""),"",IF($L823&lt;&gt;"",IF($L823&gt;$K823,"Rendu en retard","Rendu"),IF(TODAY()&gt;$K823,"En retard","En cours")))</f>
        <v/>
      </c>
      <c r="N823" s="139">
        <f>IF(OR($F823="",$I823=""),"",MAX(0,IF($L823&lt;&gt;"",$L823,TODAY())-$K823))</f>
        <v/>
      </c>
      <c r="O823" s="135">
        <f>IF(OR($F823="",$I823=""),"",$N823*P_Amende)</f>
        <v/>
      </c>
      <c r="P823" s="133" t="n"/>
      <c r="R823">
        <f>IF($M823="En retard",$N823+ROW()/100000,"")</f>
        <v/>
      </c>
      <c r="S823">
        <f>IF(OR($F823="",$I823=""),"",$F823+ROW()/100000)</f>
        <v/>
      </c>
      <c r="T823">
        <f>IF($I823="","",IFERROR(INDEX(LIV_Cat,MATCH($I823,LIV_Code,0)),""))</f>
        <v/>
      </c>
    </row>
    <row r="824" ht="21" customHeight="1">
      <c r="A824" s="1" t="n"/>
      <c r="B824" s="1" t="n"/>
      <c r="C824" s="2" t="n"/>
      <c r="E824" s="130">
        <f>IF($F824="","","EMP-"&amp;TEXT(ROW()-6,"0000"))</f>
        <v/>
      </c>
      <c r="F824" s="134" t="n"/>
      <c r="G824" s="127" t="n"/>
      <c r="H824" s="130">
        <f>IF($G824="","",IFERROR(INDEX(MEM_Nom,MATCH($G824,MEM_ID,0)),"⚠ ID inconnu"))</f>
        <v/>
      </c>
      <c r="I824" s="127" t="n"/>
      <c r="J824" s="130">
        <f>IF($I824="","",IFERROR(INDEX(LIV_Titre,MATCH($I824,LIV_Code,0)),"⚠ Code inconnu"))</f>
        <v/>
      </c>
      <c r="K824" s="138">
        <f>IF($F824="","",$F824+P_Duree)</f>
        <v/>
      </c>
      <c r="L824" s="134" t="n"/>
      <c r="M824" s="130">
        <f>IF(OR($F824="",$I824=""),"",IF($L824&lt;&gt;"",IF($L824&gt;$K824,"Rendu en retard","Rendu"),IF(TODAY()&gt;$K824,"En retard","En cours")))</f>
        <v/>
      </c>
      <c r="N824" s="139">
        <f>IF(OR($F824="",$I824=""),"",MAX(0,IF($L824&lt;&gt;"",$L824,TODAY())-$K824))</f>
        <v/>
      </c>
      <c r="O824" s="135">
        <f>IF(OR($F824="",$I824=""),"",$N824*P_Amende)</f>
        <v/>
      </c>
      <c r="P824" s="133" t="n"/>
      <c r="R824">
        <f>IF($M824="En retard",$N824+ROW()/100000,"")</f>
        <v/>
      </c>
      <c r="S824">
        <f>IF(OR($F824="",$I824=""),"",$F824+ROW()/100000)</f>
        <v/>
      </c>
      <c r="T824">
        <f>IF($I824="","",IFERROR(INDEX(LIV_Cat,MATCH($I824,LIV_Code,0)),""))</f>
        <v/>
      </c>
    </row>
    <row r="825" ht="21" customHeight="1">
      <c r="A825" s="1" t="n"/>
      <c r="B825" s="1" t="n"/>
      <c r="C825" s="2" t="n"/>
      <c r="E825" s="130">
        <f>IF($F825="","","EMP-"&amp;TEXT(ROW()-6,"0000"))</f>
        <v/>
      </c>
      <c r="F825" s="134" t="n"/>
      <c r="G825" s="127" t="n"/>
      <c r="H825" s="130">
        <f>IF($G825="","",IFERROR(INDEX(MEM_Nom,MATCH($G825,MEM_ID,0)),"⚠ ID inconnu"))</f>
        <v/>
      </c>
      <c r="I825" s="127" t="n"/>
      <c r="J825" s="130">
        <f>IF($I825="","",IFERROR(INDEX(LIV_Titre,MATCH($I825,LIV_Code,0)),"⚠ Code inconnu"))</f>
        <v/>
      </c>
      <c r="K825" s="138">
        <f>IF($F825="","",$F825+P_Duree)</f>
        <v/>
      </c>
      <c r="L825" s="134" t="n"/>
      <c r="M825" s="130">
        <f>IF(OR($F825="",$I825=""),"",IF($L825&lt;&gt;"",IF($L825&gt;$K825,"Rendu en retard","Rendu"),IF(TODAY()&gt;$K825,"En retard","En cours")))</f>
        <v/>
      </c>
      <c r="N825" s="139">
        <f>IF(OR($F825="",$I825=""),"",MAX(0,IF($L825&lt;&gt;"",$L825,TODAY())-$K825))</f>
        <v/>
      </c>
      <c r="O825" s="135">
        <f>IF(OR($F825="",$I825=""),"",$N825*P_Amende)</f>
        <v/>
      </c>
      <c r="P825" s="133" t="n"/>
      <c r="R825">
        <f>IF($M825="En retard",$N825+ROW()/100000,"")</f>
        <v/>
      </c>
      <c r="S825">
        <f>IF(OR($F825="",$I825=""),"",$F825+ROW()/100000)</f>
        <v/>
      </c>
      <c r="T825">
        <f>IF($I825="","",IFERROR(INDEX(LIV_Cat,MATCH($I825,LIV_Code,0)),""))</f>
        <v/>
      </c>
    </row>
    <row r="826" ht="21" customHeight="1">
      <c r="A826" s="1" t="n"/>
      <c r="B826" s="1" t="n"/>
      <c r="C826" s="2" t="n"/>
      <c r="E826" s="130">
        <f>IF($F826="","","EMP-"&amp;TEXT(ROW()-6,"0000"))</f>
        <v/>
      </c>
      <c r="F826" s="134" t="n"/>
      <c r="G826" s="127" t="n"/>
      <c r="H826" s="130">
        <f>IF($G826="","",IFERROR(INDEX(MEM_Nom,MATCH($G826,MEM_ID,0)),"⚠ ID inconnu"))</f>
        <v/>
      </c>
      <c r="I826" s="127" t="n"/>
      <c r="J826" s="130">
        <f>IF($I826="","",IFERROR(INDEX(LIV_Titre,MATCH($I826,LIV_Code,0)),"⚠ Code inconnu"))</f>
        <v/>
      </c>
      <c r="K826" s="138">
        <f>IF($F826="","",$F826+P_Duree)</f>
        <v/>
      </c>
      <c r="L826" s="134" t="n"/>
      <c r="M826" s="130">
        <f>IF(OR($F826="",$I826=""),"",IF($L826&lt;&gt;"",IF($L826&gt;$K826,"Rendu en retard","Rendu"),IF(TODAY()&gt;$K826,"En retard","En cours")))</f>
        <v/>
      </c>
      <c r="N826" s="139">
        <f>IF(OR($F826="",$I826=""),"",MAX(0,IF($L826&lt;&gt;"",$L826,TODAY())-$K826))</f>
        <v/>
      </c>
      <c r="O826" s="135">
        <f>IF(OR($F826="",$I826=""),"",$N826*P_Amende)</f>
        <v/>
      </c>
      <c r="P826" s="133" t="n"/>
      <c r="R826">
        <f>IF($M826="En retard",$N826+ROW()/100000,"")</f>
        <v/>
      </c>
      <c r="S826">
        <f>IF(OR($F826="",$I826=""),"",$F826+ROW()/100000)</f>
        <v/>
      </c>
      <c r="T826">
        <f>IF($I826="","",IFERROR(INDEX(LIV_Cat,MATCH($I826,LIV_Code,0)),""))</f>
        <v/>
      </c>
    </row>
    <row r="827" ht="21" customHeight="1">
      <c r="A827" s="1" t="n"/>
      <c r="B827" s="1" t="n"/>
      <c r="C827" s="2" t="n"/>
      <c r="E827" s="130">
        <f>IF($F827="","","EMP-"&amp;TEXT(ROW()-6,"0000"))</f>
        <v/>
      </c>
      <c r="F827" s="134" t="n"/>
      <c r="G827" s="127" t="n"/>
      <c r="H827" s="130">
        <f>IF($G827="","",IFERROR(INDEX(MEM_Nom,MATCH($G827,MEM_ID,0)),"⚠ ID inconnu"))</f>
        <v/>
      </c>
      <c r="I827" s="127" t="n"/>
      <c r="J827" s="130">
        <f>IF($I827="","",IFERROR(INDEX(LIV_Titre,MATCH($I827,LIV_Code,0)),"⚠ Code inconnu"))</f>
        <v/>
      </c>
      <c r="K827" s="138">
        <f>IF($F827="","",$F827+P_Duree)</f>
        <v/>
      </c>
      <c r="L827" s="134" t="n"/>
      <c r="M827" s="130">
        <f>IF(OR($F827="",$I827=""),"",IF($L827&lt;&gt;"",IF($L827&gt;$K827,"Rendu en retard","Rendu"),IF(TODAY()&gt;$K827,"En retard","En cours")))</f>
        <v/>
      </c>
      <c r="N827" s="139">
        <f>IF(OR($F827="",$I827=""),"",MAX(0,IF($L827&lt;&gt;"",$L827,TODAY())-$K827))</f>
        <v/>
      </c>
      <c r="O827" s="135">
        <f>IF(OR($F827="",$I827=""),"",$N827*P_Amende)</f>
        <v/>
      </c>
      <c r="P827" s="133" t="n"/>
      <c r="R827">
        <f>IF($M827="En retard",$N827+ROW()/100000,"")</f>
        <v/>
      </c>
      <c r="S827">
        <f>IF(OR($F827="",$I827=""),"",$F827+ROW()/100000)</f>
        <v/>
      </c>
      <c r="T827">
        <f>IF($I827="","",IFERROR(INDEX(LIV_Cat,MATCH($I827,LIV_Code,0)),""))</f>
        <v/>
      </c>
    </row>
    <row r="828" ht="21" customHeight="1">
      <c r="A828" s="1" t="n"/>
      <c r="B828" s="1" t="n"/>
      <c r="C828" s="2" t="n"/>
      <c r="E828" s="130">
        <f>IF($F828="","","EMP-"&amp;TEXT(ROW()-6,"0000"))</f>
        <v/>
      </c>
      <c r="F828" s="134" t="n"/>
      <c r="G828" s="127" t="n"/>
      <c r="H828" s="130">
        <f>IF($G828="","",IFERROR(INDEX(MEM_Nom,MATCH($G828,MEM_ID,0)),"⚠ ID inconnu"))</f>
        <v/>
      </c>
      <c r="I828" s="127" t="n"/>
      <c r="J828" s="130">
        <f>IF($I828="","",IFERROR(INDEX(LIV_Titre,MATCH($I828,LIV_Code,0)),"⚠ Code inconnu"))</f>
        <v/>
      </c>
      <c r="K828" s="138">
        <f>IF($F828="","",$F828+P_Duree)</f>
        <v/>
      </c>
      <c r="L828" s="134" t="n"/>
      <c r="M828" s="130">
        <f>IF(OR($F828="",$I828=""),"",IF($L828&lt;&gt;"",IF($L828&gt;$K828,"Rendu en retard","Rendu"),IF(TODAY()&gt;$K828,"En retard","En cours")))</f>
        <v/>
      </c>
      <c r="N828" s="139">
        <f>IF(OR($F828="",$I828=""),"",MAX(0,IF($L828&lt;&gt;"",$L828,TODAY())-$K828))</f>
        <v/>
      </c>
      <c r="O828" s="135">
        <f>IF(OR($F828="",$I828=""),"",$N828*P_Amende)</f>
        <v/>
      </c>
      <c r="P828" s="133" t="n"/>
      <c r="R828">
        <f>IF($M828="En retard",$N828+ROW()/100000,"")</f>
        <v/>
      </c>
      <c r="S828">
        <f>IF(OR($F828="",$I828=""),"",$F828+ROW()/100000)</f>
        <v/>
      </c>
      <c r="T828">
        <f>IF($I828="","",IFERROR(INDEX(LIV_Cat,MATCH($I828,LIV_Code,0)),""))</f>
        <v/>
      </c>
    </row>
    <row r="829" ht="21" customHeight="1">
      <c r="A829" s="1" t="n"/>
      <c r="B829" s="1" t="n"/>
      <c r="C829" s="2" t="n"/>
      <c r="E829" s="130">
        <f>IF($F829="","","EMP-"&amp;TEXT(ROW()-6,"0000"))</f>
        <v/>
      </c>
      <c r="F829" s="134" t="n"/>
      <c r="G829" s="127" t="n"/>
      <c r="H829" s="130">
        <f>IF($G829="","",IFERROR(INDEX(MEM_Nom,MATCH($G829,MEM_ID,0)),"⚠ ID inconnu"))</f>
        <v/>
      </c>
      <c r="I829" s="127" t="n"/>
      <c r="J829" s="130">
        <f>IF($I829="","",IFERROR(INDEX(LIV_Titre,MATCH($I829,LIV_Code,0)),"⚠ Code inconnu"))</f>
        <v/>
      </c>
      <c r="K829" s="138">
        <f>IF($F829="","",$F829+P_Duree)</f>
        <v/>
      </c>
      <c r="L829" s="134" t="n"/>
      <c r="M829" s="130">
        <f>IF(OR($F829="",$I829=""),"",IF($L829&lt;&gt;"",IF($L829&gt;$K829,"Rendu en retard","Rendu"),IF(TODAY()&gt;$K829,"En retard","En cours")))</f>
        <v/>
      </c>
      <c r="N829" s="139">
        <f>IF(OR($F829="",$I829=""),"",MAX(0,IF($L829&lt;&gt;"",$L829,TODAY())-$K829))</f>
        <v/>
      </c>
      <c r="O829" s="135">
        <f>IF(OR($F829="",$I829=""),"",$N829*P_Amende)</f>
        <v/>
      </c>
      <c r="P829" s="133" t="n"/>
      <c r="R829">
        <f>IF($M829="En retard",$N829+ROW()/100000,"")</f>
        <v/>
      </c>
      <c r="S829">
        <f>IF(OR($F829="",$I829=""),"",$F829+ROW()/100000)</f>
        <v/>
      </c>
      <c r="T829">
        <f>IF($I829="","",IFERROR(INDEX(LIV_Cat,MATCH($I829,LIV_Code,0)),""))</f>
        <v/>
      </c>
    </row>
    <row r="830" ht="21" customHeight="1">
      <c r="A830" s="1" t="n"/>
      <c r="B830" s="1" t="n"/>
      <c r="C830" s="2" t="n"/>
      <c r="E830" s="130">
        <f>IF($F830="","","EMP-"&amp;TEXT(ROW()-6,"0000"))</f>
        <v/>
      </c>
      <c r="F830" s="134" t="n"/>
      <c r="G830" s="127" t="n"/>
      <c r="H830" s="130">
        <f>IF($G830="","",IFERROR(INDEX(MEM_Nom,MATCH($G830,MEM_ID,0)),"⚠ ID inconnu"))</f>
        <v/>
      </c>
      <c r="I830" s="127" t="n"/>
      <c r="J830" s="130">
        <f>IF($I830="","",IFERROR(INDEX(LIV_Titre,MATCH($I830,LIV_Code,0)),"⚠ Code inconnu"))</f>
        <v/>
      </c>
      <c r="K830" s="138">
        <f>IF($F830="","",$F830+P_Duree)</f>
        <v/>
      </c>
      <c r="L830" s="134" t="n"/>
      <c r="M830" s="130">
        <f>IF(OR($F830="",$I830=""),"",IF($L830&lt;&gt;"",IF($L830&gt;$K830,"Rendu en retard","Rendu"),IF(TODAY()&gt;$K830,"En retard","En cours")))</f>
        <v/>
      </c>
      <c r="N830" s="139">
        <f>IF(OR($F830="",$I830=""),"",MAX(0,IF($L830&lt;&gt;"",$L830,TODAY())-$K830))</f>
        <v/>
      </c>
      <c r="O830" s="135">
        <f>IF(OR($F830="",$I830=""),"",$N830*P_Amende)</f>
        <v/>
      </c>
      <c r="P830" s="133" t="n"/>
      <c r="R830">
        <f>IF($M830="En retard",$N830+ROW()/100000,"")</f>
        <v/>
      </c>
      <c r="S830">
        <f>IF(OR($F830="",$I830=""),"",$F830+ROW()/100000)</f>
        <v/>
      </c>
      <c r="T830">
        <f>IF($I830="","",IFERROR(INDEX(LIV_Cat,MATCH($I830,LIV_Code,0)),""))</f>
        <v/>
      </c>
    </row>
    <row r="831" ht="21" customHeight="1">
      <c r="A831" s="1" t="n"/>
      <c r="B831" s="1" t="n"/>
      <c r="C831" s="2" t="n"/>
      <c r="E831" s="130">
        <f>IF($F831="","","EMP-"&amp;TEXT(ROW()-6,"0000"))</f>
        <v/>
      </c>
      <c r="F831" s="134" t="n"/>
      <c r="G831" s="127" t="n"/>
      <c r="H831" s="130">
        <f>IF($G831="","",IFERROR(INDEX(MEM_Nom,MATCH($G831,MEM_ID,0)),"⚠ ID inconnu"))</f>
        <v/>
      </c>
      <c r="I831" s="127" t="n"/>
      <c r="J831" s="130">
        <f>IF($I831="","",IFERROR(INDEX(LIV_Titre,MATCH($I831,LIV_Code,0)),"⚠ Code inconnu"))</f>
        <v/>
      </c>
      <c r="K831" s="138">
        <f>IF($F831="","",$F831+P_Duree)</f>
        <v/>
      </c>
      <c r="L831" s="134" t="n"/>
      <c r="M831" s="130">
        <f>IF(OR($F831="",$I831=""),"",IF($L831&lt;&gt;"",IF($L831&gt;$K831,"Rendu en retard","Rendu"),IF(TODAY()&gt;$K831,"En retard","En cours")))</f>
        <v/>
      </c>
      <c r="N831" s="139">
        <f>IF(OR($F831="",$I831=""),"",MAX(0,IF($L831&lt;&gt;"",$L831,TODAY())-$K831))</f>
        <v/>
      </c>
      <c r="O831" s="135">
        <f>IF(OR($F831="",$I831=""),"",$N831*P_Amende)</f>
        <v/>
      </c>
      <c r="P831" s="133" t="n"/>
      <c r="R831">
        <f>IF($M831="En retard",$N831+ROW()/100000,"")</f>
        <v/>
      </c>
      <c r="S831">
        <f>IF(OR($F831="",$I831=""),"",$F831+ROW()/100000)</f>
        <v/>
      </c>
      <c r="T831">
        <f>IF($I831="","",IFERROR(INDEX(LIV_Cat,MATCH($I831,LIV_Code,0)),""))</f>
        <v/>
      </c>
    </row>
    <row r="832" ht="21" customHeight="1">
      <c r="A832" s="1" t="n"/>
      <c r="B832" s="1" t="n"/>
      <c r="C832" s="2" t="n"/>
      <c r="E832" s="130">
        <f>IF($F832="","","EMP-"&amp;TEXT(ROW()-6,"0000"))</f>
        <v/>
      </c>
      <c r="F832" s="134" t="n"/>
      <c r="G832" s="127" t="n"/>
      <c r="H832" s="130">
        <f>IF($G832="","",IFERROR(INDEX(MEM_Nom,MATCH($G832,MEM_ID,0)),"⚠ ID inconnu"))</f>
        <v/>
      </c>
      <c r="I832" s="127" t="n"/>
      <c r="J832" s="130">
        <f>IF($I832="","",IFERROR(INDEX(LIV_Titre,MATCH($I832,LIV_Code,0)),"⚠ Code inconnu"))</f>
        <v/>
      </c>
      <c r="K832" s="138">
        <f>IF($F832="","",$F832+P_Duree)</f>
        <v/>
      </c>
      <c r="L832" s="134" t="n"/>
      <c r="M832" s="130">
        <f>IF(OR($F832="",$I832=""),"",IF($L832&lt;&gt;"",IF($L832&gt;$K832,"Rendu en retard","Rendu"),IF(TODAY()&gt;$K832,"En retard","En cours")))</f>
        <v/>
      </c>
      <c r="N832" s="139">
        <f>IF(OR($F832="",$I832=""),"",MAX(0,IF($L832&lt;&gt;"",$L832,TODAY())-$K832))</f>
        <v/>
      </c>
      <c r="O832" s="135">
        <f>IF(OR($F832="",$I832=""),"",$N832*P_Amende)</f>
        <v/>
      </c>
      <c r="P832" s="133" t="n"/>
      <c r="R832">
        <f>IF($M832="En retard",$N832+ROW()/100000,"")</f>
        <v/>
      </c>
      <c r="S832">
        <f>IF(OR($F832="",$I832=""),"",$F832+ROW()/100000)</f>
        <v/>
      </c>
      <c r="T832">
        <f>IF($I832="","",IFERROR(INDEX(LIV_Cat,MATCH($I832,LIV_Code,0)),""))</f>
        <v/>
      </c>
    </row>
    <row r="833" ht="21" customHeight="1">
      <c r="A833" s="1" t="n"/>
      <c r="B833" s="1" t="n"/>
      <c r="C833" s="2" t="n"/>
      <c r="E833" s="130">
        <f>IF($F833="","","EMP-"&amp;TEXT(ROW()-6,"0000"))</f>
        <v/>
      </c>
      <c r="F833" s="134" t="n"/>
      <c r="G833" s="127" t="n"/>
      <c r="H833" s="130">
        <f>IF($G833="","",IFERROR(INDEX(MEM_Nom,MATCH($G833,MEM_ID,0)),"⚠ ID inconnu"))</f>
        <v/>
      </c>
      <c r="I833" s="127" t="n"/>
      <c r="J833" s="130">
        <f>IF($I833="","",IFERROR(INDEX(LIV_Titre,MATCH($I833,LIV_Code,0)),"⚠ Code inconnu"))</f>
        <v/>
      </c>
      <c r="K833" s="138">
        <f>IF($F833="","",$F833+P_Duree)</f>
        <v/>
      </c>
      <c r="L833" s="134" t="n"/>
      <c r="M833" s="130">
        <f>IF(OR($F833="",$I833=""),"",IF($L833&lt;&gt;"",IF($L833&gt;$K833,"Rendu en retard","Rendu"),IF(TODAY()&gt;$K833,"En retard","En cours")))</f>
        <v/>
      </c>
      <c r="N833" s="139">
        <f>IF(OR($F833="",$I833=""),"",MAX(0,IF($L833&lt;&gt;"",$L833,TODAY())-$K833))</f>
        <v/>
      </c>
      <c r="O833" s="135">
        <f>IF(OR($F833="",$I833=""),"",$N833*P_Amende)</f>
        <v/>
      </c>
      <c r="P833" s="133" t="n"/>
      <c r="R833">
        <f>IF($M833="En retard",$N833+ROW()/100000,"")</f>
        <v/>
      </c>
      <c r="S833">
        <f>IF(OR($F833="",$I833=""),"",$F833+ROW()/100000)</f>
        <v/>
      </c>
      <c r="T833">
        <f>IF($I833="","",IFERROR(INDEX(LIV_Cat,MATCH($I833,LIV_Code,0)),""))</f>
        <v/>
      </c>
    </row>
    <row r="834" ht="21" customHeight="1">
      <c r="A834" s="1" t="n"/>
      <c r="B834" s="1" t="n"/>
      <c r="C834" s="2" t="n"/>
      <c r="E834" s="130">
        <f>IF($F834="","","EMP-"&amp;TEXT(ROW()-6,"0000"))</f>
        <v/>
      </c>
      <c r="F834" s="134" t="n"/>
      <c r="G834" s="127" t="n"/>
      <c r="H834" s="130">
        <f>IF($G834="","",IFERROR(INDEX(MEM_Nom,MATCH($G834,MEM_ID,0)),"⚠ ID inconnu"))</f>
        <v/>
      </c>
      <c r="I834" s="127" t="n"/>
      <c r="J834" s="130">
        <f>IF($I834="","",IFERROR(INDEX(LIV_Titre,MATCH($I834,LIV_Code,0)),"⚠ Code inconnu"))</f>
        <v/>
      </c>
      <c r="K834" s="138">
        <f>IF($F834="","",$F834+P_Duree)</f>
        <v/>
      </c>
      <c r="L834" s="134" t="n"/>
      <c r="M834" s="130">
        <f>IF(OR($F834="",$I834=""),"",IF($L834&lt;&gt;"",IF($L834&gt;$K834,"Rendu en retard","Rendu"),IF(TODAY()&gt;$K834,"En retard","En cours")))</f>
        <v/>
      </c>
      <c r="N834" s="139">
        <f>IF(OR($F834="",$I834=""),"",MAX(0,IF($L834&lt;&gt;"",$L834,TODAY())-$K834))</f>
        <v/>
      </c>
      <c r="O834" s="135">
        <f>IF(OR($F834="",$I834=""),"",$N834*P_Amende)</f>
        <v/>
      </c>
      <c r="P834" s="133" t="n"/>
      <c r="R834">
        <f>IF($M834="En retard",$N834+ROW()/100000,"")</f>
        <v/>
      </c>
      <c r="S834">
        <f>IF(OR($F834="",$I834=""),"",$F834+ROW()/100000)</f>
        <v/>
      </c>
      <c r="T834">
        <f>IF($I834="","",IFERROR(INDEX(LIV_Cat,MATCH($I834,LIV_Code,0)),""))</f>
        <v/>
      </c>
    </row>
    <row r="835" ht="21" customHeight="1">
      <c r="A835" s="1" t="n"/>
      <c r="B835" s="1" t="n"/>
      <c r="C835" s="2" t="n"/>
      <c r="E835" s="130">
        <f>IF($F835="","","EMP-"&amp;TEXT(ROW()-6,"0000"))</f>
        <v/>
      </c>
      <c r="F835" s="134" t="n"/>
      <c r="G835" s="127" t="n"/>
      <c r="H835" s="130">
        <f>IF($G835="","",IFERROR(INDEX(MEM_Nom,MATCH($G835,MEM_ID,0)),"⚠ ID inconnu"))</f>
        <v/>
      </c>
      <c r="I835" s="127" t="n"/>
      <c r="J835" s="130">
        <f>IF($I835="","",IFERROR(INDEX(LIV_Titre,MATCH($I835,LIV_Code,0)),"⚠ Code inconnu"))</f>
        <v/>
      </c>
      <c r="K835" s="138">
        <f>IF($F835="","",$F835+P_Duree)</f>
        <v/>
      </c>
      <c r="L835" s="134" t="n"/>
      <c r="M835" s="130">
        <f>IF(OR($F835="",$I835=""),"",IF($L835&lt;&gt;"",IF($L835&gt;$K835,"Rendu en retard","Rendu"),IF(TODAY()&gt;$K835,"En retard","En cours")))</f>
        <v/>
      </c>
      <c r="N835" s="139">
        <f>IF(OR($F835="",$I835=""),"",MAX(0,IF($L835&lt;&gt;"",$L835,TODAY())-$K835))</f>
        <v/>
      </c>
      <c r="O835" s="135">
        <f>IF(OR($F835="",$I835=""),"",$N835*P_Amende)</f>
        <v/>
      </c>
      <c r="P835" s="133" t="n"/>
      <c r="R835">
        <f>IF($M835="En retard",$N835+ROW()/100000,"")</f>
        <v/>
      </c>
      <c r="S835">
        <f>IF(OR($F835="",$I835=""),"",$F835+ROW()/100000)</f>
        <v/>
      </c>
      <c r="T835">
        <f>IF($I835="","",IFERROR(INDEX(LIV_Cat,MATCH($I835,LIV_Code,0)),""))</f>
        <v/>
      </c>
    </row>
    <row r="836" ht="21" customHeight="1">
      <c r="A836" s="1" t="n"/>
      <c r="B836" s="1" t="n"/>
      <c r="C836" s="2" t="n"/>
      <c r="E836" s="130">
        <f>IF($F836="","","EMP-"&amp;TEXT(ROW()-6,"0000"))</f>
        <v/>
      </c>
      <c r="F836" s="134" t="n"/>
      <c r="G836" s="127" t="n"/>
      <c r="H836" s="130">
        <f>IF($G836="","",IFERROR(INDEX(MEM_Nom,MATCH($G836,MEM_ID,0)),"⚠ ID inconnu"))</f>
        <v/>
      </c>
      <c r="I836" s="127" t="n"/>
      <c r="J836" s="130">
        <f>IF($I836="","",IFERROR(INDEX(LIV_Titre,MATCH($I836,LIV_Code,0)),"⚠ Code inconnu"))</f>
        <v/>
      </c>
      <c r="K836" s="138">
        <f>IF($F836="","",$F836+P_Duree)</f>
        <v/>
      </c>
      <c r="L836" s="134" t="n"/>
      <c r="M836" s="130">
        <f>IF(OR($F836="",$I836=""),"",IF($L836&lt;&gt;"",IF($L836&gt;$K836,"Rendu en retard","Rendu"),IF(TODAY()&gt;$K836,"En retard","En cours")))</f>
        <v/>
      </c>
      <c r="N836" s="139">
        <f>IF(OR($F836="",$I836=""),"",MAX(0,IF($L836&lt;&gt;"",$L836,TODAY())-$K836))</f>
        <v/>
      </c>
      <c r="O836" s="135">
        <f>IF(OR($F836="",$I836=""),"",$N836*P_Amende)</f>
        <v/>
      </c>
      <c r="P836" s="133" t="n"/>
      <c r="R836">
        <f>IF($M836="En retard",$N836+ROW()/100000,"")</f>
        <v/>
      </c>
      <c r="S836">
        <f>IF(OR($F836="",$I836=""),"",$F836+ROW()/100000)</f>
        <v/>
      </c>
      <c r="T836">
        <f>IF($I836="","",IFERROR(INDEX(LIV_Cat,MATCH($I836,LIV_Code,0)),""))</f>
        <v/>
      </c>
    </row>
    <row r="837" ht="21" customHeight="1">
      <c r="A837" s="1" t="n"/>
      <c r="B837" s="1" t="n"/>
      <c r="C837" s="2" t="n"/>
      <c r="E837" s="130">
        <f>IF($F837="","","EMP-"&amp;TEXT(ROW()-6,"0000"))</f>
        <v/>
      </c>
      <c r="F837" s="134" t="n"/>
      <c r="G837" s="127" t="n"/>
      <c r="H837" s="130">
        <f>IF($G837="","",IFERROR(INDEX(MEM_Nom,MATCH($G837,MEM_ID,0)),"⚠ ID inconnu"))</f>
        <v/>
      </c>
      <c r="I837" s="127" t="n"/>
      <c r="J837" s="130">
        <f>IF($I837="","",IFERROR(INDEX(LIV_Titre,MATCH($I837,LIV_Code,0)),"⚠ Code inconnu"))</f>
        <v/>
      </c>
      <c r="K837" s="138">
        <f>IF($F837="","",$F837+P_Duree)</f>
        <v/>
      </c>
      <c r="L837" s="134" t="n"/>
      <c r="M837" s="130">
        <f>IF(OR($F837="",$I837=""),"",IF($L837&lt;&gt;"",IF($L837&gt;$K837,"Rendu en retard","Rendu"),IF(TODAY()&gt;$K837,"En retard","En cours")))</f>
        <v/>
      </c>
      <c r="N837" s="139">
        <f>IF(OR($F837="",$I837=""),"",MAX(0,IF($L837&lt;&gt;"",$L837,TODAY())-$K837))</f>
        <v/>
      </c>
      <c r="O837" s="135">
        <f>IF(OR($F837="",$I837=""),"",$N837*P_Amende)</f>
        <v/>
      </c>
      <c r="P837" s="133" t="n"/>
      <c r="R837">
        <f>IF($M837="En retard",$N837+ROW()/100000,"")</f>
        <v/>
      </c>
      <c r="S837">
        <f>IF(OR($F837="",$I837=""),"",$F837+ROW()/100000)</f>
        <v/>
      </c>
      <c r="T837">
        <f>IF($I837="","",IFERROR(INDEX(LIV_Cat,MATCH($I837,LIV_Code,0)),""))</f>
        <v/>
      </c>
    </row>
    <row r="838" ht="21" customHeight="1">
      <c r="A838" s="1" t="n"/>
      <c r="B838" s="1" t="n"/>
      <c r="C838" s="2" t="n"/>
      <c r="E838" s="130">
        <f>IF($F838="","","EMP-"&amp;TEXT(ROW()-6,"0000"))</f>
        <v/>
      </c>
      <c r="F838" s="134" t="n"/>
      <c r="G838" s="127" t="n"/>
      <c r="H838" s="130">
        <f>IF($G838="","",IFERROR(INDEX(MEM_Nom,MATCH($G838,MEM_ID,0)),"⚠ ID inconnu"))</f>
        <v/>
      </c>
      <c r="I838" s="127" t="n"/>
      <c r="J838" s="130">
        <f>IF($I838="","",IFERROR(INDEX(LIV_Titre,MATCH($I838,LIV_Code,0)),"⚠ Code inconnu"))</f>
        <v/>
      </c>
      <c r="K838" s="138">
        <f>IF($F838="","",$F838+P_Duree)</f>
        <v/>
      </c>
      <c r="L838" s="134" t="n"/>
      <c r="M838" s="130">
        <f>IF(OR($F838="",$I838=""),"",IF($L838&lt;&gt;"",IF($L838&gt;$K838,"Rendu en retard","Rendu"),IF(TODAY()&gt;$K838,"En retard","En cours")))</f>
        <v/>
      </c>
      <c r="N838" s="139">
        <f>IF(OR($F838="",$I838=""),"",MAX(0,IF($L838&lt;&gt;"",$L838,TODAY())-$K838))</f>
        <v/>
      </c>
      <c r="O838" s="135">
        <f>IF(OR($F838="",$I838=""),"",$N838*P_Amende)</f>
        <v/>
      </c>
      <c r="P838" s="133" t="n"/>
      <c r="R838">
        <f>IF($M838="En retard",$N838+ROW()/100000,"")</f>
        <v/>
      </c>
      <c r="S838">
        <f>IF(OR($F838="",$I838=""),"",$F838+ROW()/100000)</f>
        <v/>
      </c>
      <c r="T838">
        <f>IF($I838="","",IFERROR(INDEX(LIV_Cat,MATCH($I838,LIV_Code,0)),""))</f>
        <v/>
      </c>
    </row>
    <row r="839" ht="21" customHeight="1">
      <c r="A839" s="1" t="n"/>
      <c r="B839" s="1" t="n"/>
      <c r="C839" s="2" t="n"/>
      <c r="E839" s="130">
        <f>IF($F839="","","EMP-"&amp;TEXT(ROW()-6,"0000"))</f>
        <v/>
      </c>
      <c r="F839" s="134" t="n"/>
      <c r="G839" s="127" t="n"/>
      <c r="H839" s="130">
        <f>IF($G839="","",IFERROR(INDEX(MEM_Nom,MATCH($G839,MEM_ID,0)),"⚠ ID inconnu"))</f>
        <v/>
      </c>
      <c r="I839" s="127" t="n"/>
      <c r="J839" s="130">
        <f>IF($I839="","",IFERROR(INDEX(LIV_Titre,MATCH($I839,LIV_Code,0)),"⚠ Code inconnu"))</f>
        <v/>
      </c>
      <c r="K839" s="138">
        <f>IF($F839="","",$F839+P_Duree)</f>
        <v/>
      </c>
      <c r="L839" s="134" t="n"/>
      <c r="M839" s="130">
        <f>IF(OR($F839="",$I839=""),"",IF($L839&lt;&gt;"",IF($L839&gt;$K839,"Rendu en retard","Rendu"),IF(TODAY()&gt;$K839,"En retard","En cours")))</f>
        <v/>
      </c>
      <c r="N839" s="139">
        <f>IF(OR($F839="",$I839=""),"",MAX(0,IF($L839&lt;&gt;"",$L839,TODAY())-$K839))</f>
        <v/>
      </c>
      <c r="O839" s="135">
        <f>IF(OR($F839="",$I839=""),"",$N839*P_Amende)</f>
        <v/>
      </c>
      <c r="P839" s="133" t="n"/>
      <c r="R839">
        <f>IF($M839="En retard",$N839+ROW()/100000,"")</f>
        <v/>
      </c>
      <c r="S839">
        <f>IF(OR($F839="",$I839=""),"",$F839+ROW()/100000)</f>
        <v/>
      </c>
      <c r="T839">
        <f>IF($I839="","",IFERROR(INDEX(LIV_Cat,MATCH($I839,LIV_Code,0)),""))</f>
        <v/>
      </c>
    </row>
    <row r="840" ht="21" customHeight="1">
      <c r="A840" s="1" t="n"/>
      <c r="B840" s="1" t="n"/>
      <c r="C840" s="2" t="n"/>
      <c r="E840" s="130">
        <f>IF($F840="","","EMP-"&amp;TEXT(ROW()-6,"0000"))</f>
        <v/>
      </c>
      <c r="F840" s="134" t="n"/>
      <c r="G840" s="127" t="n"/>
      <c r="H840" s="130">
        <f>IF($G840="","",IFERROR(INDEX(MEM_Nom,MATCH($G840,MEM_ID,0)),"⚠ ID inconnu"))</f>
        <v/>
      </c>
      <c r="I840" s="127" t="n"/>
      <c r="J840" s="130">
        <f>IF($I840="","",IFERROR(INDEX(LIV_Titre,MATCH($I840,LIV_Code,0)),"⚠ Code inconnu"))</f>
        <v/>
      </c>
      <c r="K840" s="138">
        <f>IF($F840="","",$F840+P_Duree)</f>
        <v/>
      </c>
      <c r="L840" s="134" t="n"/>
      <c r="M840" s="130">
        <f>IF(OR($F840="",$I840=""),"",IF($L840&lt;&gt;"",IF($L840&gt;$K840,"Rendu en retard","Rendu"),IF(TODAY()&gt;$K840,"En retard","En cours")))</f>
        <v/>
      </c>
      <c r="N840" s="139">
        <f>IF(OR($F840="",$I840=""),"",MAX(0,IF($L840&lt;&gt;"",$L840,TODAY())-$K840))</f>
        <v/>
      </c>
      <c r="O840" s="135">
        <f>IF(OR($F840="",$I840=""),"",$N840*P_Amende)</f>
        <v/>
      </c>
      <c r="P840" s="133" t="n"/>
      <c r="R840">
        <f>IF($M840="En retard",$N840+ROW()/100000,"")</f>
        <v/>
      </c>
      <c r="S840">
        <f>IF(OR($F840="",$I840=""),"",$F840+ROW()/100000)</f>
        <v/>
      </c>
      <c r="T840">
        <f>IF($I840="","",IFERROR(INDEX(LIV_Cat,MATCH($I840,LIV_Code,0)),""))</f>
        <v/>
      </c>
    </row>
    <row r="841" ht="21" customHeight="1">
      <c r="A841" s="1" t="n"/>
      <c r="B841" s="1" t="n"/>
      <c r="C841" s="2" t="n"/>
      <c r="E841" s="130">
        <f>IF($F841="","","EMP-"&amp;TEXT(ROW()-6,"0000"))</f>
        <v/>
      </c>
      <c r="F841" s="134" t="n"/>
      <c r="G841" s="127" t="n"/>
      <c r="H841" s="130">
        <f>IF($G841="","",IFERROR(INDEX(MEM_Nom,MATCH($G841,MEM_ID,0)),"⚠ ID inconnu"))</f>
        <v/>
      </c>
      <c r="I841" s="127" t="n"/>
      <c r="J841" s="130">
        <f>IF($I841="","",IFERROR(INDEX(LIV_Titre,MATCH($I841,LIV_Code,0)),"⚠ Code inconnu"))</f>
        <v/>
      </c>
      <c r="K841" s="138">
        <f>IF($F841="","",$F841+P_Duree)</f>
        <v/>
      </c>
      <c r="L841" s="134" t="n"/>
      <c r="M841" s="130">
        <f>IF(OR($F841="",$I841=""),"",IF($L841&lt;&gt;"",IF($L841&gt;$K841,"Rendu en retard","Rendu"),IF(TODAY()&gt;$K841,"En retard","En cours")))</f>
        <v/>
      </c>
      <c r="N841" s="139">
        <f>IF(OR($F841="",$I841=""),"",MAX(0,IF($L841&lt;&gt;"",$L841,TODAY())-$K841))</f>
        <v/>
      </c>
      <c r="O841" s="135">
        <f>IF(OR($F841="",$I841=""),"",$N841*P_Amende)</f>
        <v/>
      </c>
      <c r="P841" s="133" t="n"/>
      <c r="R841">
        <f>IF($M841="En retard",$N841+ROW()/100000,"")</f>
        <v/>
      </c>
      <c r="S841">
        <f>IF(OR($F841="",$I841=""),"",$F841+ROW()/100000)</f>
        <v/>
      </c>
      <c r="T841">
        <f>IF($I841="","",IFERROR(INDEX(LIV_Cat,MATCH($I841,LIV_Code,0)),""))</f>
        <v/>
      </c>
    </row>
    <row r="842" ht="21" customHeight="1">
      <c r="A842" s="1" t="n"/>
      <c r="B842" s="1" t="n"/>
      <c r="C842" s="2" t="n"/>
      <c r="E842" s="130">
        <f>IF($F842="","","EMP-"&amp;TEXT(ROW()-6,"0000"))</f>
        <v/>
      </c>
      <c r="F842" s="134" t="n"/>
      <c r="G842" s="127" t="n"/>
      <c r="H842" s="130">
        <f>IF($G842="","",IFERROR(INDEX(MEM_Nom,MATCH($G842,MEM_ID,0)),"⚠ ID inconnu"))</f>
        <v/>
      </c>
      <c r="I842" s="127" t="n"/>
      <c r="J842" s="130">
        <f>IF($I842="","",IFERROR(INDEX(LIV_Titre,MATCH($I842,LIV_Code,0)),"⚠ Code inconnu"))</f>
        <v/>
      </c>
      <c r="K842" s="138">
        <f>IF($F842="","",$F842+P_Duree)</f>
        <v/>
      </c>
      <c r="L842" s="134" t="n"/>
      <c r="M842" s="130">
        <f>IF(OR($F842="",$I842=""),"",IF($L842&lt;&gt;"",IF($L842&gt;$K842,"Rendu en retard","Rendu"),IF(TODAY()&gt;$K842,"En retard","En cours")))</f>
        <v/>
      </c>
      <c r="N842" s="139">
        <f>IF(OR($F842="",$I842=""),"",MAX(0,IF($L842&lt;&gt;"",$L842,TODAY())-$K842))</f>
        <v/>
      </c>
      <c r="O842" s="135">
        <f>IF(OR($F842="",$I842=""),"",$N842*P_Amende)</f>
        <v/>
      </c>
      <c r="P842" s="133" t="n"/>
      <c r="R842">
        <f>IF($M842="En retard",$N842+ROW()/100000,"")</f>
        <v/>
      </c>
      <c r="S842">
        <f>IF(OR($F842="",$I842=""),"",$F842+ROW()/100000)</f>
        <v/>
      </c>
      <c r="T842">
        <f>IF($I842="","",IFERROR(INDEX(LIV_Cat,MATCH($I842,LIV_Code,0)),""))</f>
        <v/>
      </c>
    </row>
    <row r="843" ht="21" customHeight="1">
      <c r="A843" s="1" t="n"/>
      <c r="B843" s="1" t="n"/>
      <c r="C843" s="2" t="n"/>
      <c r="E843" s="130">
        <f>IF($F843="","","EMP-"&amp;TEXT(ROW()-6,"0000"))</f>
        <v/>
      </c>
      <c r="F843" s="134" t="n"/>
      <c r="G843" s="127" t="n"/>
      <c r="H843" s="130">
        <f>IF($G843="","",IFERROR(INDEX(MEM_Nom,MATCH($G843,MEM_ID,0)),"⚠ ID inconnu"))</f>
        <v/>
      </c>
      <c r="I843" s="127" t="n"/>
      <c r="J843" s="130">
        <f>IF($I843="","",IFERROR(INDEX(LIV_Titre,MATCH($I843,LIV_Code,0)),"⚠ Code inconnu"))</f>
        <v/>
      </c>
      <c r="K843" s="138">
        <f>IF($F843="","",$F843+P_Duree)</f>
        <v/>
      </c>
      <c r="L843" s="134" t="n"/>
      <c r="M843" s="130">
        <f>IF(OR($F843="",$I843=""),"",IF($L843&lt;&gt;"",IF($L843&gt;$K843,"Rendu en retard","Rendu"),IF(TODAY()&gt;$K843,"En retard","En cours")))</f>
        <v/>
      </c>
      <c r="N843" s="139">
        <f>IF(OR($F843="",$I843=""),"",MAX(0,IF($L843&lt;&gt;"",$L843,TODAY())-$K843))</f>
        <v/>
      </c>
      <c r="O843" s="135">
        <f>IF(OR($F843="",$I843=""),"",$N843*P_Amende)</f>
        <v/>
      </c>
      <c r="P843" s="133" t="n"/>
      <c r="R843">
        <f>IF($M843="En retard",$N843+ROW()/100000,"")</f>
        <v/>
      </c>
      <c r="S843">
        <f>IF(OR($F843="",$I843=""),"",$F843+ROW()/100000)</f>
        <v/>
      </c>
      <c r="T843">
        <f>IF($I843="","",IFERROR(INDEX(LIV_Cat,MATCH($I843,LIV_Code,0)),""))</f>
        <v/>
      </c>
    </row>
    <row r="844" ht="21" customHeight="1">
      <c r="A844" s="1" t="n"/>
      <c r="B844" s="1" t="n"/>
      <c r="C844" s="2" t="n"/>
      <c r="E844" s="130">
        <f>IF($F844="","","EMP-"&amp;TEXT(ROW()-6,"0000"))</f>
        <v/>
      </c>
      <c r="F844" s="134" t="n"/>
      <c r="G844" s="127" t="n"/>
      <c r="H844" s="130">
        <f>IF($G844="","",IFERROR(INDEX(MEM_Nom,MATCH($G844,MEM_ID,0)),"⚠ ID inconnu"))</f>
        <v/>
      </c>
      <c r="I844" s="127" t="n"/>
      <c r="J844" s="130">
        <f>IF($I844="","",IFERROR(INDEX(LIV_Titre,MATCH($I844,LIV_Code,0)),"⚠ Code inconnu"))</f>
        <v/>
      </c>
      <c r="K844" s="138">
        <f>IF($F844="","",$F844+P_Duree)</f>
        <v/>
      </c>
      <c r="L844" s="134" t="n"/>
      <c r="M844" s="130">
        <f>IF(OR($F844="",$I844=""),"",IF($L844&lt;&gt;"",IF($L844&gt;$K844,"Rendu en retard","Rendu"),IF(TODAY()&gt;$K844,"En retard","En cours")))</f>
        <v/>
      </c>
      <c r="N844" s="139">
        <f>IF(OR($F844="",$I844=""),"",MAX(0,IF($L844&lt;&gt;"",$L844,TODAY())-$K844))</f>
        <v/>
      </c>
      <c r="O844" s="135">
        <f>IF(OR($F844="",$I844=""),"",$N844*P_Amende)</f>
        <v/>
      </c>
      <c r="P844" s="133" t="n"/>
      <c r="R844">
        <f>IF($M844="En retard",$N844+ROW()/100000,"")</f>
        <v/>
      </c>
      <c r="S844">
        <f>IF(OR($F844="",$I844=""),"",$F844+ROW()/100000)</f>
        <v/>
      </c>
      <c r="T844">
        <f>IF($I844="","",IFERROR(INDEX(LIV_Cat,MATCH($I844,LIV_Code,0)),""))</f>
        <v/>
      </c>
    </row>
    <row r="845" ht="21" customHeight="1">
      <c r="A845" s="1" t="n"/>
      <c r="B845" s="1" t="n"/>
      <c r="C845" s="2" t="n"/>
      <c r="E845" s="130">
        <f>IF($F845="","","EMP-"&amp;TEXT(ROW()-6,"0000"))</f>
        <v/>
      </c>
      <c r="F845" s="134" t="n"/>
      <c r="G845" s="127" t="n"/>
      <c r="H845" s="130">
        <f>IF($G845="","",IFERROR(INDEX(MEM_Nom,MATCH($G845,MEM_ID,0)),"⚠ ID inconnu"))</f>
        <v/>
      </c>
      <c r="I845" s="127" t="n"/>
      <c r="J845" s="130">
        <f>IF($I845="","",IFERROR(INDEX(LIV_Titre,MATCH($I845,LIV_Code,0)),"⚠ Code inconnu"))</f>
        <v/>
      </c>
      <c r="K845" s="138">
        <f>IF($F845="","",$F845+P_Duree)</f>
        <v/>
      </c>
      <c r="L845" s="134" t="n"/>
      <c r="M845" s="130">
        <f>IF(OR($F845="",$I845=""),"",IF($L845&lt;&gt;"",IF($L845&gt;$K845,"Rendu en retard","Rendu"),IF(TODAY()&gt;$K845,"En retard","En cours")))</f>
        <v/>
      </c>
      <c r="N845" s="139">
        <f>IF(OR($F845="",$I845=""),"",MAX(0,IF($L845&lt;&gt;"",$L845,TODAY())-$K845))</f>
        <v/>
      </c>
      <c r="O845" s="135">
        <f>IF(OR($F845="",$I845=""),"",$N845*P_Amende)</f>
        <v/>
      </c>
      <c r="P845" s="133" t="n"/>
      <c r="R845">
        <f>IF($M845="En retard",$N845+ROW()/100000,"")</f>
        <v/>
      </c>
      <c r="S845">
        <f>IF(OR($F845="",$I845=""),"",$F845+ROW()/100000)</f>
        <v/>
      </c>
      <c r="T845">
        <f>IF($I845="","",IFERROR(INDEX(LIV_Cat,MATCH($I845,LIV_Code,0)),""))</f>
        <v/>
      </c>
    </row>
    <row r="846" ht="21" customHeight="1">
      <c r="A846" s="1" t="n"/>
      <c r="B846" s="1" t="n"/>
      <c r="C846" s="2" t="n"/>
      <c r="E846" s="130">
        <f>IF($F846="","","EMP-"&amp;TEXT(ROW()-6,"0000"))</f>
        <v/>
      </c>
      <c r="F846" s="134" t="n"/>
      <c r="G846" s="127" t="n"/>
      <c r="H846" s="130">
        <f>IF($G846="","",IFERROR(INDEX(MEM_Nom,MATCH($G846,MEM_ID,0)),"⚠ ID inconnu"))</f>
        <v/>
      </c>
      <c r="I846" s="127" t="n"/>
      <c r="J846" s="130">
        <f>IF($I846="","",IFERROR(INDEX(LIV_Titre,MATCH($I846,LIV_Code,0)),"⚠ Code inconnu"))</f>
        <v/>
      </c>
      <c r="K846" s="138">
        <f>IF($F846="","",$F846+P_Duree)</f>
        <v/>
      </c>
      <c r="L846" s="134" t="n"/>
      <c r="M846" s="130">
        <f>IF(OR($F846="",$I846=""),"",IF($L846&lt;&gt;"",IF($L846&gt;$K846,"Rendu en retard","Rendu"),IF(TODAY()&gt;$K846,"En retard","En cours")))</f>
        <v/>
      </c>
      <c r="N846" s="139">
        <f>IF(OR($F846="",$I846=""),"",MAX(0,IF($L846&lt;&gt;"",$L846,TODAY())-$K846))</f>
        <v/>
      </c>
      <c r="O846" s="135">
        <f>IF(OR($F846="",$I846=""),"",$N846*P_Amende)</f>
        <v/>
      </c>
      <c r="P846" s="133" t="n"/>
      <c r="R846">
        <f>IF($M846="En retard",$N846+ROW()/100000,"")</f>
        <v/>
      </c>
      <c r="S846">
        <f>IF(OR($F846="",$I846=""),"",$F846+ROW()/100000)</f>
        <v/>
      </c>
      <c r="T846">
        <f>IF($I846="","",IFERROR(INDEX(LIV_Cat,MATCH($I846,LIV_Code,0)),""))</f>
        <v/>
      </c>
    </row>
    <row r="847" ht="21" customHeight="1">
      <c r="A847" s="1" t="n"/>
      <c r="B847" s="1" t="n"/>
      <c r="C847" s="2" t="n"/>
      <c r="E847" s="130">
        <f>IF($F847="","","EMP-"&amp;TEXT(ROW()-6,"0000"))</f>
        <v/>
      </c>
      <c r="F847" s="134" t="n"/>
      <c r="G847" s="127" t="n"/>
      <c r="H847" s="130">
        <f>IF($G847="","",IFERROR(INDEX(MEM_Nom,MATCH($G847,MEM_ID,0)),"⚠ ID inconnu"))</f>
        <v/>
      </c>
      <c r="I847" s="127" t="n"/>
      <c r="J847" s="130">
        <f>IF($I847="","",IFERROR(INDEX(LIV_Titre,MATCH($I847,LIV_Code,0)),"⚠ Code inconnu"))</f>
        <v/>
      </c>
      <c r="K847" s="138">
        <f>IF($F847="","",$F847+P_Duree)</f>
        <v/>
      </c>
      <c r="L847" s="134" t="n"/>
      <c r="M847" s="130">
        <f>IF(OR($F847="",$I847=""),"",IF($L847&lt;&gt;"",IF($L847&gt;$K847,"Rendu en retard","Rendu"),IF(TODAY()&gt;$K847,"En retard","En cours")))</f>
        <v/>
      </c>
      <c r="N847" s="139">
        <f>IF(OR($F847="",$I847=""),"",MAX(0,IF($L847&lt;&gt;"",$L847,TODAY())-$K847))</f>
        <v/>
      </c>
      <c r="O847" s="135">
        <f>IF(OR($F847="",$I847=""),"",$N847*P_Amende)</f>
        <v/>
      </c>
      <c r="P847" s="133" t="n"/>
      <c r="R847">
        <f>IF($M847="En retard",$N847+ROW()/100000,"")</f>
        <v/>
      </c>
      <c r="S847">
        <f>IF(OR($F847="",$I847=""),"",$F847+ROW()/100000)</f>
        <v/>
      </c>
      <c r="T847">
        <f>IF($I847="","",IFERROR(INDEX(LIV_Cat,MATCH($I847,LIV_Code,0)),""))</f>
        <v/>
      </c>
    </row>
    <row r="848" ht="21" customHeight="1">
      <c r="A848" s="1" t="n"/>
      <c r="B848" s="1" t="n"/>
      <c r="C848" s="2" t="n"/>
      <c r="E848" s="130">
        <f>IF($F848="","","EMP-"&amp;TEXT(ROW()-6,"0000"))</f>
        <v/>
      </c>
      <c r="F848" s="134" t="n"/>
      <c r="G848" s="127" t="n"/>
      <c r="H848" s="130">
        <f>IF($G848="","",IFERROR(INDEX(MEM_Nom,MATCH($G848,MEM_ID,0)),"⚠ ID inconnu"))</f>
        <v/>
      </c>
      <c r="I848" s="127" t="n"/>
      <c r="J848" s="130">
        <f>IF($I848="","",IFERROR(INDEX(LIV_Titre,MATCH($I848,LIV_Code,0)),"⚠ Code inconnu"))</f>
        <v/>
      </c>
      <c r="K848" s="138">
        <f>IF($F848="","",$F848+P_Duree)</f>
        <v/>
      </c>
      <c r="L848" s="134" t="n"/>
      <c r="M848" s="130">
        <f>IF(OR($F848="",$I848=""),"",IF($L848&lt;&gt;"",IF($L848&gt;$K848,"Rendu en retard","Rendu"),IF(TODAY()&gt;$K848,"En retard","En cours")))</f>
        <v/>
      </c>
      <c r="N848" s="139">
        <f>IF(OR($F848="",$I848=""),"",MAX(0,IF($L848&lt;&gt;"",$L848,TODAY())-$K848))</f>
        <v/>
      </c>
      <c r="O848" s="135">
        <f>IF(OR($F848="",$I848=""),"",$N848*P_Amende)</f>
        <v/>
      </c>
      <c r="P848" s="133" t="n"/>
      <c r="R848">
        <f>IF($M848="En retard",$N848+ROW()/100000,"")</f>
        <v/>
      </c>
      <c r="S848">
        <f>IF(OR($F848="",$I848=""),"",$F848+ROW()/100000)</f>
        <v/>
      </c>
      <c r="T848">
        <f>IF($I848="","",IFERROR(INDEX(LIV_Cat,MATCH($I848,LIV_Code,0)),""))</f>
        <v/>
      </c>
    </row>
    <row r="849" ht="21" customHeight="1">
      <c r="A849" s="1" t="n"/>
      <c r="B849" s="1" t="n"/>
      <c r="C849" s="2" t="n"/>
      <c r="E849" s="130">
        <f>IF($F849="","","EMP-"&amp;TEXT(ROW()-6,"0000"))</f>
        <v/>
      </c>
      <c r="F849" s="134" t="n"/>
      <c r="G849" s="127" t="n"/>
      <c r="H849" s="130">
        <f>IF($G849="","",IFERROR(INDEX(MEM_Nom,MATCH($G849,MEM_ID,0)),"⚠ ID inconnu"))</f>
        <v/>
      </c>
      <c r="I849" s="127" t="n"/>
      <c r="J849" s="130">
        <f>IF($I849="","",IFERROR(INDEX(LIV_Titre,MATCH($I849,LIV_Code,0)),"⚠ Code inconnu"))</f>
        <v/>
      </c>
      <c r="K849" s="138">
        <f>IF($F849="","",$F849+P_Duree)</f>
        <v/>
      </c>
      <c r="L849" s="134" t="n"/>
      <c r="M849" s="130">
        <f>IF(OR($F849="",$I849=""),"",IF($L849&lt;&gt;"",IF($L849&gt;$K849,"Rendu en retard","Rendu"),IF(TODAY()&gt;$K849,"En retard","En cours")))</f>
        <v/>
      </c>
      <c r="N849" s="139">
        <f>IF(OR($F849="",$I849=""),"",MAX(0,IF($L849&lt;&gt;"",$L849,TODAY())-$K849))</f>
        <v/>
      </c>
      <c r="O849" s="135">
        <f>IF(OR($F849="",$I849=""),"",$N849*P_Amende)</f>
        <v/>
      </c>
      <c r="P849" s="133" t="n"/>
      <c r="R849">
        <f>IF($M849="En retard",$N849+ROW()/100000,"")</f>
        <v/>
      </c>
      <c r="S849">
        <f>IF(OR($F849="",$I849=""),"",$F849+ROW()/100000)</f>
        <v/>
      </c>
      <c r="T849">
        <f>IF($I849="","",IFERROR(INDEX(LIV_Cat,MATCH($I849,LIV_Code,0)),""))</f>
        <v/>
      </c>
    </row>
    <row r="850" ht="21" customHeight="1">
      <c r="A850" s="1" t="n"/>
      <c r="B850" s="1" t="n"/>
      <c r="C850" s="2" t="n"/>
      <c r="E850" s="130">
        <f>IF($F850="","","EMP-"&amp;TEXT(ROW()-6,"0000"))</f>
        <v/>
      </c>
      <c r="F850" s="134" t="n"/>
      <c r="G850" s="127" t="n"/>
      <c r="H850" s="130">
        <f>IF($G850="","",IFERROR(INDEX(MEM_Nom,MATCH($G850,MEM_ID,0)),"⚠ ID inconnu"))</f>
        <v/>
      </c>
      <c r="I850" s="127" t="n"/>
      <c r="J850" s="130">
        <f>IF($I850="","",IFERROR(INDEX(LIV_Titre,MATCH($I850,LIV_Code,0)),"⚠ Code inconnu"))</f>
        <v/>
      </c>
      <c r="K850" s="138">
        <f>IF($F850="","",$F850+P_Duree)</f>
        <v/>
      </c>
      <c r="L850" s="134" t="n"/>
      <c r="M850" s="130">
        <f>IF(OR($F850="",$I850=""),"",IF($L850&lt;&gt;"",IF($L850&gt;$K850,"Rendu en retard","Rendu"),IF(TODAY()&gt;$K850,"En retard","En cours")))</f>
        <v/>
      </c>
      <c r="N850" s="139">
        <f>IF(OR($F850="",$I850=""),"",MAX(0,IF($L850&lt;&gt;"",$L850,TODAY())-$K850))</f>
        <v/>
      </c>
      <c r="O850" s="135">
        <f>IF(OR($F850="",$I850=""),"",$N850*P_Amende)</f>
        <v/>
      </c>
      <c r="P850" s="133" t="n"/>
      <c r="R850">
        <f>IF($M850="En retard",$N850+ROW()/100000,"")</f>
        <v/>
      </c>
      <c r="S850">
        <f>IF(OR($F850="",$I850=""),"",$F850+ROW()/100000)</f>
        <v/>
      </c>
      <c r="T850">
        <f>IF($I850="","",IFERROR(INDEX(LIV_Cat,MATCH($I850,LIV_Code,0)),""))</f>
        <v/>
      </c>
    </row>
    <row r="851" ht="21" customHeight="1">
      <c r="A851" s="1" t="n"/>
      <c r="B851" s="1" t="n"/>
      <c r="C851" s="2" t="n"/>
      <c r="E851" s="130">
        <f>IF($F851="","","EMP-"&amp;TEXT(ROW()-6,"0000"))</f>
        <v/>
      </c>
      <c r="F851" s="134" t="n"/>
      <c r="G851" s="127" t="n"/>
      <c r="H851" s="130">
        <f>IF($G851="","",IFERROR(INDEX(MEM_Nom,MATCH($G851,MEM_ID,0)),"⚠ ID inconnu"))</f>
        <v/>
      </c>
      <c r="I851" s="127" t="n"/>
      <c r="J851" s="130">
        <f>IF($I851="","",IFERROR(INDEX(LIV_Titre,MATCH($I851,LIV_Code,0)),"⚠ Code inconnu"))</f>
        <v/>
      </c>
      <c r="K851" s="138">
        <f>IF($F851="","",$F851+P_Duree)</f>
        <v/>
      </c>
      <c r="L851" s="134" t="n"/>
      <c r="M851" s="130">
        <f>IF(OR($F851="",$I851=""),"",IF($L851&lt;&gt;"",IF($L851&gt;$K851,"Rendu en retard","Rendu"),IF(TODAY()&gt;$K851,"En retard","En cours")))</f>
        <v/>
      </c>
      <c r="N851" s="139">
        <f>IF(OR($F851="",$I851=""),"",MAX(0,IF($L851&lt;&gt;"",$L851,TODAY())-$K851))</f>
        <v/>
      </c>
      <c r="O851" s="135">
        <f>IF(OR($F851="",$I851=""),"",$N851*P_Amende)</f>
        <v/>
      </c>
      <c r="P851" s="133" t="n"/>
      <c r="R851">
        <f>IF($M851="En retard",$N851+ROW()/100000,"")</f>
        <v/>
      </c>
      <c r="S851">
        <f>IF(OR($F851="",$I851=""),"",$F851+ROW()/100000)</f>
        <v/>
      </c>
      <c r="T851">
        <f>IF($I851="","",IFERROR(INDEX(LIV_Cat,MATCH($I851,LIV_Code,0)),""))</f>
        <v/>
      </c>
    </row>
    <row r="852" ht="21" customHeight="1">
      <c r="A852" s="1" t="n"/>
      <c r="B852" s="1" t="n"/>
      <c r="C852" s="2" t="n"/>
      <c r="E852" s="130">
        <f>IF($F852="","","EMP-"&amp;TEXT(ROW()-6,"0000"))</f>
        <v/>
      </c>
      <c r="F852" s="134" t="n"/>
      <c r="G852" s="127" t="n"/>
      <c r="H852" s="130">
        <f>IF($G852="","",IFERROR(INDEX(MEM_Nom,MATCH($G852,MEM_ID,0)),"⚠ ID inconnu"))</f>
        <v/>
      </c>
      <c r="I852" s="127" t="n"/>
      <c r="J852" s="130">
        <f>IF($I852="","",IFERROR(INDEX(LIV_Titre,MATCH($I852,LIV_Code,0)),"⚠ Code inconnu"))</f>
        <v/>
      </c>
      <c r="K852" s="138">
        <f>IF($F852="","",$F852+P_Duree)</f>
        <v/>
      </c>
      <c r="L852" s="134" t="n"/>
      <c r="M852" s="130">
        <f>IF(OR($F852="",$I852=""),"",IF($L852&lt;&gt;"",IF($L852&gt;$K852,"Rendu en retard","Rendu"),IF(TODAY()&gt;$K852,"En retard","En cours")))</f>
        <v/>
      </c>
      <c r="N852" s="139">
        <f>IF(OR($F852="",$I852=""),"",MAX(0,IF($L852&lt;&gt;"",$L852,TODAY())-$K852))</f>
        <v/>
      </c>
      <c r="O852" s="135">
        <f>IF(OR($F852="",$I852=""),"",$N852*P_Amende)</f>
        <v/>
      </c>
      <c r="P852" s="133" t="n"/>
      <c r="R852">
        <f>IF($M852="En retard",$N852+ROW()/100000,"")</f>
        <v/>
      </c>
      <c r="S852">
        <f>IF(OR($F852="",$I852=""),"",$F852+ROW()/100000)</f>
        <v/>
      </c>
      <c r="T852">
        <f>IF($I852="","",IFERROR(INDEX(LIV_Cat,MATCH($I852,LIV_Code,0)),""))</f>
        <v/>
      </c>
    </row>
    <row r="853" ht="21" customHeight="1">
      <c r="A853" s="1" t="n"/>
      <c r="B853" s="1" t="n"/>
      <c r="C853" s="2" t="n"/>
      <c r="E853" s="130">
        <f>IF($F853="","","EMP-"&amp;TEXT(ROW()-6,"0000"))</f>
        <v/>
      </c>
      <c r="F853" s="134" t="n"/>
      <c r="G853" s="127" t="n"/>
      <c r="H853" s="130">
        <f>IF($G853="","",IFERROR(INDEX(MEM_Nom,MATCH($G853,MEM_ID,0)),"⚠ ID inconnu"))</f>
        <v/>
      </c>
      <c r="I853" s="127" t="n"/>
      <c r="J853" s="130">
        <f>IF($I853="","",IFERROR(INDEX(LIV_Titre,MATCH($I853,LIV_Code,0)),"⚠ Code inconnu"))</f>
        <v/>
      </c>
      <c r="K853" s="138">
        <f>IF($F853="","",$F853+P_Duree)</f>
        <v/>
      </c>
      <c r="L853" s="134" t="n"/>
      <c r="M853" s="130">
        <f>IF(OR($F853="",$I853=""),"",IF($L853&lt;&gt;"",IF($L853&gt;$K853,"Rendu en retard","Rendu"),IF(TODAY()&gt;$K853,"En retard","En cours")))</f>
        <v/>
      </c>
      <c r="N853" s="139">
        <f>IF(OR($F853="",$I853=""),"",MAX(0,IF($L853&lt;&gt;"",$L853,TODAY())-$K853))</f>
        <v/>
      </c>
      <c r="O853" s="135">
        <f>IF(OR($F853="",$I853=""),"",$N853*P_Amende)</f>
        <v/>
      </c>
      <c r="P853" s="133" t="n"/>
      <c r="R853">
        <f>IF($M853="En retard",$N853+ROW()/100000,"")</f>
        <v/>
      </c>
      <c r="S853">
        <f>IF(OR($F853="",$I853=""),"",$F853+ROW()/100000)</f>
        <v/>
      </c>
      <c r="T853">
        <f>IF($I853="","",IFERROR(INDEX(LIV_Cat,MATCH($I853,LIV_Code,0)),""))</f>
        <v/>
      </c>
    </row>
    <row r="854" ht="21" customHeight="1">
      <c r="A854" s="1" t="n"/>
      <c r="B854" s="1" t="n"/>
      <c r="C854" s="2" t="n"/>
      <c r="E854" s="130">
        <f>IF($F854="","","EMP-"&amp;TEXT(ROW()-6,"0000"))</f>
        <v/>
      </c>
      <c r="F854" s="134" t="n"/>
      <c r="G854" s="127" t="n"/>
      <c r="H854" s="130">
        <f>IF($G854="","",IFERROR(INDEX(MEM_Nom,MATCH($G854,MEM_ID,0)),"⚠ ID inconnu"))</f>
        <v/>
      </c>
      <c r="I854" s="127" t="n"/>
      <c r="J854" s="130">
        <f>IF($I854="","",IFERROR(INDEX(LIV_Titre,MATCH($I854,LIV_Code,0)),"⚠ Code inconnu"))</f>
        <v/>
      </c>
      <c r="K854" s="138">
        <f>IF($F854="","",$F854+P_Duree)</f>
        <v/>
      </c>
      <c r="L854" s="134" t="n"/>
      <c r="M854" s="130">
        <f>IF(OR($F854="",$I854=""),"",IF($L854&lt;&gt;"",IF($L854&gt;$K854,"Rendu en retard","Rendu"),IF(TODAY()&gt;$K854,"En retard","En cours")))</f>
        <v/>
      </c>
      <c r="N854" s="139">
        <f>IF(OR($F854="",$I854=""),"",MAX(0,IF($L854&lt;&gt;"",$L854,TODAY())-$K854))</f>
        <v/>
      </c>
      <c r="O854" s="135">
        <f>IF(OR($F854="",$I854=""),"",$N854*P_Amende)</f>
        <v/>
      </c>
      <c r="P854" s="133" t="n"/>
      <c r="R854">
        <f>IF($M854="En retard",$N854+ROW()/100000,"")</f>
        <v/>
      </c>
      <c r="S854">
        <f>IF(OR($F854="",$I854=""),"",$F854+ROW()/100000)</f>
        <v/>
      </c>
      <c r="T854">
        <f>IF($I854="","",IFERROR(INDEX(LIV_Cat,MATCH($I854,LIV_Code,0)),""))</f>
        <v/>
      </c>
    </row>
    <row r="855" ht="21" customHeight="1">
      <c r="A855" s="1" t="n"/>
      <c r="B855" s="1" t="n"/>
      <c r="C855" s="2" t="n"/>
      <c r="E855" s="130">
        <f>IF($F855="","","EMP-"&amp;TEXT(ROW()-6,"0000"))</f>
        <v/>
      </c>
      <c r="F855" s="134" t="n"/>
      <c r="G855" s="127" t="n"/>
      <c r="H855" s="130">
        <f>IF($G855="","",IFERROR(INDEX(MEM_Nom,MATCH($G855,MEM_ID,0)),"⚠ ID inconnu"))</f>
        <v/>
      </c>
      <c r="I855" s="127" t="n"/>
      <c r="J855" s="130">
        <f>IF($I855="","",IFERROR(INDEX(LIV_Titre,MATCH($I855,LIV_Code,0)),"⚠ Code inconnu"))</f>
        <v/>
      </c>
      <c r="K855" s="138">
        <f>IF($F855="","",$F855+P_Duree)</f>
        <v/>
      </c>
      <c r="L855" s="134" t="n"/>
      <c r="M855" s="130">
        <f>IF(OR($F855="",$I855=""),"",IF($L855&lt;&gt;"",IF($L855&gt;$K855,"Rendu en retard","Rendu"),IF(TODAY()&gt;$K855,"En retard","En cours")))</f>
        <v/>
      </c>
      <c r="N855" s="139">
        <f>IF(OR($F855="",$I855=""),"",MAX(0,IF($L855&lt;&gt;"",$L855,TODAY())-$K855))</f>
        <v/>
      </c>
      <c r="O855" s="135">
        <f>IF(OR($F855="",$I855=""),"",$N855*P_Amende)</f>
        <v/>
      </c>
      <c r="P855" s="133" t="n"/>
      <c r="R855">
        <f>IF($M855="En retard",$N855+ROW()/100000,"")</f>
        <v/>
      </c>
      <c r="S855">
        <f>IF(OR($F855="",$I855=""),"",$F855+ROW()/100000)</f>
        <v/>
      </c>
      <c r="T855">
        <f>IF($I855="","",IFERROR(INDEX(LIV_Cat,MATCH($I855,LIV_Code,0)),""))</f>
        <v/>
      </c>
    </row>
    <row r="856" ht="21" customHeight="1">
      <c r="A856" s="1" t="n"/>
      <c r="B856" s="1" t="n"/>
      <c r="C856" s="2" t="n"/>
      <c r="E856" s="130">
        <f>IF($F856="","","EMP-"&amp;TEXT(ROW()-6,"0000"))</f>
        <v/>
      </c>
      <c r="F856" s="134" t="n"/>
      <c r="G856" s="127" t="n"/>
      <c r="H856" s="130">
        <f>IF($G856="","",IFERROR(INDEX(MEM_Nom,MATCH($G856,MEM_ID,0)),"⚠ ID inconnu"))</f>
        <v/>
      </c>
      <c r="I856" s="127" t="n"/>
      <c r="J856" s="130">
        <f>IF($I856="","",IFERROR(INDEX(LIV_Titre,MATCH($I856,LIV_Code,0)),"⚠ Code inconnu"))</f>
        <v/>
      </c>
      <c r="K856" s="138">
        <f>IF($F856="","",$F856+P_Duree)</f>
        <v/>
      </c>
      <c r="L856" s="134" t="n"/>
      <c r="M856" s="130">
        <f>IF(OR($F856="",$I856=""),"",IF($L856&lt;&gt;"",IF($L856&gt;$K856,"Rendu en retard","Rendu"),IF(TODAY()&gt;$K856,"En retard","En cours")))</f>
        <v/>
      </c>
      <c r="N856" s="139">
        <f>IF(OR($F856="",$I856=""),"",MAX(0,IF($L856&lt;&gt;"",$L856,TODAY())-$K856))</f>
        <v/>
      </c>
      <c r="O856" s="135">
        <f>IF(OR($F856="",$I856=""),"",$N856*P_Amende)</f>
        <v/>
      </c>
      <c r="P856" s="133" t="n"/>
      <c r="R856">
        <f>IF($M856="En retard",$N856+ROW()/100000,"")</f>
        <v/>
      </c>
      <c r="S856">
        <f>IF(OR($F856="",$I856=""),"",$F856+ROW()/100000)</f>
        <v/>
      </c>
      <c r="T856">
        <f>IF($I856="","",IFERROR(INDEX(LIV_Cat,MATCH($I856,LIV_Code,0)),""))</f>
        <v/>
      </c>
    </row>
    <row r="857" ht="21" customHeight="1">
      <c r="A857" s="1" t="n"/>
      <c r="B857" s="1" t="n"/>
      <c r="C857" s="2" t="n"/>
      <c r="E857" s="130">
        <f>IF($F857="","","EMP-"&amp;TEXT(ROW()-6,"0000"))</f>
        <v/>
      </c>
      <c r="F857" s="134" t="n"/>
      <c r="G857" s="127" t="n"/>
      <c r="H857" s="130">
        <f>IF($G857="","",IFERROR(INDEX(MEM_Nom,MATCH($G857,MEM_ID,0)),"⚠ ID inconnu"))</f>
        <v/>
      </c>
      <c r="I857" s="127" t="n"/>
      <c r="J857" s="130">
        <f>IF($I857="","",IFERROR(INDEX(LIV_Titre,MATCH($I857,LIV_Code,0)),"⚠ Code inconnu"))</f>
        <v/>
      </c>
      <c r="K857" s="138">
        <f>IF($F857="","",$F857+P_Duree)</f>
        <v/>
      </c>
      <c r="L857" s="134" t="n"/>
      <c r="M857" s="130">
        <f>IF(OR($F857="",$I857=""),"",IF($L857&lt;&gt;"",IF($L857&gt;$K857,"Rendu en retard","Rendu"),IF(TODAY()&gt;$K857,"En retard","En cours")))</f>
        <v/>
      </c>
      <c r="N857" s="139">
        <f>IF(OR($F857="",$I857=""),"",MAX(0,IF($L857&lt;&gt;"",$L857,TODAY())-$K857))</f>
        <v/>
      </c>
      <c r="O857" s="135">
        <f>IF(OR($F857="",$I857=""),"",$N857*P_Amende)</f>
        <v/>
      </c>
      <c r="P857" s="133" t="n"/>
      <c r="R857">
        <f>IF($M857="En retard",$N857+ROW()/100000,"")</f>
        <v/>
      </c>
      <c r="S857">
        <f>IF(OR($F857="",$I857=""),"",$F857+ROW()/100000)</f>
        <v/>
      </c>
      <c r="T857">
        <f>IF($I857="","",IFERROR(INDEX(LIV_Cat,MATCH($I857,LIV_Code,0)),""))</f>
        <v/>
      </c>
    </row>
    <row r="858" ht="21" customHeight="1">
      <c r="A858" s="1" t="n"/>
      <c r="B858" s="1" t="n"/>
      <c r="C858" s="2" t="n"/>
      <c r="E858" s="130">
        <f>IF($F858="","","EMP-"&amp;TEXT(ROW()-6,"0000"))</f>
        <v/>
      </c>
      <c r="F858" s="134" t="n"/>
      <c r="G858" s="127" t="n"/>
      <c r="H858" s="130">
        <f>IF($G858="","",IFERROR(INDEX(MEM_Nom,MATCH($G858,MEM_ID,0)),"⚠ ID inconnu"))</f>
        <v/>
      </c>
      <c r="I858" s="127" t="n"/>
      <c r="J858" s="130">
        <f>IF($I858="","",IFERROR(INDEX(LIV_Titre,MATCH($I858,LIV_Code,0)),"⚠ Code inconnu"))</f>
        <v/>
      </c>
      <c r="K858" s="138">
        <f>IF($F858="","",$F858+P_Duree)</f>
        <v/>
      </c>
      <c r="L858" s="134" t="n"/>
      <c r="M858" s="130">
        <f>IF(OR($F858="",$I858=""),"",IF($L858&lt;&gt;"",IF($L858&gt;$K858,"Rendu en retard","Rendu"),IF(TODAY()&gt;$K858,"En retard","En cours")))</f>
        <v/>
      </c>
      <c r="N858" s="139">
        <f>IF(OR($F858="",$I858=""),"",MAX(0,IF($L858&lt;&gt;"",$L858,TODAY())-$K858))</f>
        <v/>
      </c>
      <c r="O858" s="135">
        <f>IF(OR($F858="",$I858=""),"",$N858*P_Amende)</f>
        <v/>
      </c>
      <c r="P858" s="133" t="n"/>
      <c r="R858">
        <f>IF($M858="En retard",$N858+ROW()/100000,"")</f>
        <v/>
      </c>
      <c r="S858">
        <f>IF(OR($F858="",$I858=""),"",$F858+ROW()/100000)</f>
        <v/>
      </c>
      <c r="T858">
        <f>IF($I858="","",IFERROR(INDEX(LIV_Cat,MATCH($I858,LIV_Code,0)),""))</f>
        <v/>
      </c>
    </row>
    <row r="859" ht="21" customHeight="1">
      <c r="A859" s="1" t="n"/>
      <c r="B859" s="1" t="n"/>
      <c r="C859" s="2" t="n"/>
      <c r="E859" s="130">
        <f>IF($F859="","","EMP-"&amp;TEXT(ROW()-6,"0000"))</f>
        <v/>
      </c>
      <c r="F859" s="134" t="n"/>
      <c r="G859" s="127" t="n"/>
      <c r="H859" s="130">
        <f>IF($G859="","",IFERROR(INDEX(MEM_Nom,MATCH($G859,MEM_ID,0)),"⚠ ID inconnu"))</f>
        <v/>
      </c>
      <c r="I859" s="127" t="n"/>
      <c r="J859" s="130">
        <f>IF($I859="","",IFERROR(INDEX(LIV_Titre,MATCH($I859,LIV_Code,0)),"⚠ Code inconnu"))</f>
        <v/>
      </c>
      <c r="K859" s="138">
        <f>IF($F859="","",$F859+P_Duree)</f>
        <v/>
      </c>
      <c r="L859" s="134" t="n"/>
      <c r="M859" s="130">
        <f>IF(OR($F859="",$I859=""),"",IF($L859&lt;&gt;"",IF($L859&gt;$K859,"Rendu en retard","Rendu"),IF(TODAY()&gt;$K859,"En retard","En cours")))</f>
        <v/>
      </c>
      <c r="N859" s="139">
        <f>IF(OR($F859="",$I859=""),"",MAX(0,IF($L859&lt;&gt;"",$L859,TODAY())-$K859))</f>
        <v/>
      </c>
      <c r="O859" s="135">
        <f>IF(OR($F859="",$I859=""),"",$N859*P_Amende)</f>
        <v/>
      </c>
      <c r="P859" s="133" t="n"/>
      <c r="R859">
        <f>IF($M859="En retard",$N859+ROW()/100000,"")</f>
        <v/>
      </c>
      <c r="S859">
        <f>IF(OR($F859="",$I859=""),"",$F859+ROW()/100000)</f>
        <v/>
      </c>
      <c r="T859">
        <f>IF($I859="","",IFERROR(INDEX(LIV_Cat,MATCH($I859,LIV_Code,0)),""))</f>
        <v/>
      </c>
    </row>
    <row r="860" ht="21" customHeight="1">
      <c r="A860" s="1" t="n"/>
      <c r="B860" s="1" t="n"/>
      <c r="C860" s="2" t="n"/>
      <c r="E860" s="130">
        <f>IF($F860="","","EMP-"&amp;TEXT(ROW()-6,"0000"))</f>
        <v/>
      </c>
      <c r="F860" s="134" t="n"/>
      <c r="G860" s="127" t="n"/>
      <c r="H860" s="130">
        <f>IF($G860="","",IFERROR(INDEX(MEM_Nom,MATCH($G860,MEM_ID,0)),"⚠ ID inconnu"))</f>
        <v/>
      </c>
      <c r="I860" s="127" t="n"/>
      <c r="J860" s="130">
        <f>IF($I860="","",IFERROR(INDEX(LIV_Titre,MATCH($I860,LIV_Code,0)),"⚠ Code inconnu"))</f>
        <v/>
      </c>
      <c r="K860" s="138">
        <f>IF($F860="","",$F860+P_Duree)</f>
        <v/>
      </c>
      <c r="L860" s="134" t="n"/>
      <c r="M860" s="130">
        <f>IF(OR($F860="",$I860=""),"",IF($L860&lt;&gt;"",IF($L860&gt;$K860,"Rendu en retard","Rendu"),IF(TODAY()&gt;$K860,"En retard","En cours")))</f>
        <v/>
      </c>
      <c r="N860" s="139">
        <f>IF(OR($F860="",$I860=""),"",MAX(0,IF($L860&lt;&gt;"",$L860,TODAY())-$K860))</f>
        <v/>
      </c>
      <c r="O860" s="135">
        <f>IF(OR($F860="",$I860=""),"",$N860*P_Amende)</f>
        <v/>
      </c>
      <c r="P860" s="133" t="n"/>
      <c r="R860">
        <f>IF($M860="En retard",$N860+ROW()/100000,"")</f>
        <v/>
      </c>
      <c r="S860">
        <f>IF(OR($F860="",$I860=""),"",$F860+ROW()/100000)</f>
        <v/>
      </c>
      <c r="T860">
        <f>IF($I860="","",IFERROR(INDEX(LIV_Cat,MATCH($I860,LIV_Code,0)),""))</f>
        <v/>
      </c>
    </row>
    <row r="861" ht="21" customHeight="1">
      <c r="A861" s="1" t="n"/>
      <c r="B861" s="1" t="n"/>
      <c r="C861" s="2" t="n"/>
      <c r="E861" s="130">
        <f>IF($F861="","","EMP-"&amp;TEXT(ROW()-6,"0000"))</f>
        <v/>
      </c>
      <c r="F861" s="134" t="n"/>
      <c r="G861" s="127" t="n"/>
      <c r="H861" s="130">
        <f>IF($G861="","",IFERROR(INDEX(MEM_Nom,MATCH($G861,MEM_ID,0)),"⚠ ID inconnu"))</f>
        <v/>
      </c>
      <c r="I861" s="127" t="n"/>
      <c r="J861" s="130">
        <f>IF($I861="","",IFERROR(INDEX(LIV_Titre,MATCH($I861,LIV_Code,0)),"⚠ Code inconnu"))</f>
        <v/>
      </c>
      <c r="K861" s="138">
        <f>IF($F861="","",$F861+P_Duree)</f>
        <v/>
      </c>
      <c r="L861" s="134" t="n"/>
      <c r="M861" s="130">
        <f>IF(OR($F861="",$I861=""),"",IF($L861&lt;&gt;"",IF($L861&gt;$K861,"Rendu en retard","Rendu"),IF(TODAY()&gt;$K861,"En retard","En cours")))</f>
        <v/>
      </c>
      <c r="N861" s="139">
        <f>IF(OR($F861="",$I861=""),"",MAX(0,IF($L861&lt;&gt;"",$L861,TODAY())-$K861))</f>
        <v/>
      </c>
      <c r="O861" s="135">
        <f>IF(OR($F861="",$I861=""),"",$N861*P_Amende)</f>
        <v/>
      </c>
      <c r="P861" s="133" t="n"/>
      <c r="R861">
        <f>IF($M861="En retard",$N861+ROW()/100000,"")</f>
        <v/>
      </c>
      <c r="S861">
        <f>IF(OR($F861="",$I861=""),"",$F861+ROW()/100000)</f>
        <v/>
      </c>
      <c r="T861">
        <f>IF($I861="","",IFERROR(INDEX(LIV_Cat,MATCH($I861,LIV_Code,0)),""))</f>
        <v/>
      </c>
    </row>
    <row r="862" ht="21" customHeight="1">
      <c r="A862" s="1" t="n"/>
      <c r="B862" s="1" t="n"/>
      <c r="C862" s="2" t="n"/>
      <c r="E862" s="130">
        <f>IF($F862="","","EMP-"&amp;TEXT(ROW()-6,"0000"))</f>
        <v/>
      </c>
      <c r="F862" s="134" t="n"/>
      <c r="G862" s="127" t="n"/>
      <c r="H862" s="130">
        <f>IF($G862="","",IFERROR(INDEX(MEM_Nom,MATCH($G862,MEM_ID,0)),"⚠ ID inconnu"))</f>
        <v/>
      </c>
      <c r="I862" s="127" t="n"/>
      <c r="J862" s="130">
        <f>IF($I862="","",IFERROR(INDEX(LIV_Titre,MATCH($I862,LIV_Code,0)),"⚠ Code inconnu"))</f>
        <v/>
      </c>
      <c r="K862" s="138">
        <f>IF($F862="","",$F862+P_Duree)</f>
        <v/>
      </c>
      <c r="L862" s="134" t="n"/>
      <c r="M862" s="130">
        <f>IF(OR($F862="",$I862=""),"",IF($L862&lt;&gt;"",IF($L862&gt;$K862,"Rendu en retard","Rendu"),IF(TODAY()&gt;$K862,"En retard","En cours")))</f>
        <v/>
      </c>
      <c r="N862" s="139">
        <f>IF(OR($F862="",$I862=""),"",MAX(0,IF($L862&lt;&gt;"",$L862,TODAY())-$K862))</f>
        <v/>
      </c>
      <c r="O862" s="135">
        <f>IF(OR($F862="",$I862=""),"",$N862*P_Amende)</f>
        <v/>
      </c>
      <c r="P862" s="133" t="n"/>
      <c r="R862">
        <f>IF($M862="En retard",$N862+ROW()/100000,"")</f>
        <v/>
      </c>
      <c r="S862">
        <f>IF(OR($F862="",$I862=""),"",$F862+ROW()/100000)</f>
        <v/>
      </c>
      <c r="T862">
        <f>IF($I862="","",IFERROR(INDEX(LIV_Cat,MATCH($I862,LIV_Code,0)),""))</f>
        <v/>
      </c>
    </row>
    <row r="863" ht="21" customHeight="1">
      <c r="A863" s="1" t="n"/>
      <c r="B863" s="1" t="n"/>
      <c r="C863" s="2" t="n"/>
      <c r="E863" s="130">
        <f>IF($F863="","","EMP-"&amp;TEXT(ROW()-6,"0000"))</f>
        <v/>
      </c>
      <c r="F863" s="134" t="n"/>
      <c r="G863" s="127" t="n"/>
      <c r="H863" s="130">
        <f>IF($G863="","",IFERROR(INDEX(MEM_Nom,MATCH($G863,MEM_ID,0)),"⚠ ID inconnu"))</f>
        <v/>
      </c>
      <c r="I863" s="127" t="n"/>
      <c r="J863" s="130">
        <f>IF($I863="","",IFERROR(INDEX(LIV_Titre,MATCH($I863,LIV_Code,0)),"⚠ Code inconnu"))</f>
        <v/>
      </c>
      <c r="K863" s="138">
        <f>IF($F863="","",$F863+P_Duree)</f>
        <v/>
      </c>
      <c r="L863" s="134" t="n"/>
      <c r="M863" s="130">
        <f>IF(OR($F863="",$I863=""),"",IF($L863&lt;&gt;"",IF($L863&gt;$K863,"Rendu en retard","Rendu"),IF(TODAY()&gt;$K863,"En retard","En cours")))</f>
        <v/>
      </c>
      <c r="N863" s="139">
        <f>IF(OR($F863="",$I863=""),"",MAX(0,IF($L863&lt;&gt;"",$L863,TODAY())-$K863))</f>
        <v/>
      </c>
      <c r="O863" s="135">
        <f>IF(OR($F863="",$I863=""),"",$N863*P_Amende)</f>
        <v/>
      </c>
      <c r="P863" s="133" t="n"/>
      <c r="R863">
        <f>IF($M863="En retard",$N863+ROW()/100000,"")</f>
        <v/>
      </c>
      <c r="S863">
        <f>IF(OR($F863="",$I863=""),"",$F863+ROW()/100000)</f>
        <v/>
      </c>
      <c r="T863">
        <f>IF($I863="","",IFERROR(INDEX(LIV_Cat,MATCH($I863,LIV_Code,0)),""))</f>
        <v/>
      </c>
    </row>
    <row r="864" ht="21" customHeight="1">
      <c r="A864" s="1" t="n"/>
      <c r="B864" s="1" t="n"/>
      <c r="C864" s="2" t="n"/>
      <c r="E864" s="130">
        <f>IF($F864="","","EMP-"&amp;TEXT(ROW()-6,"0000"))</f>
        <v/>
      </c>
      <c r="F864" s="134" t="n"/>
      <c r="G864" s="127" t="n"/>
      <c r="H864" s="130">
        <f>IF($G864="","",IFERROR(INDEX(MEM_Nom,MATCH($G864,MEM_ID,0)),"⚠ ID inconnu"))</f>
        <v/>
      </c>
      <c r="I864" s="127" t="n"/>
      <c r="J864" s="130">
        <f>IF($I864="","",IFERROR(INDEX(LIV_Titre,MATCH($I864,LIV_Code,0)),"⚠ Code inconnu"))</f>
        <v/>
      </c>
      <c r="K864" s="138">
        <f>IF($F864="","",$F864+P_Duree)</f>
        <v/>
      </c>
      <c r="L864" s="134" t="n"/>
      <c r="M864" s="130">
        <f>IF(OR($F864="",$I864=""),"",IF($L864&lt;&gt;"",IF($L864&gt;$K864,"Rendu en retard","Rendu"),IF(TODAY()&gt;$K864,"En retard","En cours")))</f>
        <v/>
      </c>
      <c r="N864" s="139">
        <f>IF(OR($F864="",$I864=""),"",MAX(0,IF($L864&lt;&gt;"",$L864,TODAY())-$K864))</f>
        <v/>
      </c>
      <c r="O864" s="135">
        <f>IF(OR($F864="",$I864=""),"",$N864*P_Amende)</f>
        <v/>
      </c>
      <c r="P864" s="133" t="n"/>
      <c r="R864">
        <f>IF($M864="En retard",$N864+ROW()/100000,"")</f>
        <v/>
      </c>
      <c r="S864">
        <f>IF(OR($F864="",$I864=""),"",$F864+ROW()/100000)</f>
        <v/>
      </c>
      <c r="T864">
        <f>IF($I864="","",IFERROR(INDEX(LIV_Cat,MATCH($I864,LIV_Code,0)),""))</f>
        <v/>
      </c>
    </row>
    <row r="865" ht="21" customHeight="1">
      <c r="A865" s="1" t="n"/>
      <c r="B865" s="1" t="n"/>
      <c r="C865" s="2" t="n"/>
      <c r="E865" s="130">
        <f>IF($F865="","","EMP-"&amp;TEXT(ROW()-6,"0000"))</f>
        <v/>
      </c>
      <c r="F865" s="134" t="n"/>
      <c r="G865" s="127" t="n"/>
      <c r="H865" s="130">
        <f>IF($G865="","",IFERROR(INDEX(MEM_Nom,MATCH($G865,MEM_ID,0)),"⚠ ID inconnu"))</f>
        <v/>
      </c>
      <c r="I865" s="127" t="n"/>
      <c r="J865" s="130">
        <f>IF($I865="","",IFERROR(INDEX(LIV_Titre,MATCH($I865,LIV_Code,0)),"⚠ Code inconnu"))</f>
        <v/>
      </c>
      <c r="K865" s="138">
        <f>IF($F865="","",$F865+P_Duree)</f>
        <v/>
      </c>
      <c r="L865" s="134" t="n"/>
      <c r="M865" s="130">
        <f>IF(OR($F865="",$I865=""),"",IF($L865&lt;&gt;"",IF($L865&gt;$K865,"Rendu en retard","Rendu"),IF(TODAY()&gt;$K865,"En retard","En cours")))</f>
        <v/>
      </c>
      <c r="N865" s="139">
        <f>IF(OR($F865="",$I865=""),"",MAX(0,IF($L865&lt;&gt;"",$L865,TODAY())-$K865))</f>
        <v/>
      </c>
      <c r="O865" s="135">
        <f>IF(OR($F865="",$I865=""),"",$N865*P_Amende)</f>
        <v/>
      </c>
      <c r="P865" s="133" t="n"/>
      <c r="R865">
        <f>IF($M865="En retard",$N865+ROW()/100000,"")</f>
        <v/>
      </c>
      <c r="S865">
        <f>IF(OR($F865="",$I865=""),"",$F865+ROW()/100000)</f>
        <v/>
      </c>
      <c r="T865">
        <f>IF($I865="","",IFERROR(INDEX(LIV_Cat,MATCH($I865,LIV_Code,0)),""))</f>
        <v/>
      </c>
    </row>
    <row r="866" ht="21" customHeight="1">
      <c r="A866" s="1" t="n"/>
      <c r="B866" s="1" t="n"/>
      <c r="C866" s="2" t="n"/>
      <c r="E866" s="130">
        <f>IF($F866="","","EMP-"&amp;TEXT(ROW()-6,"0000"))</f>
        <v/>
      </c>
      <c r="F866" s="134" t="n"/>
      <c r="G866" s="127" t="n"/>
      <c r="H866" s="130">
        <f>IF($G866="","",IFERROR(INDEX(MEM_Nom,MATCH($G866,MEM_ID,0)),"⚠ ID inconnu"))</f>
        <v/>
      </c>
      <c r="I866" s="127" t="n"/>
      <c r="J866" s="130">
        <f>IF($I866="","",IFERROR(INDEX(LIV_Titre,MATCH($I866,LIV_Code,0)),"⚠ Code inconnu"))</f>
        <v/>
      </c>
      <c r="K866" s="138">
        <f>IF($F866="","",$F866+P_Duree)</f>
        <v/>
      </c>
      <c r="L866" s="134" t="n"/>
      <c r="M866" s="130">
        <f>IF(OR($F866="",$I866=""),"",IF($L866&lt;&gt;"",IF($L866&gt;$K866,"Rendu en retard","Rendu"),IF(TODAY()&gt;$K866,"En retard","En cours")))</f>
        <v/>
      </c>
      <c r="N866" s="139">
        <f>IF(OR($F866="",$I866=""),"",MAX(0,IF($L866&lt;&gt;"",$L866,TODAY())-$K866))</f>
        <v/>
      </c>
      <c r="O866" s="135">
        <f>IF(OR($F866="",$I866=""),"",$N866*P_Amende)</f>
        <v/>
      </c>
      <c r="P866" s="133" t="n"/>
      <c r="R866">
        <f>IF($M866="En retard",$N866+ROW()/100000,"")</f>
        <v/>
      </c>
      <c r="S866">
        <f>IF(OR($F866="",$I866=""),"",$F866+ROW()/100000)</f>
        <v/>
      </c>
      <c r="T866">
        <f>IF($I866="","",IFERROR(INDEX(LIV_Cat,MATCH($I866,LIV_Code,0)),""))</f>
        <v/>
      </c>
    </row>
    <row r="867" ht="21" customHeight="1">
      <c r="A867" s="1" t="n"/>
      <c r="B867" s="1" t="n"/>
      <c r="C867" s="2" t="n"/>
      <c r="E867" s="130">
        <f>IF($F867="","","EMP-"&amp;TEXT(ROW()-6,"0000"))</f>
        <v/>
      </c>
      <c r="F867" s="134" t="n"/>
      <c r="G867" s="127" t="n"/>
      <c r="H867" s="130">
        <f>IF($G867="","",IFERROR(INDEX(MEM_Nom,MATCH($G867,MEM_ID,0)),"⚠ ID inconnu"))</f>
        <v/>
      </c>
      <c r="I867" s="127" t="n"/>
      <c r="J867" s="130">
        <f>IF($I867="","",IFERROR(INDEX(LIV_Titre,MATCH($I867,LIV_Code,0)),"⚠ Code inconnu"))</f>
        <v/>
      </c>
      <c r="K867" s="138">
        <f>IF($F867="","",$F867+P_Duree)</f>
        <v/>
      </c>
      <c r="L867" s="134" t="n"/>
      <c r="M867" s="130">
        <f>IF(OR($F867="",$I867=""),"",IF($L867&lt;&gt;"",IF($L867&gt;$K867,"Rendu en retard","Rendu"),IF(TODAY()&gt;$K867,"En retard","En cours")))</f>
        <v/>
      </c>
      <c r="N867" s="139">
        <f>IF(OR($F867="",$I867=""),"",MAX(0,IF($L867&lt;&gt;"",$L867,TODAY())-$K867))</f>
        <v/>
      </c>
      <c r="O867" s="135">
        <f>IF(OR($F867="",$I867=""),"",$N867*P_Amende)</f>
        <v/>
      </c>
      <c r="P867" s="133" t="n"/>
      <c r="R867">
        <f>IF($M867="En retard",$N867+ROW()/100000,"")</f>
        <v/>
      </c>
      <c r="S867">
        <f>IF(OR($F867="",$I867=""),"",$F867+ROW()/100000)</f>
        <v/>
      </c>
      <c r="T867">
        <f>IF($I867="","",IFERROR(INDEX(LIV_Cat,MATCH($I867,LIV_Code,0)),""))</f>
        <v/>
      </c>
    </row>
    <row r="868" ht="21" customHeight="1">
      <c r="A868" s="1" t="n"/>
      <c r="B868" s="1" t="n"/>
      <c r="C868" s="2" t="n"/>
      <c r="E868" s="130">
        <f>IF($F868="","","EMP-"&amp;TEXT(ROW()-6,"0000"))</f>
        <v/>
      </c>
      <c r="F868" s="134" t="n"/>
      <c r="G868" s="127" t="n"/>
      <c r="H868" s="130">
        <f>IF($G868="","",IFERROR(INDEX(MEM_Nom,MATCH($G868,MEM_ID,0)),"⚠ ID inconnu"))</f>
        <v/>
      </c>
      <c r="I868" s="127" t="n"/>
      <c r="J868" s="130">
        <f>IF($I868="","",IFERROR(INDEX(LIV_Titre,MATCH($I868,LIV_Code,0)),"⚠ Code inconnu"))</f>
        <v/>
      </c>
      <c r="K868" s="138">
        <f>IF($F868="","",$F868+P_Duree)</f>
        <v/>
      </c>
      <c r="L868" s="134" t="n"/>
      <c r="M868" s="130">
        <f>IF(OR($F868="",$I868=""),"",IF($L868&lt;&gt;"",IF($L868&gt;$K868,"Rendu en retard","Rendu"),IF(TODAY()&gt;$K868,"En retard","En cours")))</f>
        <v/>
      </c>
      <c r="N868" s="139">
        <f>IF(OR($F868="",$I868=""),"",MAX(0,IF($L868&lt;&gt;"",$L868,TODAY())-$K868))</f>
        <v/>
      </c>
      <c r="O868" s="135">
        <f>IF(OR($F868="",$I868=""),"",$N868*P_Amende)</f>
        <v/>
      </c>
      <c r="P868" s="133" t="n"/>
      <c r="R868">
        <f>IF($M868="En retard",$N868+ROW()/100000,"")</f>
        <v/>
      </c>
      <c r="S868">
        <f>IF(OR($F868="",$I868=""),"",$F868+ROW()/100000)</f>
        <v/>
      </c>
      <c r="T868">
        <f>IF($I868="","",IFERROR(INDEX(LIV_Cat,MATCH($I868,LIV_Code,0)),""))</f>
        <v/>
      </c>
    </row>
    <row r="869" ht="21" customHeight="1">
      <c r="A869" s="1" t="n"/>
      <c r="B869" s="1" t="n"/>
      <c r="C869" s="2" t="n"/>
      <c r="E869" s="130">
        <f>IF($F869="","","EMP-"&amp;TEXT(ROW()-6,"0000"))</f>
        <v/>
      </c>
      <c r="F869" s="134" t="n"/>
      <c r="G869" s="127" t="n"/>
      <c r="H869" s="130">
        <f>IF($G869="","",IFERROR(INDEX(MEM_Nom,MATCH($G869,MEM_ID,0)),"⚠ ID inconnu"))</f>
        <v/>
      </c>
      <c r="I869" s="127" t="n"/>
      <c r="J869" s="130">
        <f>IF($I869="","",IFERROR(INDEX(LIV_Titre,MATCH($I869,LIV_Code,0)),"⚠ Code inconnu"))</f>
        <v/>
      </c>
      <c r="K869" s="138">
        <f>IF($F869="","",$F869+P_Duree)</f>
        <v/>
      </c>
      <c r="L869" s="134" t="n"/>
      <c r="M869" s="130">
        <f>IF(OR($F869="",$I869=""),"",IF($L869&lt;&gt;"",IF($L869&gt;$K869,"Rendu en retard","Rendu"),IF(TODAY()&gt;$K869,"En retard","En cours")))</f>
        <v/>
      </c>
      <c r="N869" s="139">
        <f>IF(OR($F869="",$I869=""),"",MAX(0,IF($L869&lt;&gt;"",$L869,TODAY())-$K869))</f>
        <v/>
      </c>
      <c r="O869" s="135">
        <f>IF(OR($F869="",$I869=""),"",$N869*P_Amende)</f>
        <v/>
      </c>
      <c r="P869" s="133" t="n"/>
      <c r="R869">
        <f>IF($M869="En retard",$N869+ROW()/100000,"")</f>
        <v/>
      </c>
      <c r="S869">
        <f>IF(OR($F869="",$I869=""),"",$F869+ROW()/100000)</f>
        <v/>
      </c>
      <c r="T869">
        <f>IF($I869="","",IFERROR(INDEX(LIV_Cat,MATCH($I869,LIV_Code,0)),""))</f>
        <v/>
      </c>
    </row>
    <row r="870" ht="21" customHeight="1">
      <c r="A870" s="1" t="n"/>
      <c r="B870" s="1" t="n"/>
      <c r="C870" s="2" t="n"/>
      <c r="E870" s="130">
        <f>IF($F870="","","EMP-"&amp;TEXT(ROW()-6,"0000"))</f>
        <v/>
      </c>
      <c r="F870" s="134" t="n"/>
      <c r="G870" s="127" t="n"/>
      <c r="H870" s="130">
        <f>IF($G870="","",IFERROR(INDEX(MEM_Nom,MATCH($G870,MEM_ID,0)),"⚠ ID inconnu"))</f>
        <v/>
      </c>
      <c r="I870" s="127" t="n"/>
      <c r="J870" s="130">
        <f>IF($I870="","",IFERROR(INDEX(LIV_Titre,MATCH($I870,LIV_Code,0)),"⚠ Code inconnu"))</f>
        <v/>
      </c>
      <c r="K870" s="138">
        <f>IF($F870="","",$F870+P_Duree)</f>
        <v/>
      </c>
      <c r="L870" s="134" t="n"/>
      <c r="M870" s="130">
        <f>IF(OR($F870="",$I870=""),"",IF($L870&lt;&gt;"",IF($L870&gt;$K870,"Rendu en retard","Rendu"),IF(TODAY()&gt;$K870,"En retard","En cours")))</f>
        <v/>
      </c>
      <c r="N870" s="139">
        <f>IF(OR($F870="",$I870=""),"",MAX(0,IF($L870&lt;&gt;"",$L870,TODAY())-$K870))</f>
        <v/>
      </c>
      <c r="O870" s="135">
        <f>IF(OR($F870="",$I870=""),"",$N870*P_Amende)</f>
        <v/>
      </c>
      <c r="P870" s="133" t="n"/>
      <c r="R870">
        <f>IF($M870="En retard",$N870+ROW()/100000,"")</f>
        <v/>
      </c>
      <c r="S870">
        <f>IF(OR($F870="",$I870=""),"",$F870+ROW()/100000)</f>
        <v/>
      </c>
      <c r="T870">
        <f>IF($I870="","",IFERROR(INDEX(LIV_Cat,MATCH($I870,LIV_Code,0)),""))</f>
        <v/>
      </c>
    </row>
    <row r="871" ht="21" customHeight="1">
      <c r="A871" s="1" t="n"/>
      <c r="B871" s="1" t="n"/>
      <c r="C871" s="2" t="n"/>
      <c r="E871" s="130">
        <f>IF($F871="","","EMP-"&amp;TEXT(ROW()-6,"0000"))</f>
        <v/>
      </c>
      <c r="F871" s="134" t="n"/>
      <c r="G871" s="127" t="n"/>
      <c r="H871" s="130">
        <f>IF($G871="","",IFERROR(INDEX(MEM_Nom,MATCH($G871,MEM_ID,0)),"⚠ ID inconnu"))</f>
        <v/>
      </c>
      <c r="I871" s="127" t="n"/>
      <c r="J871" s="130">
        <f>IF($I871="","",IFERROR(INDEX(LIV_Titre,MATCH($I871,LIV_Code,0)),"⚠ Code inconnu"))</f>
        <v/>
      </c>
      <c r="K871" s="138">
        <f>IF($F871="","",$F871+P_Duree)</f>
        <v/>
      </c>
      <c r="L871" s="134" t="n"/>
      <c r="M871" s="130">
        <f>IF(OR($F871="",$I871=""),"",IF($L871&lt;&gt;"",IF($L871&gt;$K871,"Rendu en retard","Rendu"),IF(TODAY()&gt;$K871,"En retard","En cours")))</f>
        <v/>
      </c>
      <c r="N871" s="139">
        <f>IF(OR($F871="",$I871=""),"",MAX(0,IF($L871&lt;&gt;"",$L871,TODAY())-$K871))</f>
        <v/>
      </c>
      <c r="O871" s="135">
        <f>IF(OR($F871="",$I871=""),"",$N871*P_Amende)</f>
        <v/>
      </c>
      <c r="P871" s="133" t="n"/>
      <c r="R871">
        <f>IF($M871="En retard",$N871+ROW()/100000,"")</f>
        <v/>
      </c>
      <c r="S871">
        <f>IF(OR($F871="",$I871=""),"",$F871+ROW()/100000)</f>
        <v/>
      </c>
      <c r="T871">
        <f>IF($I871="","",IFERROR(INDEX(LIV_Cat,MATCH($I871,LIV_Code,0)),""))</f>
        <v/>
      </c>
    </row>
    <row r="872" ht="21" customHeight="1">
      <c r="A872" s="1" t="n"/>
      <c r="B872" s="1" t="n"/>
      <c r="C872" s="2" t="n"/>
      <c r="E872" s="130">
        <f>IF($F872="","","EMP-"&amp;TEXT(ROW()-6,"0000"))</f>
        <v/>
      </c>
      <c r="F872" s="134" t="n"/>
      <c r="G872" s="127" t="n"/>
      <c r="H872" s="130">
        <f>IF($G872="","",IFERROR(INDEX(MEM_Nom,MATCH($G872,MEM_ID,0)),"⚠ ID inconnu"))</f>
        <v/>
      </c>
      <c r="I872" s="127" t="n"/>
      <c r="J872" s="130">
        <f>IF($I872="","",IFERROR(INDEX(LIV_Titre,MATCH($I872,LIV_Code,0)),"⚠ Code inconnu"))</f>
        <v/>
      </c>
      <c r="K872" s="138">
        <f>IF($F872="","",$F872+P_Duree)</f>
        <v/>
      </c>
      <c r="L872" s="134" t="n"/>
      <c r="M872" s="130">
        <f>IF(OR($F872="",$I872=""),"",IF($L872&lt;&gt;"",IF($L872&gt;$K872,"Rendu en retard","Rendu"),IF(TODAY()&gt;$K872,"En retard","En cours")))</f>
        <v/>
      </c>
      <c r="N872" s="139">
        <f>IF(OR($F872="",$I872=""),"",MAX(0,IF($L872&lt;&gt;"",$L872,TODAY())-$K872))</f>
        <v/>
      </c>
      <c r="O872" s="135">
        <f>IF(OR($F872="",$I872=""),"",$N872*P_Amende)</f>
        <v/>
      </c>
      <c r="P872" s="133" t="n"/>
      <c r="R872">
        <f>IF($M872="En retard",$N872+ROW()/100000,"")</f>
        <v/>
      </c>
      <c r="S872">
        <f>IF(OR($F872="",$I872=""),"",$F872+ROW()/100000)</f>
        <v/>
      </c>
      <c r="T872">
        <f>IF($I872="","",IFERROR(INDEX(LIV_Cat,MATCH($I872,LIV_Code,0)),""))</f>
        <v/>
      </c>
    </row>
    <row r="873" ht="21" customHeight="1">
      <c r="A873" s="1" t="n"/>
      <c r="B873" s="1" t="n"/>
      <c r="C873" s="2" t="n"/>
      <c r="E873" s="130">
        <f>IF($F873="","","EMP-"&amp;TEXT(ROW()-6,"0000"))</f>
        <v/>
      </c>
      <c r="F873" s="134" t="n"/>
      <c r="G873" s="127" t="n"/>
      <c r="H873" s="130">
        <f>IF($G873="","",IFERROR(INDEX(MEM_Nom,MATCH($G873,MEM_ID,0)),"⚠ ID inconnu"))</f>
        <v/>
      </c>
      <c r="I873" s="127" t="n"/>
      <c r="J873" s="130">
        <f>IF($I873="","",IFERROR(INDEX(LIV_Titre,MATCH($I873,LIV_Code,0)),"⚠ Code inconnu"))</f>
        <v/>
      </c>
      <c r="K873" s="138">
        <f>IF($F873="","",$F873+P_Duree)</f>
        <v/>
      </c>
      <c r="L873" s="134" t="n"/>
      <c r="M873" s="130">
        <f>IF(OR($F873="",$I873=""),"",IF($L873&lt;&gt;"",IF($L873&gt;$K873,"Rendu en retard","Rendu"),IF(TODAY()&gt;$K873,"En retard","En cours")))</f>
        <v/>
      </c>
      <c r="N873" s="139">
        <f>IF(OR($F873="",$I873=""),"",MAX(0,IF($L873&lt;&gt;"",$L873,TODAY())-$K873))</f>
        <v/>
      </c>
      <c r="O873" s="135">
        <f>IF(OR($F873="",$I873=""),"",$N873*P_Amende)</f>
        <v/>
      </c>
      <c r="P873" s="133" t="n"/>
      <c r="R873">
        <f>IF($M873="En retard",$N873+ROW()/100000,"")</f>
        <v/>
      </c>
      <c r="S873">
        <f>IF(OR($F873="",$I873=""),"",$F873+ROW()/100000)</f>
        <v/>
      </c>
      <c r="T873">
        <f>IF($I873="","",IFERROR(INDEX(LIV_Cat,MATCH($I873,LIV_Code,0)),""))</f>
        <v/>
      </c>
    </row>
    <row r="874" ht="21" customHeight="1">
      <c r="A874" s="1" t="n"/>
      <c r="B874" s="1" t="n"/>
      <c r="C874" s="2" t="n"/>
      <c r="E874" s="130">
        <f>IF($F874="","","EMP-"&amp;TEXT(ROW()-6,"0000"))</f>
        <v/>
      </c>
      <c r="F874" s="134" t="n"/>
      <c r="G874" s="127" t="n"/>
      <c r="H874" s="130">
        <f>IF($G874="","",IFERROR(INDEX(MEM_Nom,MATCH($G874,MEM_ID,0)),"⚠ ID inconnu"))</f>
        <v/>
      </c>
      <c r="I874" s="127" t="n"/>
      <c r="J874" s="130">
        <f>IF($I874="","",IFERROR(INDEX(LIV_Titre,MATCH($I874,LIV_Code,0)),"⚠ Code inconnu"))</f>
        <v/>
      </c>
      <c r="K874" s="138">
        <f>IF($F874="","",$F874+P_Duree)</f>
        <v/>
      </c>
      <c r="L874" s="134" t="n"/>
      <c r="M874" s="130">
        <f>IF(OR($F874="",$I874=""),"",IF($L874&lt;&gt;"",IF($L874&gt;$K874,"Rendu en retard","Rendu"),IF(TODAY()&gt;$K874,"En retard","En cours")))</f>
        <v/>
      </c>
      <c r="N874" s="139">
        <f>IF(OR($F874="",$I874=""),"",MAX(0,IF($L874&lt;&gt;"",$L874,TODAY())-$K874))</f>
        <v/>
      </c>
      <c r="O874" s="135">
        <f>IF(OR($F874="",$I874=""),"",$N874*P_Amende)</f>
        <v/>
      </c>
      <c r="P874" s="133" t="n"/>
      <c r="R874">
        <f>IF($M874="En retard",$N874+ROW()/100000,"")</f>
        <v/>
      </c>
      <c r="S874">
        <f>IF(OR($F874="",$I874=""),"",$F874+ROW()/100000)</f>
        <v/>
      </c>
      <c r="T874">
        <f>IF($I874="","",IFERROR(INDEX(LIV_Cat,MATCH($I874,LIV_Code,0)),""))</f>
        <v/>
      </c>
    </row>
    <row r="875" ht="21" customHeight="1">
      <c r="A875" s="1" t="n"/>
      <c r="B875" s="1" t="n"/>
      <c r="C875" s="2" t="n"/>
      <c r="E875" s="130">
        <f>IF($F875="","","EMP-"&amp;TEXT(ROW()-6,"0000"))</f>
        <v/>
      </c>
      <c r="F875" s="134" t="n"/>
      <c r="G875" s="127" t="n"/>
      <c r="H875" s="130">
        <f>IF($G875="","",IFERROR(INDEX(MEM_Nom,MATCH($G875,MEM_ID,0)),"⚠ ID inconnu"))</f>
        <v/>
      </c>
      <c r="I875" s="127" t="n"/>
      <c r="J875" s="130">
        <f>IF($I875="","",IFERROR(INDEX(LIV_Titre,MATCH($I875,LIV_Code,0)),"⚠ Code inconnu"))</f>
        <v/>
      </c>
      <c r="K875" s="138">
        <f>IF($F875="","",$F875+P_Duree)</f>
        <v/>
      </c>
      <c r="L875" s="134" t="n"/>
      <c r="M875" s="130">
        <f>IF(OR($F875="",$I875=""),"",IF($L875&lt;&gt;"",IF($L875&gt;$K875,"Rendu en retard","Rendu"),IF(TODAY()&gt;$K875,"En retard","En cours")))</f>
        <v/>
      </c>
      <c r="N875" s="139">
        <f>IF(OR($F875="",$I875=""),"",MAX(0,IF($L875&lt;&gt;"",$L875,TODAY())-$K875))</f>
        <v/>
      </c>
      <c r="O875" s="135">
        <f>IF(OR($F875="",$I875=""),"",$N875*P_Amende)</f>
        <v/>
      </c>
      <c r="P875" s="133" t="n"/>
      <c r="R875">
        <f>IF($M875="En retard",$N875+ROW()/100000,"")</f>
        <v/>
      </c>
      <c r="S875">
        <f>IF(OR($F875="",$I875=""),"",$F875+ROW()/100000)</f>
        <v/>
      </c>
      <c r="T875">
        <f>IF($I875="","",IFERROR(INDEX(LIV_Cat,MATCH($I875,LIV_Code,0)),""))</f>
        <v/>
      </c>
    </row>
    <row r="876" ht="21" customHeight="1">
      <c r="A876" s="1" t="n"/>
      <c r="B876" s="1" t="n"/>
      <c r="C876" s="2" t="n"/>
      <c r="E876" s="130">
        <f>IF($F876="","","EMP-"&amp;TEXT(ROW()-6,"0000"))</f>
        <v/>
      </c>
      <c r="F876" s="134" t="n"/>
      <c r="G876" s="127" t="n"/>
      <c r="H876" s="130">
        <f>IF($G876="","",IFERROR(INDEX(MEM_Nom,MATCH($G876,MEM_ID,0)),"⚠ ID inconnu"))</f>
        <v/>
      </c>
      <c r="I876" s="127" t="n"/>
      <c r="J876" s="130">
        <f>IF($I876="","",IFERROR(INDEX(LIV_Titre,MATCH($I876,LIV_Code,0)),"⚠ Code inconnu"))</f>
        <v/>
      </c>
      <c r="K876" s="138">
        <f>IF($F876="","",$F876+P_Duree)</f>
        <v/>
      </c>
      <c r="L876" s="134" t="n"/>
      <c r="M876" s="130">
        <f>IF(OR($F876="",$I876=""),"",IF($L876&lt;&gt;"",IF($L876&gt;$K876,"Rendu en retard","Rendu"),IF(TODAY()&gt;$K876,"En retard","En cours")))</f>
        <v/>
      </c>
      <c r="N876" s="139">
        <f>IF(OR($F876="",$I876=""),"",MAX(0,IF($L876&lt;&gt;"",$L876,TODAY())-$K876))</f>
        <v/>
      </c>
      <c r="O876" s="135">
        <f>IF(OR($F876="",$I876=""),"",$N876*P_Amende)</f>
        <v/>
      </c>
      <c r="P876" s="133" t="n"/>
      <c r="R876">
        <f>IF($M876="En retard",$N876+ROW()/100000,"")</f>
        <v/>
      </c>
      <c r="S876">
        <f>IF(OR($F876="",$I876=""),"",$F876+ROW()/100000)</f>
        <v/>
      </c>
      <c r="T876">
        <f>IF($I876="","",IFERROR(INDEX(LIV_Cat,MATCH($I876,LIV_Code,0)),""))</f>
        <v/>
      </c>
    </row>
    <row r="877" ht="21" customHeight="1">
      <c r="A877" s="1" t="n"/>
      <c r="B877" s="1" t="n"/>
      <c r="C877" s="2" t="n"/>
      <c r="E877" s="130">
        <f>IF($F877="","","EMP-"&amp;TEXT(ROW()-6,"0000"))</f>
        <v/>
      </c>
      <c r="F877" s="134" t="n"/>
      <c r="G877" s="127" t="n"/>
      <c r="H877" s="130">
        <f>IF($G877="","",IFERROR(INDEX(MEM_Nom,MATCH($G877,MEM_ID,0)),"⚠ ID inconnu"))</f>
        <v/>
      </c>
      <c r="I877" s="127" t="n"/>
      <c r="J877" s="130">
        <f>IF($I877="","",IFERROR(INDEX(LIV_Titre,MATCH($I877,LIV_Code,0)),"⚠ Code inconnu"))</f>
        <v/>
      </c>
      <c r="K877" s="138">
        <f>IF($F877="","",$F877+P_Duree)</f>
        <v/>
      </c>
      <c r="L877" s="134" t="n"/>
      <c r="M877" s="130">
        <f>IF(OR($F877="",$I877=""),"",IF($L877&lt;&gt;"",IF($L877&gt;$K877,"Rendu en retard","Rendu"),IF(TODAY()&gt;$K877,"En retard","En cours")))</f>
        <v/>
      </c>
      <c r="N877" s="139">
        <f>IF(OR($F877="",$I877=""),"",MAX(0,IF($L877&lt;&gt;"",$L877,TODAY())-$K877))</f>
        <v/>
      </c>
      <c r="O877" s="135">
        <f>IF(OR($F877="",$I877=""),"",$N877*P_Amende)</f>
        <v/>
      </c>
      <c r="P877" s="133" t="n"/>
      <c r="R877">
        <f>IF($M877="En retard",$N877+ROW()/100000,"")</f>
        <v/>
      </c>
      <c r="S877">
        <f>IF(OR($F877="",$I877=""),"",$F877+ROW()/100000)</f>
        <v/>
      </c>
      <c r="T877">
        <f>IF($I877="","",IFERROR(INDEX(LIV_Cat,MATCH($I877,LIV_Code,0)),""))</f>
        <v/>
      </c>
    </row>
    <row r="878" ht="21" customHeight="1">
      <c r="A878" s="1" t="n"/>
      <c r="B878" s="1" t="n"/>
      <c r="C878" s="2" t="n"/>
      <c r="E878" s="130">
        <f>IF($F878="","","EMP-"&amp;TEXT(ROW()-6,"0000"))</f>
        <v/>
      </c>
      <c r="F878" s="134" t="n"/>
      <c r="G878" s="127" t="n"/>
      <c r="H878" s="130">
        <f>IF($G878="","",IFERROR(INDEX(MEM_Nom,MATCH($G878,MEM_ID,0)),"⚠ ID inconnu"))</f>
        <v/>
      </c>
      <c r="I878" s="127" t="n"/>
      <c r="J878" s="130">
        <f>IF($I878="","",IFERROR(INDEX(LIV_Titre,MATCH($I878,LIV_Code,0)),"⚠ Code inconnu"))</f>
        <v/>
      </c>
      <c r="K878" s="138">
        <f>IF($F878="","",$F878+P_Duree)</f>
        <v/>
      </c>
      <c r="L878" s="134" t="n"/>
      <c r="M878" s="130">
        <f>IF(OR($F878="",$I878=""),"",IF($L878&lt;&gt;"",IF($L878&gt;$K878,"Rendu en retard","Rendu"),IF(TODAY()&gt;$K878,"En retard","En cours")))</f>
        <v/>
      </c>
      <c r="N878" s="139">
        <f>IF(OR($F878="",$I878=""),"",MAX(0,IF($L878&lt;&gt;"",$L878,TODAY())-$K878))</f>
        <v/>
      </c>
      <c r="O878" s="135">
        <f>IF(OR($F878="",$I878=""),"",$N878*P_Amende)</f>
        <v/>
      </c>
      <c r="P878" s="133" t="n"/>
      <c r="R878">
        <f>IF($M878="En retard",$N878+ROW()/100000,"")</f>
        <v/>
      </c>
      <c r="S878">
        <f>IF(OR($F878="",$I878=""),"",$F878+ROW()/100000)</f>
        <v/>
      </c>
      <c r="T878">
        <f>IF($I878="","",IFERROR(INDEX(LIV_Cat,MATCH($I878,LIV_Code,0)),""))</f>
        <v/>
      </c>
    </row>
    <row r="879" ht="21" customHeight="1">
      <c r="A879" s="1" t="n"/>
      <c r="B879" s="1" t="n"/>
      <c r="C879" s="2" t="n"/>
      <c r="E879" s="130">
        <f>IF($F879="","","EMP-"&amp;TEXT(ROW()-6,"0000"))</f>
        <v/>
      </c>
      <c r="F879" s="134" t="n"/>
      <c r="G879" s="127" t="n"/>
      <c r="H879" s="130">
        <f>IF($G879="","",IFERROR(INDEX(MEM_Nom,MATCH($G879,MEM_ID,0)),"⚠ ID inconnu"))</f>
        <v/>
      </c>
      <c r="I879" s="127" t="n"/>
      <c r="J879" s="130">
        <f>IF($I879="","",IFERROR(INDEX(LIV_Titre,MATCH($I879,LIV_Code,0)),"⚠ Code inconnu"))</f>
        <v/>
      </c>
      <c r="K879" s="138">
        <f>IF($F879="","",$F879+P_Duree)</f>
        <v/>
      </c>
      <c r="L879" s="134" t="n"/>
      <c r="M879" s="130">
        <f>IF(OR($F879="",$I879=""),"",IF($L879&lt;&gt;"",IF($L879&gt;$K879,"Rendu en retard","Rendu"),IF(TODAY()&gt;$K879,"En retard","En cours")))</f>
        <v/>
      </c>
      <c r="N879" s="139">
        <f>IF(OR($F879="",$I879=""),"",MAX(0,IF($L879&lt;&gt;"",$L879,TODAY())-$K879))</f>
        <v/>
      </c>
      <c r="O879" s="135">
        <f>IF(OR($F879="",$I879=""),"",$N879*P_Amende)</f>
        <v/>
      </c>
      <c r="P879" s="133" t="n"/>
      <c r="R879">
        <f>IF($M879="En retard",$N879+ROW()/100000,"")</f>
        <v/>
      </c>
      <c r="S879">
        <f>IF(OR($F879="",$I879=""),"",$F879+ROW()/100000)</f>
        <v/>
      </c>
      <c r="T879">
        <f>IF($I879="","",IFERROR(INDEX(LIV_Cat,MATCH($I879,LIV_Code,0)),""))</f>
        <v/>
      </c>
    </row>
    <row r="880" ht="21" customHeight="1">
      <c r="A880" s="1" t="n"/>
      <c r="B880" s="1" t="n"/>
      <c r="C880" s="2" t="n"/>
      <c r="E880" s="130">
        <f>IF($F880="","","EMP-"&amp;TEXT(ROW()-6,"0000"))</f>
        <v/>
      </c>
      <c r="F880" s="134" t="n"/>
      <c r="G880" s="127" t="n"/>
      <c r="H880" s="130">
        <f>IF($G880="","",IFERROR(INDEX(MEM_Nom,MATCH($G880,MEM_ID,0)),"⚠ ID inconnu"))</f>
        <v/>
      </c>
      <c r="I880" s="127" t="n"/>
      <c r="J880" s="130">
        <f>IF($I880="","",IFERROR(INDEX(LIV_Titre,MATCH($I880,LIV_Code,0)),"⚠ Code inconnu"))</f>
        <v/>
      </c>
      <c r="K880" s="138">
        <f>IF($F880="","",$F880+P_Duree)</f>
        <v/>
      </c>
      <c r="L880" s="134" t="n"/>
      <c r="M880" s="130">
        <f>IF(OR($F880="",$I880=""),"",IF($L880&lt;&gt;"",IF($L880&gt;$K880,"Rendu en retard","Rendu"),IF(TODAY()&gt;$K880,"En retard","En cours")))</f>
        <v/>
      </c>
      <c r="N880" s="139">
        <f>IF(OR($F880="",$I880=""),"",MAX(0,IF($L880&lt;&gt;"",$L880,TODAY())-$K880))</f>
        <v/>
      </c>
      <c r="O880" s="135">
        <f>IF(OR($F880="",$I880=""),"",$N880*P_Amende)</f>
        <v/>
      </c>
      <c r="P880" s="133" t="n"/>
      <c r="R880">
        <f>IF($M880="En retard",$N880+ROW()/100000,"")</f>
        <v/>
      </c>
      <c r="S880">
        <f>IF(OR($F880="",$I880=""),"",$F880+ROW()/100000)</f>
        <v/>
      </c>
      <c r="T880">
        <f>IF($I880="","",IFERROR(INDEX(LIV_Cat,MATCH($I880,LIV_Code,0)),""))</f>
        <v/>
      </c>
    </row>
    <row r="881" ht="21" customHeight="1">
      <c r="A881" s="1" t="n"/>
      <c r="B881" s="1" t="n"/>
      <c r="C881" s="2" t="n"/>
      <c r="E881" s="130">
        <f>IF($F881="","","EMP-"&amp;TEXT(ROW()-6,"0000"))</f>
        <v/>
      </c>
      <c r="F881" s="134" t="n"/>
      <c r="G881" s="127" t="n"/>
      <c r="H881" s="130">
        <f>IF($G881="","",IFERROR(INDEX(MEM_Nom,MATCH($G881,MEM_ID,0)),"⚠ ID inconnu"))</f>
        <v/>
      </c>
      <c r="I881" s="127" t="n"/>
      <c r="J881" s="130">
        <f>IF($I881="","",IFERROR(INDEX(LIV_Titre,MATCH($I881,LIV_Code,0)),"⚠ Code inconnu"))</f>
        <v/>
      </c>
      <c r="K881" s="138">
        <f>IF($F881="","",$F881+P_Duree)</f>
        <v/>
      </c>
      <c r="L881" s="134" t="n"/>
      <c r="M881" s="130">
        <f>IF(OR($F881="",$I881=""),"",IF($L881&lt;&gt;"",IF($L881&gt;$K881,"Rendu en retard","Rendu"),IF(TODAY()&gt;$K881,"En retard","En cours")))</f>
        <v/>
      </c>
      <c r="N881" s="139">
        <f>IF(OR($F881="",$I881=""),"",MAX(0,IF($L881&lt;&gt;"",$L881,TODAY())-$K881))</f>
        <v/>
      </c>
      <c r="O881" s="135">
        <f>IF(OR($F881="",$I881=""),"",$N881*P_Amende)</f>
        <v/>
      </c>
      <c r="P881" s="133" t="n"/>
      <c r="R881">
        <f>IF($M881="En retard",$N881+ROW()/100000,"")</f>
        <v/>
      </c>
      <c r="S881">
        <f>IF(OR($F881="",$I881=""),"",$F881+ROW()/100000)</f>
        <v/>
      </c>
      <c r="T881">
        <f>IF($I881="","",IFERROR(INDEX(LIV_Cat,MATCH($I881,LIV_Code,0)),""))</f>
        <v/>
      </c>
    </row>
    <row r="882" ht="21" customHeight="1">
      <c r="A882" s="1" t="n"/>
      <c r="B882" s="1" t="n"/>
      <c r="C882" s="2" t="n"/>
      <c r="E882" s="130">
        <f>IF($F882="","","EMP-"&amp;TEXT(ROW()-6,"0000"))</f>
        <v/>
      </c>
      <c r="F882" s="134" t="n"/>
      <c r="G882" s="127" t="n"/>
      <c r="H882" s="130">
        <f>IF($G882="","",IFERROR(INDEX(MEM_Nom,MATCH($G882,MEM_ID,0)),"⚠ ID inconnu"))</f>
        <v/>
      </c>
      <c r="I882" s="127" t="n"/>
      <c r="J882" s="130">
        <f>IF($I882="","",IFERROR(INDEX(LIV_Titre,MATCH($I882,LIV_Code,0)),"⚠ Code inconnu"))</f>
        <v/>
      </c>
      <c r="K882" s="138">
        <f>IF($F882="","",$F882+P_Duree)</f>
        <v/>
      </c>
      <c r="L882" s="134" t="n"/>
      <c r="M882" s="130">
        <f>IF(OR($F882="",$I882=""),"",IF($L882&lt;&gt;"",IF($L882&gt;$K882,"Rendu en retard","Rendu"),IF(TODAY()&gt;$K882,"En retard","En cours")))</f>
        <v/>
      </c>
      <c r="N882" s="139">
        <f>IF(OR($F882="",$I882=""),"",MAX(0,IF($L882&lt;&gt;"",$L882,TODAY())-$K882))</f>
        <v/>
      </c>
      <c r="O882" s="135">
        <f>IF(OR($F882="",$I882=""),"",$N882*P_Amende)</f>
        <v/>
      </c>
      <c r="P882" s="133" t="n"/>
      <c r="R882">
        <f>IF($M882="En retard",$N882+ROW()/100000,"")</f>
        <v/>
      </c>
      <c r="S882">
        <f>IF(OR($F882="",$I882=""),"",$F882+ROW()/100000)</f>
        <v/>
      </c>
      <c r="T882">
        <f>IF($I882="","",IFERROR(INDEX(LIV_Cat,MATCH($I882,LIV_Code,0)),""))</f>
        <v/>
      </c>
    </row>
    <row r="883" ht="21" customHeight="1">
      <c r="A883" s="1" t="n"/>
      <c r="B883" s="1" t="n"/>
      <c r="C883" s="2" t="n"/>
      <c r="E883" s="130">
        <f>IF($F883="","","EMP-"&amp;TEXT(ROW()-6,"0000"))</f>
        <v/>
      </c>
      <c r="F883" s="134" t="n"/>
      <c r="G883" s="127" t="n"/>
      <c r="H883" s="130">
        <f>IF($G883="","",IFERROR(INDEX(MEM_Nom,MATCH($G883,MEM_ID,0)),"⚠ ID inconnu"))</f>
        <v/>
      </c>
      <c r="I883" s="127" t="n"/>
      <c r="J883" s="130">
        <f>IF($I883="","",IFERROR(INDEX(LIV_Titre,MATCH($I883,LIV_Code,0)),"⚠ Code inconnu"))</f>
        <v/>
      </c>
      <c r="K883" s="138">
        <f>IF($F883="","",$F883+P_Duree)</f>
        <v/>
      </c>
      <c r="L883" s="134" t="n"/>
      <c r="M883" s="130">
        <f>IF(OR($F883="",$I883=""),"",IF($L883&lt;&gt;"",IF($L883&gt;$K883,"Rendu en retard","Rendu"),IF(TODAY()&gt;$K883,"En retard","En cours")))</f>
        <v/>
      </c>
      <c r="N883" s="139">
        <f>IF(OR($F883="",$I883=""),"",MAX(0,IF($L883&lt;&gt;"",$L883,TODAY())-$K883))</f>
        <v/>
      </c>
      <c r="O883" s="135">
        <f>IF(OR($F883="",$I883=""),"",$N883*P_Amende)</f>
        <v/>
      </c>
      <c r="P883" s="133" t="n"/>
      <c r="R883">
        <f>IF($M883="En retard",$N883+ROW()/100000,"")</f>
        <v/>
      </c>
      <c r="S883">
        <f>IF(OR($F883="",$I883=""),"",$F883+ROW()/100000)</f>
        <v/>
      </c>
      <c r="T883">
        <f>IF($I883="","",IFERROR(INDEX(LIV_Cat,MATCH($I883,LIV_Code,0)),""))</f>
        <v/>
      </c>
    </row>
    <row r="884" ht="21" customHeight="1">
      <c r="A884" s="1" t="n"/>
      <c r="B884" s="1" t="n"/>
      <c r="C884" s="2" t="n"/>
      <c r="E884" s="130">
        <f>IF($F884="","","EMP-"&amp;TEXT(ROW()-6,"0000"))</f>
        <v/>
      </c>
      <c r="F884" s="134" t="n"/>
      <c r="G884" s="127" t="n"/>
      <c r="H884" s="130">
        <f>IF($G884="","",IFERROR(INDEX(MEM_Nom,MATCH($G884,MEM_ID,0)),"⚠ ID inconnu"))</f>
        <v/>
      </c>
      <c r="I884" s="127" t="n"/>
      <c r="J884" s="130">
        <f>IF($I884="","",IFERROR(INDEX(LIV_Titre,MATCH($I884,LIV_Code,0)),"⚠ Code inconnu"))</f>
        <v/>
      </c>
      <c r="K884" s="138">
        <f>IF($F884="","",$F884+P_Duree)</f>
        <v/>
      </c>
      <c r="L884" s="134" t="n"/>
      <c r="M884" s="130">
        <f>IF(OR($F884="",$I884=""),"",IF($L884&lt;&gt;"",IF($L884&gt;$K884,"Rendu en retard","Rendu"),IF(TODAY()&gt;$K884,"En retard","En cours")))</f>
        <v/>
      </c>
      <c r="N884" s="139">
        <f>IF(OR($F884="",$I884=""),"",MAX(0,IF($L884&lt;&gt;"",$L884,TODAY())-$K884))</f>
        <v/>
      </c>
      <c r="O884" s="135">
        <f>IF(OR($F884="",$I884=""),"",$N884*P_Amende)</f>
        <v/>
      </c>
      <c r="P884" s="133" t="n"/>
      <c r="R884">
        <f>IF($M884="En retard",$N884+ROW()/100000,"")</f>
        <v/>
      </c>
      <c r="S884">
        <f>IF(OR($F884="",$I884=""),"",$F884+ROW()/100000)</f>
        <v/>
      </c>
      <c r="T884">
        <f>IF($I884="","",IFERROR(INDEX(LIV_Cat,MATCH($I884,LIV_Code,0)),""))</f>
        <v/>
      </c>
    </row>
    <row r="885" ht="21" customHeight="1">
      <c r="A885" s="1" t="n"/>
      <c r="B885" s="1" t="n"/>
      <c r="C885" s="2" t="n"/>
      <c r="E885" s="130">
        <f>IF($F885="","","EMP-"&amp;TEXT(ROW()-6,"0000"))</f>
        <v/>
      </c>
      <c r="F885" s="134" t="n"/>
      <c r="G885" s="127" t="n"/>
      <c r="H885" s="130">
        <f>IF($G885="","",IFERROR(INDEX(MEM_Nom,MATCH($G885,MEM_ID,0)),"⚠ ID inconnu"))</f>
        <v/>
      </c>
      <c r="I885" s="127" t="n"/>
      <c r="J885" s="130">
        <f>IF($I885="","",IFERROR(INDEX(LIV_Titre,MATCH($I885,LIV_Code,0)),"⚠ Code inconnu"))</f>
        <v/>
      </c>
      <c r="K885" s="138">
        <f>IF($F885="","",$F885+P_Duree)</f>
        <v/>
      </c>
      <c r="L885" s="134" t="n"/>
      <c r="M885" s="130">
        <f>IF(OR($F885="",$I885=""),"",IF($L885&lt;&gt;"",IF($L885&gt;$K885,"Rendu en retard","Rendu"),IF(TODAY()&gt;$K885,"En retard","En cours")))</f>
        <v/>
      </c>
      <c r="N885" s="139">
        <f>IF(OR($F885="",$I885=""),"",MAX(0,IF($L885&lt;&gt;"",$L885,TODAY())-$K885))</f>
        <v/>
      </c>
      <c r="O885" s="135">
        <f>IF(OR($F885="",$I885=""),"",$N885*P_Amende)</f>
        <v/>
      </c>
      <c r="P885" s="133" t="n"/>
      <c r="R885">
        <f>IF($M885="En retard",$N885+ROW()/100000,"")</f>
        <v/>
      </c>
      <c r="S885">
        <f>IF(OR($F885="",$I885=""),"",$F885+ROW()/100000)</f>
        <v/>
      </c>
      <c r="T885">
        <f>IF($I885="","",IFERROR(INDEX(LIV_Cat,MATCH($I885,LIV_Code,0)),""))</f>
        <v/>
      </c>
    </row>
    <row r="886" ht="21" customHeight="1">
      <c r="A886" s="1" t="n"/>
      <c r="B886" s="1" t="n"/>
      <c r="C886" s="2" t="n"/>
      <c r="E886" s="130">
        <f>IF($F886="","","EMP-"&amp;TEXT(ROW()-6,"0000"))</f>
        <v/>
      </c>
      <c r="F886" s="134" t="n"/>
      <c r="G886" s="127" t="n"/>
      <c r="H886" s="130">
        <f>IF($G886="","",IFERROR(INDEX(MEM_Nom,MATCH($G886,MEM_ID,0)),"⚠ ID inconnu"))</f>
        <v/>
      </c>
      <c r="I886" s="127" t="n"/>
      <c r="J886" s="130">
        <f>IF($I886="","",IFERROR(INDEX(LIV_Titre,MATCH($I886,LIV_Code,0)),"⚠ Code inconnu"))</f>
        <v/>
      </c>
      <c r="K886" s="138">
        <f>IF($F886="","",$F886+P_Duree)</f>
        <v/>
      </c>
      <c r="L886" s="134" t="n"/>
      <c r="M886" s="130">
        <f>IF(OR($F886="",$I886=""),"",IF($L886&lt;&gt;"",IF($L886&gt;$K886,"Rendu en retard","Rendu"),IF(TODAY()&gt;$K886,"En retard","En cours")))</f>
        <v/>
      </c>
      <c r="N886" s="139">
        <f>IF(OR($F886="",$I886=""),"",MAX(0,IF($L886&lt;&gt;"",$L886,TODAY())-$K886))</f>
        <v/>
      </c>
      <c r="O886" s="135">
        <f>IF(OR($F886="",$I886=""),"",$N886*P_Amende)</f>
        <v/>
      </c>
      <c r="P886" s="133" t="n"/>
      <c r="R886">
        <f>IF($M886="En retard",$N886+ROW()/100000,"")</f>
        <v/>
      </c>
      <c r="S886">
        <f>IF(OR($F886="",$I886=""),"",$F886+ROW()/100000)</f>
        <v/>
      </c>
      <c r="T886">
        <f>IF($I886="","",IFERROR(INDEX(LIV_Cat,MATCH($I886,LIV_Code,0)),""))</f>
        <v/>
      </c>
    </row>
    <row r="887" ht="21" customHeight="1">
      <c r="A887" s="1" t="n"/>
      <c r="B887" s="1" t="n"/>
      <c r="C887" s="2" t="n"/>
      <c r="E887" s="130">
        <f>IF($F887="","","EMP-"&amp;TEXT(ROW()-6,"0000"))</f>
        <v/>
      </c>
      <c r="F887" s="134" t="n"/>
      <c r="G887" s="127" t="n"/>
      <c r="H887" s="130">
        <f>IF($G887="","",IFERROR(INDEX(MEM_Nom,MATCH($G887,MEM_ID,0)),"⚠ ID inconnu"))</f>
        <v/>
      </c>
      <c r="I887" s="127" t="n"/>
      <c r="J887" s="130">
        <f>IF($I887="","",IFERROR(INDEX(LIV_Titre,MATCH($I887,LIV_Code,0)),"⚠ Code inconnu"))</f>
        <v/>
      </c>
      <c r="K887" s="138">
        <f>IF($F887="","",$F887+P_Duree)</f>
        <v/>
      </c>
      <c r="L887" s="134" t="n"/>
      <c r="M887" s="130">
        <f>IF(OR($F887="",$I887=""),"",IF($L887&lt;&gt;"",IF($L887&gt;$K887,"Rendu en retard","Rendu"),IF(TODAY()&gt;$K887,"En retard","En cours")))</f>
        <v/>
      </c>
      <c r="N887" s="139">
        <f>IF(OR($F887="",$I887=""),"",MAX(0,IF($L887&lt;&gt;"",$L887,TODAY())-$K887))</f>
        <v/>
      </c>
      <c r="O887" s="135">
        <f>IF(OR($F887="",$I887=""),"",$N887*P_Amende)</f>
        <v/>
      </c>
      <c r="P887" s="133" t="n"/>
      <c r="R887">
        <f>IF($M887="En retard",$N887+ROW()/100000,"")</f>
        <v/>
      </c>
      <c r="S887">
        <f>IF(OR($F887="",$I887=""),"",$F887+ROW()/100000)</f>
        <v/>
      </c>
      <c r="T887">
        <f>IF($I887="","",IFERROR(INDEX(LIV_Cat,MATCH($I887,LIV_Code,0)),""))</f>
        <v/>
      </c>
    </row>
    <row r="888" ht="21" customHeight="1">
      <c r="A888" s="1" t="n"/>
      <c r="B888" s="1" t="n"/>
      <c r="C888" s="2" t="n"/>
      <c r="E888" s="130">
        <f>IF($F888="","","EMP-"&amp;TEXT(ROW()-6,"0000"))</f>
        <v/>
      </c>
      <c r="F888" s="134" t="n"/>
      <c r="G888" s="127" t="n"/>
      <c r="H888" s="130">
        <f>IF($G888="","",IFERROR(INDEX(MEM_Nom,MATCH($G888,MEM_ID,0)),"⚠ ID inconnu"))</f>
        <v/>
      </c>
      <c r="I888" s="127" t="n"/>
      <c r="J888" s="130">
        <f>IF($I888="","",IFERROR(INDEX(LIV_Titre,MATCH($I888,LIV_Code,0)),"⚠ Code inconnu"))</f>
        <v/>
      </c>
      <c r="K888" s="138">
        <f>IF($F888="","",$F888+P_Duree)</f>
        <v/>
      </c>
      <c r="L888" s="134" t="n"/>
      <c r="M888" s="130">
        <f>IF(OR($F888="",$I888=""),"",IF($L888&lt;&gt;"",IF($L888&gt;$K888,"Rendu en retard","Rendu"),IF(TODAY()&gt;$K888,"En retard","En cours")))</f>
        <v/>
      </c>
      <c r="N888" s="139">
        <f>IF(OR($F888="",$I888=""),"",MAX(0,IF($L888&lt;&gt;"",$L888,TODAY())-$K888))</f>
        <v/>
      </c>
      <c r="O888" s="135">
        <f>IF(OR($F888="",$I888=""),"",$N888*P_Amende)</f>
        <v/>
      </c>
      <c r="P888" s="133" t="n"/>
      <c r="R888">
        <f>IF($M888="En retard",$N888+ROW()/100000,"")</f>
        <v/>
      </c>
      <c r="S888">
        <f>IF(OR($F888="",$I888=""),"",$F888+ROW()/100000)</f>
        <v/>
      </c>
      <c r="T888">
        <f>IF($I888="","",IFERROR(INDEX(LIV_Cat,MATCH($I888,LIV_Code,0)),""))</f>
        <v/>
      </c>
    </row>
    <row r="889" ht="21" customHeight="1">
      <c r="A889" s="1" t="n"/>
      <c r="B889" s="1" t="n"/>
      <c r="C889" s="2" t="n"/>
      <c r="E889" s="130">
        <f>IF($F889="","","EMP-"&amp;TEXT(ROW()-6,"0000"))</f>
        <v/>
      </c>
      <c r="F889" s="134" t="n"/>
      <c r="G889" s="127" t="n"/>
      <c r="H889" s="130">
        <f>IF($G889="","",IFERROR(INDEX(MEM_Nom,MATCH($G889,MEM_ID,0)),"⚠ ID inconnu"))</f>
        <v/>
      </c>
      <c r="I889" s="127" t="n"/>
      <c r="J889" s="130">
        <f>IF($I889="","",IFERROR(INDEX(LIV_Titre,MATCH($I889,LIV_Code,0)),"⚠ Code inconnu"))</f>
        <v/>
      </c>
      <c r="K889" s="138">
        <f>IF($F889="","",$F889+P_Duree)</f>
        <v/>
      </c>
      <c r="L889" s="134" t="n"/>
      <c r="M889" s="130">
        <f>IF(OR($F889="",$I889=""),"",IF($L889&lt;&gt;"",IF($L889&gt;$K889,"Rendu en retard","Rendu"),IF(TODAY()&gt;$K889,"En retard","En cours")))</f>
        <v/>
      </c>
      <c r="N889" s="139">
        <f>IF(OR($F889="",$I889=""),"",MAX(0,IF($L889&lt;&gt;"",$L889,TODAY())-$K889))</f>
        <v/>
      </c>
      <c r="O889" s="135">
        <f>IF(OR($F889="",$I889=""),"",$N889*P_Amende)</f>
        <v/>
      </c>
      <c r="P889" s="133" t="n"/>
      <c r="R889">
        <f>IF($M889="En retard",$N889+ROW()/100000,"")</f>
        <v/>
      </c>
      <c r="S889">
        <f>IF(OR($F889="",$I889=""),"",$F889+ROW()/100000)</f>
        <v/>
      </c>
      <c r="T889">
        <f>IF($I889="","",IFERROR(INDEX(LIV_Cat,MATCH($I889,LIV_Code,0)),""))</f>
        <v/>
      </c>
    </row>
    <row r="890" ht="21" customHeight="1">
      <c r="A890" s="1" t="n"/>
      <c r="B890" s="1" t="n"/>
      <c r="C890" s="2" t="n"/>
      <c r="E890" s="130">
        <f>IF($F890="","","EMP-"&amp;TEXT(ROW()-6,"0000"))</f>
        <v/>
      </c>
      <c r="F890" s="134" t="n"/>
      <c r="G890" s="127" t="n"/>
      <c r="H890" s="130">
        <f>IF($G890="","",IFERROR(INDEX(MEM_Nom,MATCH($G890,MEM_ID,0)),"⚠ ID inconnu"))</f>
        <v/>
      </c>
      <c r="I890" s="127" t="n"/>
      <c r="J890" s="130">
        <f>IF($I890="","",IFERROR(INDEX(LIV_Titre,MATCH($I890,LIV_Code,0)),"⚠ Code inconnu"))</f>
        <v/>
      </c>
      <c r="K890" s="138">
        <f>IF($F890="","",$F890+P_Duree)</f>
        <v/>
      </c>
      <c r="L890" s="134" t="n"/>
      <c r="M890" s="130">
        <f>IF(OR($F890="",$I890=""),"",IF($L890&lt;&gt;"",IF($L890&gt;$K890,"Rendu en retard","Rendu"),IF(TODAY()&gt;$K890,"En retard","En cours")))</f>
        <v/>
      </c>
      <c r="N890" s="139">
        <f>IF(OR($F890="",$I890=""),"",MAX(0,IF($L890&lt;&gt;"",$L890,TODAY())-$K890))</f>
        <v/>
      </c>
      <c r="O890" s="135">
        <f>IF(OR($F890="",$I890=""),"",$N890*P_Amende)</f>
        <v/>
      </c>
      <c r="P890" s="133" t="n"/>
      <c r="R890">
        <f>IF($M890="En retard",$N890+ROW()/100000,"")</f>
        <v/>
      </c>
      <c r="S890">
        <f>IF(OR($F890="",$I890=""),"",$F890+ROW()/100000)</f>
        <v/>
      </c>
      <c r="T890">
        <f>IF($I890="","",IFERROR(INDEX(LIV_Cat,MATCH($I890,LIV_Code,0)),""))</f>
        <v/>
      </c>
    </row>
    <row r="891" ht="21" customHeight="1">
      <c r="A891" s="1" t="n"/>
      <c r="B891" s="1" t="n"/>
      <c r="C891" s="2" t="n"/>
      <c r="E891" s="130">
        <f>IF($F891="","","EMP-"&amp;TEXT(ROW()-6,"0000"))</f>
        <v/>
      </c>
      <c r="F891" s="134" t="n"/>
      <c r="G891" s="127" t="n"/>
      <c r="H891" s="130">
        <f>IF($G891="","",IFERROR(INDEX(MEM_Nom,MATCH($G891,MEM_ID,0)),"⚠ ID inconnu"))</f>
        <v/>
      </c>
      <c r="I891" s="127" t="n"/>
      <c r="J891" s="130">
        <f>IF($I891="","",IFERROR(INDEX(LIV_Titre,MATCH($I891,LIV_Code,0)),"⚠ Code inconnu"))</f>
        <v/>
      </c>
      <c r="K891" s="138">
        <f>IF($F891="","",$F891+P_Duree)</f>
        <v/>
      </c>
      <c r="L891" s="134" t="n"/>
      <c r="M891" s="130">
        <f>IF(OR($F891="",$I891=""),"",IF($L891&lt;&gt;"",IF($L891&gt;$K891,"Rendu en retard","Rendu"),IF(TODAY()&gt;$K891,"En retard","En cours")))</f>
        <v/>
      </c>
      <c r="N891" s="139">
        <f>IF(OR($F891="",$I891=""),"",MAX(0,IF($L891&lt;&gt;"",$L891,TODAY())-$K891))</f>
        <v/>
      </c>
      <c r="O891" s="135">
        <f>IF(OR($F891="",$I891=""),"",$N891*P_Amende)</f>
        <v/>
      </c>
      <c r="P891" s="133" t="n"/>
      <c r="R891">
        <f>IF($M891="En retard",$N891+ROW()/100000,"")</f>
        <v/>
      </c>
      <c r="S891">
        <f>IF(OR($F891="",$I891=""),"",$F891+ROW()/100000)</f>
        <v/>
      </c>
      <c r="T891">
        <f>IF($I891="","",IFERROR(INDEX(LIV_Cat,MATCH($I891,LIV_Code,0)),""))</f>
        <v/>
      </c>
    </row>
    <row r="892" ht="21" customHeight="1">
      <c r="A892" s="1" t="n"/>
      <c r="B892" s="1" t="n"/>
      <c r="C892" s="2" t="n"/>
      <c r="E892" s="130">
        <f>IF($F892="","","EMP-"&amp;TEXT(ROW()-6,"0000"))</f>
        <v/>
      </c>
      <c r="F892" s="134" t="n"/>
      <c r="G892" s="127" t="n"/>
      <c r="H892" s="130">
        <f>IF($G892="","",IFERROR(INDEX(MEM_Nom,MATCH($G892,MEM_ID,0)),"⚠ ID inconnu"))</f>
        <v/>
      </c>
      <c r="I892" s="127" t="n"/>
      <c r="J892" s="130">
        <f>IF($I892="","",IFERROR(INDEX(LIV_Titre,MATCH($I892,LIV_Code,0)),"⚠ Code inconnu"))</f>
        <v/>
      </c>
      <c r="K892" s="138">
        <f>IF($F892="","",$F892+P_Duree)</f>
        <v/>
      </c>
      <c r="L892" s="134" t="n"/>
      <c r="M892" s="130">
        <f>IF(OR($F892="",$I892=""),"",IF($L892&lt;&gt;"",IF($L892&gt;$K892,"Rendu en retard","Rendu"),IF(TODAY()&gt;$K892,"En retard","En cours")))</f>
        <v/>
      </c>
      <c r="N892" s="139">
        <f>IF(OR($F892="",$I892=""),"",MAX(0,IF($L892&lt;&gt;"",$L892,TODAY())-$K892))</f>
        <v/>
      </c>
      <c r="O892" s="135">
        <f>IF(OR($F892="",$I892=""),"",$N892*P_Amende)</f>
        <v/>
      </c>
      <c r="P892" s="133" t="n"/>
      <c r="R892">
        <f>IF($M892="En retard",$N892+ROW()/100000,"")</f>
        <v/>
      </c>
      <c r="S892">
        <f>IF(OR($F892="",$I892=""),"",$F892+ROW()/100000)</f>
        <v/>
      </c>
      <c r="T892">
        <f>IF($I892="","",IFERROR(INDEX(LIV_Cat,MATCH($I892,LIV_Code,0)),""))</f>
        <v/>
      </c>
    </row>
    <row r="893" ht="21" customHeight="1">
      <c r="A893" s="1" t="n"/>
      <c r="B893" s="1" t="n"/>
      <c r="C893" s="2" t="n"/>
      <c r="E893" s="130">
        <f>IF($F893="","","EMP-"&amp;TEXT(ROW()-6,"0000"))</f>
        <v/>
      </c>
      <c r="F893" s="134" t="n"/>
      <c r="G893" s="127" t="n"/>
      <c r="H893" s="130">
        <f>IF($G893="","",IFERROR(INDEX(MEM_Nom,MATCH($G893,MEM_ID,0)),"⚠ ID inconnu"))</f>
        <v/>
      </c>
      <c r="I893" s="127" t="n"/>
      <c r="J893" s="130">
        <f>IF($I893="","",IFERROR(INDEX(LIV_Titre,MATCH($I893,LIV_Code,0)),"⚠ Code inconnu"))</f>
        <v/>
      </c>
      <c r="K893" s="138">
        <f>IF($F893="","",$F893+P_Duree)</f>
        <v/>
      </c>
      <c r="L893" s="134" t="n"/>
      <c r="M893" s="130">
        <f>IF(OR($F893="",$I893=""),"",IF($L893&lt;&gt;"",IF($L893&gt;$K893,"Rendu en retard","Rendu"),IF(TODAY()&gt;$K893,"En retard","En cours")))</f>
        <v/>
      </c>
      <c r="N893" s="139">
        <f>IF(OR($F893="",$I893=""),"",MAX(0,IF($L893&lt;&gt;"",$L893,TODAY())-$K893))</f>
        <v/>
      </c>
      <c r="O893" s="135">
        <f>IF(OR($F893="",$I893=""),"",$N893*P_Amende)</f>
        <v/>
      </c>
      <c r="P893" s="133" t="n"/>
      <c r="R893">
        <f>IF($M893="En retard",$N893+ROW()/100000,"")</f>
        <v/>
      </c>
      <c r="S893">
        <f>IF(OR($F893="",$I893=""),"",$F893+ROW()/100000)</f>
        <v/>
      </c>
      <c r="T893">
        <f>IF($I893="","",IFERROR(INDEX(LIV_Cat,MATCH($I893,LIV_Code,0)),""))</f>
        <v/>
      </c>
    </row>
    <row r="894" ht="21" customHeight="1">
      <c r="A894" s="1" t="n"/>
      <c r="B894" s="1" t="n"/>
      <c r="C894" s="2" t="n"/>
      <c r="E894" s="130">
        <f>IF($F894="","","EMP-"&amp;TEXT(ROW()-6,"0000"))</f>
        <v/>
      </c>
      <c r="F894" s="134" t="n"/>
      <c r="G894" s="127" t="n"/>
      <c r="H894" s="130">
        <f>IF($G894="","",IFERROR(INDEX(MEM_Nom,MATCH($G894,MEM_ID,0)),"⚠ ID inconnu"))</f>
        <v/>
      </c>
      <c r="I894" s="127" t="n"/>
      <c r="J894" s="130">
        <f>IF($I894="","",IFERROR(INDEX(LIV_Titre,MATCH($I894,LIV_Code,0)),"⚠ Code inconnu"))</f>
        <v/>
      </c>
      <c r="K894" s="138">
        <f>IF($F894="","",$F894+P_Duree)</f>
        <v/>
      </c>
      <c r="L894" s="134" t="n"/>
      <c r="M894" s="130">
        <f>IF(OR($F894="",$I894=""),"",IF($L894&lt;&gt;"",IF($L894&gt;$K894,"Rendu en retard","Rendu"),IF(TODAY()&gt;$K894,"En retard","En cours")))</f>
        <v/>
      </c>
      <c r="N894" s="139">
        <f>IF(OR($F894="",$I894=""),"",MAX(0,IF($L894&lt;&gt;"",$L894,TODAY())-$K894))</f>
        <v/>
      </c>
      <c r="O894" s="135">
        <f>IF(OR($F894="",$I894=""),"",$N894*P_Amende)</f>
        <v/>
      </c>
      <c r="P894" s="133" t="n"/>
      <c r="R894">
        <f>IF($M894="En retard",$N894+ROW()/100000,"")</f>
        <v/>
      </c>
      <c r="S894">
        <f>IF(OR($F894="",$I894=""),"",$F894+ROW()/100000)</f>
        <v/>
      </c>
      <c r="T894">
        <f>IF($I894="","",IFERROR(INDEX(LIV_Cat,MATCH($I894,LIV_Code,0)),""))</f>
        <v/>
      </c>
    </row>
    <row r="895" ht="21" customHeight="1">
      <c r="A895" s="1" t="n"/>
      <c r="B895" s="1" t="n"/>
      <c r="C895" s="2" t="n"/>
      <c r="E895" s="130">
        <f>IF($F895="","","EMP-"&amp;TEXT(ROW()-6,"0000"))</f>
        <v/>
      </c>
      <c r="F895" s="134" t="n"/>
      <c r="G895" s="127" t="n"/>
      <c r="H895" s="130">
        <f>IF($G895="","",IFERROR(INDEX(MEM_Nom,MATCH($G895,MEM_ID,0)),"⚠ ID inconnu"))</f>
        <v/>
      </c>
      <c r="I895" s="127" t="n"/>
      <c r="J895" s="130">
        <f>IF($I895="","",IFERROR(INDEX(LIV_Titre,MATCH($I895,LIV_Code,0)),"⚠ Code inconnu"))</f>
        <v/>
      </c>
      <c r="K895" s="138">
        <f>IF($F895="","",$F895+P_Duree)</f>
        <v/>
      </c>
      <c r="L895" s="134" t="n"/>
      <c r="M895" s="130">
        <f>IF(OR($F895="",$I895=""),"",IF($L895&lt;&gt;"",IF($L895&gt;$K895,"Rendu en retard","Rendu"),IF(TODAY()&gt;$K895,"En retard","En cours")))</f>
        <v/>
      </c>
      <c r="N895" s="139">
        <f>IF(OR($F895="",$I895=""),"",MAX(0,IF($L895&lt;&gt;"",$L895,TODAY())-$K895))</f>
        <v/>
      </c>
      <c r="O895" s="135">
        <f>IF(OR($F895="",$I895=""),"",$N895*P_Amende)</f>
        <v/>
      </c>
      <c r="P895" s="133" t="n"/>
      <c r="R895">
        <f>IF($M895="En retard",$N895+ROW()/100000,"")</f>
        <v/>
      </c>
      <c r="S895">
        <f>IF(OR($F895="",$I895=""),"",$F895+ROW()/100000)</f>
        <v/>
      </c>
      <c r="T895">
        <f>IF($I895="","",IFERROR(INDEX(LIV_Cat,MATCH($I895,LIV_Code,0)),""))</f>
        <v/>
      </c>
    </row>
    <row r="896" ht="21" customHeight="1">
      <c r="A896" s="1" t="n"/>
      <c r="B896" s="1" t="n"/>
      <c r="C896" s="2" t="n"/>
      <c r="E896" s="130">
        <f>IF($F896="","","EMP-"&amp;TEXT(ROW()-6,"0000"))</f>
        <v/>
      </c>
      <c r="F896" s="134" t="n"/>
      <c r="G896" s="127" t="n"/>
      <c r="H896" s="130">
        <f>IF($G896="","",IFERROR(INDEX(MEM_Nom,MATCH($G896,MEM_ID,0)),"⚠ ID inconnu"))</f>
        <v/>
      </c>
      <c r="I896" s="127" t="n"/>
      <c r="J896" s="130">
        <f>IF($I896="","",IFERROR(INDEX(LIV_Titre,MATCH($I896,LIV_Code,0)),"⚠ Code inconnu"))</f>
        <v/>
      </c>
      <c r="K896" s="138">
        <f>IF($F896="","",$F896+P_Duree)</f>
        <v/>
      </c>
      <c r="L896" s="134" t="n"/>
      <c r="M896" s="130">
        <f>IF(OR($F896="",$I896=""),"",IF($L896&lt;&gt;"",IF($L896&gt;$K896,"Rendu en retard","Rendu"),IF(TODAY()&gt;$K896,"En retard","En cours")))</f>
        <v/>
      </c>
      <c r="N896" s="139">
        <f>IF(OR($F896="",$I896=""),"",MAX(0,IF($L896&lt;&gt;"",$L896,TODAY())-$K896))</f>
        <v/>
      </c>
      <c r="O896" s="135">
        <f>IF(OR($F896="",$I896=""),"",$N896*P_Amende)</f>
        <v/>
      </c>
      <c r="P896" s="133" t="n"/>
      <c r="R896">
        <f>IF($M896="En retard",$N896+ROW()/100000,"")</f>
        <v/>
      </c>
      <c r="S896">
        <f>IF(OR($F896="",$I896=""),"",$F896+ROW()/100000)</f>
        <v/>
      </c>
      <c r="T896">
        <f>IF($I896="","",IFERROR(INDEX(LIV_Cat,MATCH($I896,LIV_Code,0)),""))</f>
        <v/>
      </c>
    </row>
    <row r="897" ht="21" customHeight="1">
      <c r="A897" s="1" t="n"/>
      <c r="B897" s="1" t="n"/>
      <c r="C897" s="2" t="n"/>
      <c r="E897" s="130">
        <f>IF($F897="","","EMP-"&amp;TEXT(ROW()-6,"0000"))</f>
        <v/>
      </c>
      <c r="F897" s="134" t="n"/>
      <c r="G897" s="127" t="n"/>
      <c r="H897" s="130">
        <f>IF($G897="","",IFERROR(INDEX(MEM_Nom,MATCH($G897,MEM_ID,0)),"⚠ ID inconnu"))</f>
        <v/>
      </c>
      <c r="I897" s="127" t="n"/>
      <c r="J897" s="130">
        <f>IF($I897="","",IFERROR(INDEX(LIV_Titre,MATCH($I897,LIV_Code,0)),"⚠ Code inconnu"))</f>
        <v/>
      </c>
      <c r="K897" s="138">
        <f>IF($F897="","",$F897+P_Duree)</f>
        <v/>
      </c>
      <c r="L897" s="134" t="n"/>
      <c r="M897" s="130">
        <f>IF(OR($F897="",$I897=""),"",IF($L897&lt;&gt;"",IF($L897&gt;$K897,"Rendu en retard","Rendu"),IF(TODAY()&gt;$K897,"En retard","En cours")))</f>
        <v/>
      </c>
      <c r="N897" s="139">
        <f>IF(OR($F897="",$I897=""),"",MAX(0,IF($L897&lt;&gt;"",$L897,TODAY())-$K897))</f>
        <v/>
      </c>
      <c r="O897" s="135">
        <f>IF(OR($F897="",$I897=""),"",$N897*P_Amende)</f>
        <v/>
      </c>
      <c r="P897" s="133" t="n"/>
      <c r="R897">
        <f>IF($M897="En retard",$N897+ROW()/100000,"")</f>
        <v/>
      </c>
      <c r="S897">
        <f>IF(OR($F897="",$I897=""),"",$F897+ROW()/100000)</f>
        <v/>
      </c>
      <c r="T897">
        <f>IF($I897="","",IFERROR(INDEX(LIV_Cat,MATCH($I897,LIV_Code,0)),""))</f>
        <v/>
      </c>
    </row>
    <row r="898" ht="21" customHeight="1">
      <c r="A898" s="1" t="n"/>
      <c r="B898" s="1" t="n"/>
      <c r="C898" s="2" t="n"/>
      <c r="E898" s="130">
        <f>IF($F898="","","EMP-"&amp;TEXT(ROW()-6,"0000"))</f>
        <v/>
      </c>
      <c r="F898" s="134" t="n"/>
      <c r="G898" s="127" t="n"/>
      <c r="H898" s="130">
        <f>IF($G898="","",IFERROR(INDEX(MEM_Nom,MATCH($G898,MEM_ID,0)),"⚠ ID inconnu"))</f>
        <v/>
      </c>
      <c r="I898" s="127" t="n"/>
      <c r="J898" s="130">
        <f>IF($I898="","",IFERROR(INDEX(LIV_Titre,MATCH($I898,LIV_Code,0)),"⚠ Code inconnu"))</f>
        <v/>
      </c>
      <c r="K898" s="138">
        <f>IF($F898="","",$F898+P_Duree)</f>
        <v/>
      </c>
      <c r="L898" s="134" t="n"/>
      <c r="M898" s="130">
        <f>IF(OR($F898="",$I898=""),"",IF($L898&lt;&gt;"",IF($L898&gt;$K898,"Rendu en retard","Rendu"),IF(TODAY()&gt;$K898,"En retard","En cours")))</f>
        <v/>
      </c>
      <c r="N898" s="139">
        <f>IF(OR($F898="",$I898=""),"",MAX(0,IF($L898&lt;&gt;"",$L898,TODAY())-$K898))</f>
        <v/>
      </c>
      <c r="O898" s="135">
        <f>IF(OR($F898="",$I898=""),"",$N898*P_Amende)</f>
        <v/>
      </c>
      <c r="P898" s="133" t="n"/>
      <c r="R898">
        <f>IF($M898="En retard",$N898+ROW()/100000,"")</f>
        <v/>
      </c>
      <c r="S898">
        <f>IF(OR($F898="",$I898=""),"",$F898+ROW()/100000)</f>
        <v/>
      </c>
      <c r="T898">
        <f>IF($I898="","",IFERROR(INDEX(LIV_Cat,MATCH($I898,LIV_Code,0)),""))</f>
        <v/>
      </c>
    </row>
    <row r="899" ht="21" customHeight="1">
      <c r="A899" s="1" t="n"/>
      <c r="B899" s="1" t="n"/>
      <c r="C899" s="2" t="n"/>
      <c r="E899" s="130">
        <f>IF($F899="","","EMP-"&amp;TEXT(ROW()-6,"0000"))</f>
        <v/>
      </c>
      <c r="F899" s="134" t="n"/>
      <c r="G899" s="127" t="n"/>
      <c r="H899" s="130">
        <f>IF($G899="","",IFERROR(INDEX(MEM_Nom,MATCH($G899,MEM_ID,0)),"⚠ ID inconnu"))</f>
        <v/>
      </c>
      <c r="I899" s="127" t="n"/>
      <c r="J899" s="130">
        <f>IF($I899="","",IFERROR(INDEX(LIV_Titre,MATCH($I899,LIV_Code,0)),"⚠ Code inconnu"))</f>
        <v/>
      </c>
      <c r="K899" s="138">
        <f>IF($F899="","",$F899+P_Duree)</f>
        <v/>
      </c>
      <c r="L899" s="134" t="n"/>
      <c r="M899" s="130">
        <f>IF(OR($F899="",$I899=""),"",IF($L899&lt;&gt;"",IF($L899&gt;$K899,"Rendu en retard","Rendu"),IF(TODAY()&gt;$K899,"En retard","En cours")))</f>
        <v/>
      </c>
      <c r="N899" s="139">
        <f>IF(OR($F899="",$I899=""),"",MAX(0,IF($L899&lt;&gt;"",$L899,TODAY())-$K899))</f>
        <v/>
      </c>
      <c r="O899" s="135">
        <f>IF(OR($F899="",$I899=""),"",$N899*P_Amende)</f>
        <v/>
      </c>
      <c r="P899" s="133" t="n"/>
      <c r="R899">
        <f>IF($M899="En retard",$N899+ROW()/100000,"")</f>
        <v/>
      </c>
      <c r="S899">
        <f>IF(OR($F899="",$I899=""),"",$F899+ROW()/100000)</f>
        <v/>
      </c>
      <c r="T899">
        <f>IF($I899="","",IFERROR(INDEX(LIV_Cat,MATCH($I899,LIV_Code,0)),""))</f>
        <v/>
      </c>
    </row>
    <row r="900" ht="21" customHeight="1">
      <c r="A900" s="1" t="n"/>
      <c r="B900" s="1" t="n"/>
      <c r="C900" s="2" t="n"/>
      <c r="E900" s="130">
        <f>IF($F900="","","EMP-"&amp;TEXT(ROW()-6,"0000"))</f>
        <v/>
      </c>
      <c r="F900" s="134" t="n"/>
      <c r="G900" s="127" t="n"/>
      <c r="H900" s="130">
        <f>IF($G900="","",IFERROR(INDEX(MEM_Nom,MATCH($G900,MEM_ID,0)),"⚠ ID inconnu"))</f>
        <v/>
      </c>
      <c r="I900" s="127" t="n"/>
      <c r="J900" s="130">
        <f>IF($I900="","",IFERROR(INDEX(LIV_Titre,MATCH($I900,LIV_Code,0)),"⚠ Code inconnu"))</f>
        <v/>
      </c>
      <c r="K900" s="138">
        <f>IF($F900="","",$F900+P_Duree)</f>
        <v/>
      </c>
      <c r="L900" s="134" t="n"/>
      <c r="M900" s="130">
        <f>IF(OR($F900="",$I900=""),"",IF($L900&lt;&gt;"",IF($L900&gt;$K900,"Rendu en retard","Rendu"),IF(TODAY()&gt;$K900,"En retard","En cours")))</f>
        <v/>
      </c>
      <c r="N900" s="139">
        <f>IF(OR($F900="",$I900=""),"",MAX(0,IF($L900&lt;&gt;"",$L900,TODAY())-$K900))</f>
        <v/>
      </c>
      <c r="O900" s="135">
        <f>IF(OR($F900="",$I900=""),"",$N900*P_Amende)</f>
        <v/>
      </c>
      <c r="P900" s="133" t="n"/>
      <c r="R900">
        <f>IF($M900="En retard",$N900+ROW()/100000,"")</f>
        <v/>
      </c>
      <c r="S900">
        <f>IF(OR($F900="",$I900=""),"",$F900+ROW()/100000)</f>
        <v/>
      </c>
      <c r="T900">
        <f>IF($I900="","",IFERROR(INDEX(LIV_Cat,MATCH($I900,LIV_Code,0)),""))</f>
        <v/>
      </c>
    </row>
    <row r="901" ht="21" customHeight="1">
      <c r="A901" s="1" t="n"/>
      <c r="B901" s="1" t="n"/>
      <c r="C901" s="2" t="n"/>
      <c r="E901" s="130">
        <f>IF($F901="","","EMP-"&amp;TEXT(ROW()-6,"0000"))</f>
        <v/>
      </c>
      <c r="F901" s="134" t="n"/>
      <c r="G901" s="127" t="n"/>
      <c r="H901" s="130">
        <f>IF($G901="","",IFERROR(INDEX(MEM_Nom,MATCH($G901,MEM_ID,0)),"⚠ ID inconnu"))</f>
        <v/>
      </c>
      <c r="I901" s="127" t="n"/>
      <c r="J901" s="130">
        <f>IF($I901="","",IFERROR(INDEX(LIV_Titre,MATCH($I901,LIV_Code,0)),"⚠ Code inconnu"))</f>
        <v/>
      </c>
      <c r="K901" s="138">
        <f>IF($F901="","",$F901+P_Duree)</f>
        <v/>
      </c>
      <c r="L901" s="134" t="n"/>
      <c r="M901" s="130">
        <f>IF(OR($F901="",$I901=""),"",IF($L901&lt;&gt;"",IF($L901&gt;$K901,"Rendu en retard","Rendu"),IF(TODAY()&gt;$K901,"En retard","En cours")))</f>
        <v/>
      </c>
      <c r="N901" s="139">
        <f>IF(OR($F901="",$I901=""),"",MAX(0,IF($L901&lt;&gt;"",$L901,TODAY())-$K901))</f>
        <v/>
      </c>
      <c r="O901" s="135">
        <f>IF(OR($F901="",$I901=""),"",$N901*P_Amende)</f>
        <v/>
      </c>
      <c r="P901" s="133" t="n"/>
      <c r="R901">
        <f>IF($M901="En retard",$N901+ROW()/100000,"")</f>
        <v/>
      </c>
      <c r="S901">
        <f>IF(OR($F901="",$I901=""),"",$F901+ROW()/100000)</f>
        <v/>
      </c>
      <c r="T901">
        <f>IF($I901="","",IFERROR(INDEX(LIV_Cat,MATCH($I901,LIV_Code,0)),""))</f>
        <v/>
      </c>
    </row>
    <row r="902" ht="21" customHeight="1">
      <c r="A902" s="1" t="n"/>
      <c r="B902" s="1" t="n"/>
      <c r="C902" s="2" t="n"/>
      <c r="E902" s="130">
        <f>IF($F902="","","EMP-"&amp;TEXT(ROW()-6,"0000"))</f>
        <v/>
      </c>
      <c r="F902" s="134" t="n"/>
      <c r="G902" s="127" t="n"/>
      <c r="H902" s="130">
        <f>IF($G902="","",IFERROR(INDEX(MEM_Nom,MATCH($G902,MEM_ID,0)),"⚠ ID inconnu"))</f>
        <v/>
      </c>
      <c r="I902" s="127" t="n"/>
      <c r="J902" s="130">
        <f>IF($I902="","",IFERROR(INDEX(LIV_Titre,MATCH($I902,LIV_Code,0)),"⚠ Code inconnu"))</f>
        <v/>
      </c>
      <c r="K902" s="138">
        <f>IF($F902="","",$F902+P_Duree)</f>
        <v/>
      </c>
      <c r="L902" s="134" t="n"/>
      <c r="M902" s="130">
        <f>IF(OR($F902="",$I902=""),"",IF($L902&lt;&gt;"",IF($L902&gt;$K902,"Rendu en retard","Rendu"),IF(TODAY()&gt;$K902,"En retard","En cours")))</f>
        <v/>
      </c>
      <c r="N902" s="139">
        <f>IF(OR($F902="",$I902=""),"",MAX(0,IF($L902&lt;&gt;"",$L902,TODAY())-$K902))</f>
        <v/>
      </c>
      <c r="O902" s="135">
        <f>IF(OR($F902="",$I902=""),"",$N902*P_Amende)</f>
        <v/>
      </c>
      <c r="P902" s="133" t="n"/>
      <c r="R902">
        <f>IF($M902="En retard",$N902+ROW()/100000,"")</f>
        <v/>
      </c>
      <c r="S902">
        <f>IF(OR($F902="",$I902=""),"",$F902+ROW()/100000)</f>
        <v/>
      </c>
      <c r="T902">
        <f>IF($I902="","",IFERROR(INDEX(LIV_Cat,MATCH($I902,LIV_Code,0)),""))</f>
        <v/>
      </c>
    </row>
    <row r="903" ht="21" customHeight="1">
      <c r="A903" s="1" t="n"/>
      <c r="B903" s="1" t="n"/>
      <c r="C903" s="2" t="n"/>
      <c r="E903" s="130">
        <f>IF($F903="","","EMP-"&amp;TEXT(ROW()-6,"0000"))</f>
        <v/>
      </c>
      <c r="F903" s="134" t="n"/>
      <c r="G903" s="127" t="n"/>
      <c r="H903" s="130">
        <f>IF($G903="","",IFERROR(INDEX(MEM_Nom,MATCH($G903,MEM_ID,0)),"⚠ ID inconnu"))</f>
        <v/>
      </c>
      <c r="I903" s="127" t="n"/>
      <c r="J903" s="130">
        <f>IF($I903="","",IFERROR(INDEX(LIV_Titre,MATCH($I903,LIV_Code,0)),"⚠ Code inconnu"))</f>
        <v/>
      </c>
      <c r="K903" s="138">
        <f>IF($F903="","",$F903+P_Duree)</f>
        <v/>
      </c>
      <c r="L903" s="134" t="n"/>
      <c r="M903" s="130">
        <f>IF(OR($F903="",$I903=""),"",IF($L903&lt;&gt;"",IF($L903&gt;$K903,"Rendu en retard","Rendu"),IF(TODAY()&gt;$K903,"En retard","En cours")))</f>
        <v/>
      </c>
      <c r="N903" s="139">
        <f>IF(OR($F903="",$I903=""),"",MAX(0,IF($L903&lt;&gt;"",$L903,TODAY())-$K903))</f>
        <v/>
      </c>
      <c r="O903" s="135">
        <f>IF(OR($F903="",$I903=""),"",$N903*P_Amende)</f>
        <v/>
      </c>
      <c r="P903" s="133" t="n"/>
      <c r="R903">
        <f>IF($M903="En retard",$N903+ROW()/100000,"")</f>
        <v/>
      </c>
      <c r="S903">
        <f>IF(OR($F903="",$I903=""),"",$F903+ROW()/100000)</f>
        <v/>
      </c>
      <c r="T903">
        <f>IF($I903="","",IFERROR(INDEX(LIV_Cat,MATCH($I903,LIV_Code,0)),""))</f>
        <v/>
      </c>
    </row>
    <row r="904" ht="21" customHeight="1">
      <c r="A904" s="1" t="n"/>
      <c r="B904" s="1" t="n"/>
      <c r="C904" s="2" t="n"/>
      <c r="E904" s="130">
        <f>IF($F904="","","EMP-"&amp;TEXT(ROW()-6,"0000"))</f>
        <v/>
      </c>
      <c r="F904" s="134" t="n"/>
      <c r="G904" s="127" t="n"/>
      <c r="H904" s="130">
        <f>IF($G904="","",IFERROR(INDEX(MEM_Nom,MATCH($G904,MEM_ID,0)),"⚠ ID inconnu"))</f>
        <v/>
      </c>
      <c r="I904" s="127" t="n"/>
      <c r="J904" s="130">
        <f>IF($I904="","",IFERROR(INDEX(LIV_Titre,MATCH($I904,LIV_Code,0)),"⚠ Code inconnu"))</f>
        <v/>
      </c>
      <c r="K904" s="138">
        <f>IF($F904="","",$F904+P_Duree)</f>
        <v/>
      </c>
      <c r="L904" s="134" t="n"/>
      <c r="M904" s="130">
        <f>IF(OR($F904="",$I904=""),"",IF($L904&lt;&gt;"",IF($L904&gt;$K904,"Rendu en retard","Rendu"),IF(TODAY()&gt;$K904,"En retard","En cours")))</f>
        <v/>
      </c>
      <c r="N904" s="139">
        <f>IF(OR($F904="",$I904=""),"",MAX(0,IF($L904&lt;&gt;"",$L904,TODAY())-$K904))</f>
        <v/>
      </c>
      <c r="O904" s="135">
        <f>IF(OR($F904="",$I904=""),"",$N904*P_Amende)</f>
        <v/>
      </c>
      <c r="P904" s="133" t="n"/>
      <c r="R904">
        <f>IF($M904="En retard",$N904+ROW()/100000,"")</f>
        <v/>
      </c>
      <c r="S904">
        <f>IF(OR($F904="",$I904=""),"",$F904+ROW()/100000)</f>
        <v/>
      </c>
      <c r="T904">
        <f>IF($I904="","",IFERROR(INDEX(LIV_Cat,MATCH($I904,LIV_Code,0)),""))</f>
        <v/>
      </c>
    </row>
    <row r="905" ht="21" customHeight="1">
      <c r="A905" s="1" t="n"/>
      <c r="B905" s="1" t="n"/>
      <c r="C905" s="2" t="n"/>
      <c r="E905" s="130">
        <f>IF($F905="","","EMP-"&amp;TEXT(ROW()-6,"0000"))</f>
        <v/>
      </c>
      <c r="F905" s="134" t="n"/>
      <c r="G905" s="127" t="n"/>
      <c r="H905" s="130">
        <f>IF($G905="","",IFERROR(INDEX(MEM_Nom,MATCH($G905,MEM_ID,0)),"⚠ ID inconnu"))</f>
        <v/>
      </c>
      <c r="I905" s="127" t="n"/>
      <c r="J905" s="130">
        <f>IF($I905="","",IFERROR(INDEX(LIV_Titre,MATCH($I905,LIV_Code,0)),"⚠ Code inconnu"))</f>
        <v/>
      </c>
      <c r="K905" s="138">
        <f>IF($F905="","",$F905+P_Duree)</f>
        <v/>
      </c>
      <c r="L905" s="134" t="n"/>
      <c r="M905" s="130">
        <f>IF(OR($F905="",$I905=""),"",IF($L905&lt;&gt;"",IF($L905&gt;$K905,"Rendu en retard","Rendu"),IF(TODAY()&gt;$K905,"En retard","En cours")))</f>
        <v/>
      </c>
      <c r="N905" s="139">
        <f>IF(OR($F905="",$I905=""),"",MAX(0,IF($L905&lt;&gt;"",$L905,TODAY())-$K905))</f>
        <v/>
      </c>
      <c r="O905" s="135">
        <f>IF(OR($F905="",$I905=""),"",$N905*P_Amende)</f>
        <v/>
      </c>
      <c r="P905" s="133" t="n"/>
      <c r="R905">
        <f>IF($M905="En retard",$N905+ROW()/100000,"")</f>
        <v/>
      </c>
      <c r="S905">
        <f>IF(OR($F905="",$I905=""),"",$F905+ROW()/100000)</f>
        <v/>
      </c>
      <c r="T905">
        <f>IF($I905="","",IFERROR(INDEX(LIV_Cat,MATCH($I905,LIV_Code,0)),""))</f>
        <v/>
      </c>
    </row>
    <row r="906" ht="21" customHeight="1">
      <c r="A906" s="1" t="n"/>
      <c r="B906" s="1" t="n"/>
      <c r="C906" s="2" t="n"/>
      <c r="E906" s="130">
        <f>IF($F906="","","EMP-"&amp;TEXT(ROW()-6,"0000"))</f>
        <v/>
      </c>
      <c r="F906" s="134" t="n"/>
      <c r="G906" s="127" t="n"/>
      <c r="H906" s="130">
        <f>IF($G906="","",IFERROR(INDEX(MEM_Nom,MATCH($G906,MEM_ID,0)),"⚠ ID inconnu"))</f>
        <v/>
      </c>
      <c r="I906" s="127" t="n"/>
      <c r="J906" s="130">
        <f>IF($I906="","",IFERROR(INDEX(LIV_Titre,MATCH($I906,LIV_Code,0)),"⚠ Code inconnu"))</f>
        <v/>
      </c>
      <c r="K906" s="138">
        <f>IF($F906="","",$F906+P_Duree)</f>
        <v/>
      </c>
      <c r="L906" s="134" t="n"/>
      <c r="M906" s="130">
        <f>IF(OR($F906="",$I906=""),"",IF($L906&lt;&gt;"",IF($L906&gt;$K906,"Rendu en retard","Rendu"),IF(TODAY()&gt;$K906,"En retard","En cours")))</f>
        <v/>
      </c>
      <c r="N906" s="139">
        <f>IF(OR($F906="",$I906=""),"",MAX(0,IF($L906&lt;&gt;"",$L906,TODAY())-$K906))</f>
        <v/>
      </c>
      <c r="O906" s="135">
        <f>IF(OR($F906="",$I906=""),"",$N906*P_Amende)</f>
        <v/>
      </c>
      <c r="P906" s="133" t="n"/>
      <c r="R906">
        <f>IF($M906="En retard",$N906+ROW()/100000,"")</f>
        <v/>
      </c>
      <c r="S906">
        <f>IF(OR($F906="",$I906=""),"",$F906+ROW()/100000)</f>
        <v/>
      </c>
      <c r="T906">
        <f>IF($I906="","",IFERROR(INDEX(LIV_Cat,MATCH($I906,LIV_Code,0)),""))</f>
        <v/>
      </c>
    </row>
    <row r="907" ht="21" customHeight="1">
      <c r="A907" s="1" t="n"/>
      <c r="B907" s="1" t="n"/>
      <c r="C907" s="2" t="n"/>
      <c r="E907" s="130">
        <f>IF($F907="","","EMP-"&amp;TEXT(ROW()-6,"0000"))</f>
        <v/>
      </c>
      <c r="F907" s="134" t="n"/>
      <c r="G907" s="127" t="n"/>
      <c r="H907" s="130">
        <f>IF($G907="","",IFERROR(INDEX(MEM_Nom,MATCH($G907,MEM_ID,0)),"⚠ ID inconnu"))</f>
        <v/>
      </c>
      <c r="I907" s="127" t="n"/>
      <c r="J907" s="130">
        <f>IF($I907="","",IFERROR(INDEX(LIV_Titre,MATCH($I907,LIV_Code,0)),"⚠ Code inconnu"))</f>
        <v/>
      </c>
      <c r="K907" s="138">
        <f>IF($F907="","",$F907+P_Duree)</f>
        <v/>
      </c>
      <c r="L907" s="134" t="n"/>
      <c r="M907" s="130">
        <f>IF(OR($F907="",$I907=""),"",IF($L907&lt;&gt;"",IF($L907&gt;$K907,"Rendu en retard","Rendu"),IF(TODAY()&gt;$K907,"En retard","En cours")))</f>
        <v/>
      </c>
      <c r="N907" s="139">
        <f>IF(OR($F907="",$I907=""),"",MAX(0,IF($L907&lt;&gt;"",$L907,TODAY())-$K907))</f>
        <v/>
      </c>
      <c r="O907" s="135">
        <f>IF(OR($F907="",$I907=""),"",$N907*P_Amende)</f>
        <v/>
      </c>
      <c r="P907" s="133" t="n"/>
      <c r="R907">
        <f>IF($M907="En retard",$N907+ROW()/100000,"")</f>
        <v/>
      </c>
      <c r="S907">
        <f>IF(OR($F907="",$I907=""),"",$F907+ROW()/100000)</f>
        <v/>
      </c>
      <c r="T907">
        <f>IF($I907="","",IFERROR(INDEX(LIV_Cat,MATCH($I907,LIV_Code,0)),""))</f>
        <v/>
      </c>
    </row>
    <row r="908" ht="21" customHeight="1">
      <c r="A908" s="1" t="n"/>
      <c r="B908" s="1" t="n"/>
      <c r="C908" s="2" t="n"/>
      <c r="E908" s="130">
        <f>IF($F908="","","EMP-"&amp;TEXT(ROW()-6,"0000"))</f>
        <v/>
      </c>
      <c r="F908" s="134" t="n"/>
      <c r="G908" s="127" t="n"/>
      <c r="H908" s="130">
        <f>IF($G908="","",IFERROR(INDEX(MEM_Nom,MATCH($G908,MEM_ID,0)),"⚠ ID inconnu"))</f>
        <v/>
      </c>
      <c r="I908" s="127" t="n"/>
      <c r="J908" s="130">
        <f>IF($I908="","",IFERROR(INDEX(LIV_Titre,MATCH($I908,LIV_Code,0)),"⚠ Code inconnu"))</f>
        <v/>
      </c>
      <c r="K908" s="138">
        <f>IF($F908="","",$F908+P_Duree)</f>
        <v/>
      </c>
      <c r="L908" s="134" t="n"/>
      <c r="M908" s="130">
        <f>IF(OR($F908="",$I908=""),"",IF($L908&lt;&gt;"",IF($L908&gt;$K908,"Rendu en retard","Rendu"),IF(TODAY()&gt;$K908,"En retard","En cours")))</f>
        <v/>
      </c>
      <c r="N908" s="139">
        <f>IF(OR($F908="",$I908=""),"",MAX(0,IF($L908&lt;&gt;"",$L908,TODAY())-$K908))</f>
        <v/>
      </c>
      <c r="O908" s="135">
        <f>IF(OR($F908="",$I908=""),"",$N908*P_Amende)</f>
        <v/>
      </c>
      <c r="P908" s="133" t="n"/>
      <c r="R908">
        <f>IF($M908="En retard",$N908+ROW()/100000,"")</f>
        <v/>
      </c>
      <c r="S908">
        <f>IF(OR($F908="",$I908=""),"",$F908+ROW()/100000)</f>
        <v/>
      </c>
      <c r="T908">
        <f>IF($I908="","",IFERROR(INDEX(LIV_Cat,MATCH($I908,LIV_Code,0)),""))</f>
        <v/>
      </c>
    </row>
    <row r="909" ht="21" customHeight="1">
      <c r="A909" s="1" t="n"/>
      <c r="B909" s="1" t="n"/>
      <c r="C909" s="2" t="n"/>
      <c r="E909" s="130">
        <f>IF($F909="","","EMP-"&amp;TEXT(ROW()-6,"0000"))</f>
        <v/>
      </c>
      <c r="F909" s="134" t="n"/>
      <c r="G909" s="127" t="n"/>
      <c r="H909" s="130">
        <f>IF($G909="","",IFERROR(INDEX(MEM_Nom,MATCH($G909,MEM_ID,0)),"⚠ ID inconnu"))</f>
        <v/>
      </c>
      <c r="I909" s="127" t="n"/>
      <c r="J909" s="130">
        <f>IF($I909="","",IFERROR(INDEX(LIV_Titre,MATCH($I909,LIV_Code,0)),"⚠ Code inconnu"))</f>
        <v/>
      </c>
      <c r="K909" s="138">
        <f>IF($F909="","",$F909+P_Duree)</f>
        <v/>
      </c>
      <c r="L909" s="134" t="n"/>
      <c r="M909" s="130">
        <f>IF(OR($F909="",$I909=""),"",IF($L909&lt;&gt;"",IF($L909&gt;$K909,"Rendu en retard","Rendu"),IF(TODAY()&gt;$K909,"En retard","En cours")))</f>
        <v/>
      </c>
      <c r="N909" s="139">
        <f>IF(OR($F909="",$I909=""),"",MAX(0,IF($L909&lt;&gt;"",$L909,TODAY())-$K909))</f>
        <v/>
      </c>
      <c r="O909" s="135">
        <f>IF(OR($F909="",$I909=""),"",$N909*P_Amende)</f>
        <v/>
      </c>
      <c r="P909" s="133" t="n"/>
      <c r="R909">
        <f>IF($M909="En retard",$N909+ROW()/100000,"")</f>
        <v/>
      </c>
      <c r="S909">
        <f>IF(OR($F909="",$I909=""),"",$F909+ROW()/100000)</f>
        <v/>
      </c>
      <c r="T909">
        <f>IF($I909="","",IFERROR(INDEX(LIV_Cat,MATCH($I909,LIV_Code,0)),""))</f>
        <v/>
      </c>
    </row>
    <row r="910" ht="21" customHeight="1">
      <c r="A910" s="1" t="n"/>
      <c r="B910" s="1" t="n"/>
      <c r="C910" s="2" t="n"/>
      <c r="E910" s="130">
        <f>IF($F910="","","EMP-"&amp;TEXT(ROW()-6,"0000"))</f>
        <v/>
      </c>
      <c r="F910" s="134" t="n"/>
      <c r="G910" s="127" t="n"/>
      <c r="H910" s="130">
        <f>IF($G910="","",IFERROR(INDEX(MEM_Nom,MATCH($G910,MEM_ID,0)),"⚠ ID inconnu"))</f>
        <v/>
      </c>
      <c r="I910" s="127" t="n"/>
      <c r="J910" s="130">
        <f>IF($I910="","",IFERROR(INDEX(LIV_Titre,MATCH($I910,LIV_Code,0)),"⚠ Code inconnu"))</f>
        <v/>
      </c>
      <c r="K910" s="138">
        <f>IF($F910="","",$F910+P_Duree)</f>
        <v/>
      </c>
      <c r="L910" s="134" t="n"/>
      <c r="M910" s="130">
        <f>IF(OR($F910="",$I910=""),"",IF($L910&lt;&gt;"",IF($L910&gt;$K910,"Rendu en retard","Rendu"),IF(TODAY()&gt;$K910,"En retard","En cours")))</f>
        <v/>
      </c>
      <c r="N910" s="139">
        <f>IF(OR($F910="",$I910=""),"",MAX(0,IF($L910&lt;&gt;"",$L910,TODAY())-$K910))</f>
        <v/>
      </c>
      <c r="O910" s="135">
        <f>IF(OR($F910="",$I910=""),"",$N910*P_Amende)</f>
        <v/>
      </c>
      <c r="P910" s="133" t="n"/>
      <c r="R910">
        <f>IF($M910="En retard",$N910+ROW()/100000,"")</f>
        <v/>
      </c>
      <c r="S910">
        <f>IF(OR($F910="",$I910=""),"",$F910+ROW()/100000)</f>
        <v/>
      </c>
      <c r="T910">
        <f>IF($I910="","",IFERROR(INDEX(LIV_Cat,MATCH($I910,LIV_Code,0)),""))</f>
        <v/>
      </c>
    </row>
    <row r="911" ht="21" customHeight="1">
      <c r="A911" s="1" t="n"/>
      <c r="B911" s="1" t="n"/>
      <c r="C911" s="2" t="n"/>
      <c r="E911" s="130">
        <f>IF($F911="","","EMP-"&amp;TEXT(ROW()-6,"0000"))</f>
        <v/>
      </c>
      <c r="F911" s="134" t="n"/>
      <c r="G911" s="127" t="n"/>
      <c r="H911" s="130">
        <f>IF($G911="","",IFERROR(INDEX(MEM_Nom,MATCH($G911,MEM_ID,0)),"⚠ ID inconnu"))</f>
        <v/>
      </c>
      <c r="I911" s="127" t="n"/>
      <c r="J911" s="130">
        <f>IF($I911="","",IFERROR(INDEX(LIV_Titre,MATCH($I911,LIV_Code,0)),"⚠ Code inconnu"))</f>
        <v/>
      </c>
      <c r="K911" s="138">
        <f>IF($F911="","",$F911+P_Duree)</f>
        <v/>
      </c>
      <c r="L911" s="134" t="n"/>
      <c r="M911" s="130">
        <f>IF(OR($F911="",$I911=""),"",IF($L911&lt;&gt;"",IF($L911&gt;$K911,"Rendu en retard","Rendu"),IF(TODAY()&gt;$K911,"En retard","En cours")))</f>
        <v/>
      </c>
      <c r="N911" s="139">
        <f>IF(OR($F911="",$I911=""),"",MAX(0,IF($L911&lt;&gt;"",$L911,TODAY())-$K911))</f>
        <v/>
      </c>
      <c r="O911" s="135">
        <f>IF(OR($F911="",$I911=""),"",$N911*P_Amende)</f>
        <v/>
      </c>
      <c r="P911" s="133" t="n"/>
      <c r="R911">
        <f>IF($M911="En retard",$N911+ROW()/100000,"")</f>
        <v/>
      </c>
      <c r="S911">
        <f>IF(OR($F911="",$I911=""),"",$F911+ROW()/100000)</f>
        <v/>
      </c>
      <c r="T911">
        <f>IF($I911="","",IFERROR(INDEX(LIV_Cat,MATCH($I911,LIV_Code,0)),""))</f>
        <v/>
      </c>
    </row>
    <row r="912" ht="21" customHeight="1">
      <c r="A912" s="1" t="n"/>
      <c r="B912" s="1" t="n"/>
      <c r="C912" s="2" t="n"/>
      <c r="E912" s="130">
        <f>IF($F912="","","EMP-"&amp;TEXT(ROW()-6,"0000"))</f>
        <v/>
      </c>
      <c r="F912" s="134" t="n"/>
      <c r="G912" s="127" t="n"/>
      <c r="H912" s="130">
        <f>IF($G912="","",IFERROR(INDEX(MEM_Nom,MATCH($G912,MEM_ID,0)),"⚠ ID inconnu"))</f>
        <v/>
      </c>
      <c r="I912" s="127" t="n"/>
      <c r="J912" s="130">
        <f>IF($I912="","",IFERROR(INDEX(LIV_Titre,MATCH($I912,LIV_Code,0)),"⚠ Code inconnu"))</f>
        <v/>
      </c>
      <c r="K912" s="138">
        <f>IF($F912="","",$F912+P_Duree)</f>
        <v/>
      </c>
      <c r="L912" s="134" t="n"/>
      <c r="M912" s="130">
        <f>IF(OR($F912="",$I912=""),"",IF($L912&lt;&gt;"",IF($L912&gt;$K912,"Rendu en retard","Rendu"),IF(TODAY()&gt;$K912,"En retard","En cours")))</f>
        <v/>
      </c>
      <c r="N912" s="139">
        <f>IF(OR($F912="",$I912=""),"",MAX(0,IF($L912&lt;&gt;"",$L912,TODAY())-$K912))</f>
        <v/>
      </c>
      <c r="O912" s="135">
        <f>IF(OR($F912="",$I912=""),"",$N912*P_Amende)</f>
        <v/>
      </c>
      <c r="P912" s="133" t="n"/>
      <c r="R912">
        <f>IF($M912="En retard",$N912+ROW()/100000,"")</f>
        <v/>
      </c>
      <c r="S912">
        <f>IF(OR($F912="",$I912=""),"",$F912+ROW()/100000)</f>
        <v/>
      </c>
      <c r="T912">
        <f>IF($I912="","",IFERROR(INDEX(LIV_Cat,MATCH($I912,LIV_Code,0)),""))</f>
        <v/>
      </c>
    </row>
    <row r="913" ht="21" customHeight="1">
      <c r="A913" s="1" t="n"/>
      <c r="B913" s="1" t="n"/>
      <c r="C913" s="2" t="n"/>
      <c r="E913" s="130">
        <f>IF($F913="","","EMP-"&amp;TEXT(ROW()-6,"0000"))</f>
        <v/>
      </c>
      <c r="F913" s="134" t="n"/>
      <c r="G913" s="127" t="n"/>
      <c r="H913" s="130">
        <f>IF($G913="","",IFERROR(INDEX(MEM_Nom,MATCH($G913,MEM_ID,0)),"⚠ ID inconnu"))</f>
        <v/>
      </c>
      <c r="I913" s="127" t="n"/>
      <c r="J913" s="130">
        <f>IF($I913="","",IFERROR(INDEX(LIV_Titre,MATCH($I913,LIV_Code,0)),"⚠ Code inconnu"))</f>
        <v/>
      </c>
      <c r="K913" s="138">
        <f>IF($F913="","",$F913+P_Duree)</f>
        <v/>
      </c>
      <c r="L913" s="134" t="n"/>
      <c r="M913" s="130">
        <f>IF(OR($F913="",$I913=""),"",IF($L913&lt;&gt;"",IF($L913&gt;$K913,"Rendu en retard","Rendu"),IF(TODAY()&gt;$K913,"En retard","En cours")))</f>
        <v/>
      </c>
      <c r="N913" s="139">
        <f>IF(OR($F913="",$I913=""),"",MAX(0,IF($L913&lt;&gt;"",$L913,TODAY())-$K913))</f>
        <v/>
      </c>
      <c r="O913" s="135">
        <f>IF(OR($F913="",$I913=""),"",$N913*P_Amende)</f>
        <v/>
      </c>
      <c r="P913" s="133" t="n"/>
      <c r="R913">
        <f>IF($M913="En retard",$N913+ROW()/100000,"")</f>
        <v/>
      </c>
      <c r="S913">
        <f>IF(OR($F913="",$I913=""),"",$F913+ROW()/100000)</f>
        <v/>
      </c>
      <c r="T913">
        <f>IF($I913="","",IFERROR(INDEX(LIV_Cat,MATCH($I913,LIV_Code,0)),""))</f>
        <v/>
      </c>
    </row>
    <row r="914" ht="21" customHeight="1">
      <c r="A914" s="1" t="n"/>
      <c r="B914" s="1" t="n"/>
      <c r="C914" s="2" t="n"/>
      <c r="E914" s="130">
        <f>IF($F914="","","EMP-"&amp;TEXT(ROW()-6,"0000"))</f>
        <v/>
      </c>
      <c r="F914" s="134" t="n"/>
      <c r="G914" s="127" t="n"/>
      <c r="H914" s="130">
        <f>IF($G914="","",IFERROR(INDEX(MEM_Nom,MATCH($G914,MEM_ID,0)),"⚠ ID inconnu"))</f>
        <v/>
      </c>
      <c r="I914" s="127" t="n"/>
      <c r="J914" s="130">
        <f>IF($I914="","",IFERROR(INDEX(LIV_Titre,MATCH($I914,LIV_Code,0)),"⚠ Code inconnu"))</f>
        <v/>
      </c>
      <c r="K914" s="138">
        <f>IF($F914="","",$F914+P_Duree)</f>
        <v/>
      </c>
      <c r="L914" s="134" t="n"/>
      <c r="M914" s="130">
        <f>IF(OR($F914="",$I914=""),"",IF($L914&lt;&gt;"",IF($L914&gt;$K914,"Rendu en retard","Rendu"),IF(TODAY()&gt;$K914,"En retard","En cours")))</f>
        <v/>
      </c>
      <c r="N914" s="139">
        <f>IF(OR($F914="",$I914=""),"",MAX(0,IF($L914&lt;&gt;"",$L914,TODAY())-$K914))</f>
        <v/>
      </c>
      <c r="O914" s="135">
        <f>IF(OR($F914="",$I914=""),"",$N914*P_Amende)</f>
        <v/>
      </c>
      <c r="P914" s="133" t="n"/>
      <c r="R914">
        <f>IF($M914="En retard",$N914+ROW()/100000,"")</f>
        <v/>
      </c>
      <c r="S914">
        <f>IF(OR($F914="",$I914=""),"",$F914+ROW()/100000)</f>
        <v/>
      </c>
      <c r="T914">
        <f>IF($I914="","",IFERROR(INDEX(LIV_Cat,MATCH($I914,LIV_Code,0)),""))</f>
        <v/>
      </c>
    </row>
    <row r="915" ht="21" customHeight="1">
      <c r="A915" s="1" t="n"/>
      <c r="B915" s="1" t="n"/>
      <c r="C915" s="2" t="n"/>
      <c r="E915" s="130">
        <f>IF($F915="","","EMP-"&amp;TEXT(ROW()-6,"0000"))</f>
        <v/>
      </c>
      <c r="F915" s="134" t="n"/>
      <c r="G915" s="127" t="n"/>
      <c r="H915" s="130">
        <f>IF($G915="","",IFERROR(INDEX(MEM_Nom,MATCH($G915,MEM_ID,0)),"⚠ ID inconnu"))</f>
        <v/>
      </c>
      <c r="I915" s="127" t="n"/>
      <c r="J915" s="130">
        <f>IF($I915="","",IFERROR(INDEX(LIV_Titre,MATCH($I915,LIV_Code,0)),"⚠ Code inconnu"))</f>
        <v/>
      </c>
      <c r="K915" s="138">
        <f>IF($F915="","",$F915+P_Duree)</f>
        <v/>
      </c>
      <c r="L915" s="134" t="n"/>
      <c r="M915" s="130">
        <f>IF(OR($F915="",$I915=""),"",IF($L915&lt;&gt;"",IF($L915&gt;$K915,"Rendu en retard","Rendu"),IF(TODAY()&gt;$K915,"En retard","En cours")))</f>
        <v/>
      </c>
      <c r="N915" s="139">
        <f>IF(OR($F915="",$I915=""),"",MAX(0,IF($L915&lt;&gt;"",$L915,TODAY())-$K915))</f>
        <v/>
      </c>
      <c r="O915" s="135">
        <f>IF(OR($F915="",$I915=""),"",$N915*P_Amende)</f>
        <v/>
      </c>
      <c r="P915" s="133" t="n"/>
      <c r="R915">
        <f>IF($M915="En retard",$N915+ROW()/100000,"")</f>
        <v/>
      </c>
      <c r="S915">
        <f>IF(OR($F915="",$I915=""),"",$F915+ROW()/100000)</f>
        <v/>
      </c>
      <c r="T915">
        <f>IF($I915="","",IFERROR(INDEX(LIV_Cat,MATCH($I915,LIV_Code,0)),""))</f>
        <v/>
      </c>
    </row>
    <row r="916" ht="21" customHeight="1">
      <c r="A916" s="1" t="n"/>
      <c r="B916" s="1" t="n"/>
      <c r="C916" s="2" t="n"/>
      <c r="E916" s="130">
        <f>IF($F916="","","EMP-"&amp;TEXT(ROW()-6,"0000"))</f>
        <v/>
      </c>
      <c r="F916" s="134" t="n"/>
      <c r="G916" s="127" t="n"/>
      <c r="H916" s="130">
        <f>IF($G916="","",IFERROR(INDEX(MEM_Nom,MATCH($G916,MEM_ID,0)),"⚠ ID inconnu"))</f>
        <v/>
      </c>
      <c r="I916" s="127" t="n"/>
      <c r="J916" s="130">
        <f>IF($I916="","",IFERROR(INDEX(LIV_Titre,MATCH($I916,LIV_Code,0)),"⚠ Code inconnu"))</f>
        <v/>
      </c>
      <c r="K916" s="138">
        <f>IF($F916="","",$F916+P_Duree)</f>
        <v/>
      </c>
      <c r="L916" s="134" t="n"/>
      <c r="M916" s="130">
        <f>IF(OR($F916="",$I916=""),"",IF($L916&lt;&gt;"",IF($L916&gt;$K916,"Rendu en retard","Rendu"),IF(TODAY()&gt;$K916,"En retard","En cours")))</f>
        <v/>
      </c>
      <c r="N916" s="139">
        <f>IF(OR($F916="",$I916=""),"",MAX(0,IF($L916&lt;&gt;"",$L916,TODAY())-$K916))</f>
        <v/>
      </c>
      <c r="O916" s="135">
        <f>IF(OR($F916="",$I916=""),"",$N916*P_Amende)</f>
        <v/>
      </c>
      <c r="P916" s="133" t="n"/>
      <c r="R916">
        <f>IF($M916="En retard",$N916+ROW()/100000,"")</f>
        <v/>
      </c>
      <c r="S916">
        <f>IF(OR($F916="",$I916=""),"",$F916+ROW()/100000)</f>
        <v/>
      </c>
      <c r="T916">
        <f>IF($I916="","",IFERROR(INDEX(LIV_Cat,MATCH($I916,LIV_Code,0)),""))</f>
        <v/>
      </c>
    </row>
    <row r="917" ht="21" customHeight="1">
      <c r="A917" s="1" t="n"/>
      <c r="B917" s="1" t="n"/>
      <c r="C917" s="2" t="n"/>
      <c r="E917" s="130">
        <f>IF($F917="","","EMP-"&amp;TEXT(ROW()-6,"0000"))</f>
        <v/>
      </c>
      <c r="F917" s="134" t="n"/>
      <c r="G917" s="127" t="n"/>
      <c r="H917" s="130">
        <f>IF($G917="","",IFERROR(INDEX(MEM_Nom,MATCH($G917,MEM_ID,0)),"⚠ ID inconnu"))</f>
        <v/>
      </c>
      <c r="I917" s="127" t="n"/>
      <c r="J917" s="130">
        <f>IF($I917="","",IFERROR(INDEX(LIV_Titre,MATCH($I917,LIV_Code,0)),"⚠ Code inconnu"))</f>
        <v/>
      </c>
      <c r="K917" s="138">
        <f>IF($F917="","",$F917+P_Duree)</f>
        <v/>
      </c>
      <c r="L917" s="134" t="n"/>
      <c r="M917" s="130">
        <f>IF(OR($F917="",$I917=""),"",IF($L917&lt;&gt;"",IF($L917&gt;$K917,"Rendu en retard","Rendu"),IF(TODAY()&gt;$K917,"En retard","En cours")))</f>
        <v/>
      </c>
      <c r="N917" s="139">
        <f>IF(OR($F917="",$I917=""),"",MAX(0,IF($L917&lt;&gt;"",$L917,TODAY())-$K917))</f>
        <v/>
      </c>
      <c r="O917" s="135">
        <f>IF(OR($F917="",$I917=""),"",$N917*P_Amende)</f>
        <v/>
      </c>
      <c r="P917" s="133" t="n"/>
      <c r="R917">
        <f>IF($M917="En retard",$N917+ROW()/100000,"")</f>
        <v/>
      </c>
      <c r="S917">
        <f>IF(OR($F917="",$I917=""),"",$F917+ROW()/100000)</f>
        <v/>
      </c>
      <c r="T917">
        <f>IF($I917="","",IFERROR(INDEX(LIV_Cat,MATCH($I917,LIV_Code,0)),""))</f>
        <v/>
      </c>
    </row>
    <row r="918" ht="21" customHeight="1">
      <c r="A918" s="1" t="n"/>
      <c r="B918" s="1" t="n"/>
      <c r="C918" s="2" t="n"/>
      <c r="E918" s="130">
        <f>IF($F918="","","EMP-"&amp;TEXT(ROW()-6,"0000"))</f>
        <v/>
      </c>
      <c r="F918" s="134" t="n"/>
      <c r="G918" s="127" t="n"/>
      <c r="H918" s="130">
        <f>IF($G918="","",IFERROR(INDEX(MEM_Nom,MATCH($G918,MEM_ID,0)),"⚠ ID inconnu"))</f>
        <v/>
      </c>
      <c r="I918" s="127" t="n"/>
      <c r="J918" s="130">
        <f>IF($I918="","",IFERROR(INDEX(LIV_Titre,MATCH($I918,LIV_Code,0)),"⚠ Code inconnu"))</f>
        <v/>
      </c>
      <c r="K918" s="138">
        <f>IF($F918="","",$F918+P_Duree)</f>
        <v/>
      </c>
      <c r="L918" s="134" t="n"/>
      <c r="M918" s="130">
        <f>IF(OR($F918="",$I918=""),"",IF($L918&lt;&gt;"",IF($L918&gt;$K918,"Rendu en retard","Rendu"),IF(TODAY()&gt;$K918,"En retard","En cours")))</f>
        <v/>
      </c>
      <c r="N918" s="139">
        <f>IF(OR($F918="",$I918=""),"",MAX(0,IF($L918&lt;&gt;"",$L918,TODAY())-$K918))</f>
        <v/>
      </c>
      <c r="O918" s="135">
        <f>IF(OR($F918="",$I918=""),"",$N918*P_Amende)</f>
        <v/>
      </c>
      <c r="P918" s="133" t="n"/>
      <c r="R918">
        <f>IF($M918="En retard",$N918+ROW()/100000,"")</f>
        <v/>
      </c>
      <c r="S918">
        <f>IF(OR($F918="",$I918=""),"",$F918+ROW()/100000)</f>
        <v/>
      </c>
      <c r="T918">
        <f>IF($I918="","",IFERROR(INDEX(LIV_Cat,MATCH($I918,LIV_Code,0)),""))</f>
        <v/>
      </c>
    </row>
    <row r="919" ht="21" customHeight="1">
      <c r="A919" s="1" t="n"/>
      <c r="B919" s="1" t="n"/>
      <c r="C919" s="2" t="n"/>
      <c r="E919" s="130">
        <f>IF($F919="","","EMP-"&amp;TEXT(ROW()-6,"0000"))</f>
        <v/>
      </c>
      <c r="F919" s="134" t="n"/>
      <c r="G919" s="127" t="n"/>
      <c r="H919" s="130">
        <f>IF($G919="","",IFERROR(INDEX(MEM_Nom,MATCH($G919,MEM_ID,0)),"⚠ ID inconnu"))</f>
        <v/>
      </c>
      <c r="I919" s="127" t="n"/>
      <c r="J919" s="130">
        <f>IF($I919="","",IFERROR(INDEX(LIV_Titre,MATCH($I919,LIV_Code,0)),"⚠ Code inconnu"))</f>
        <v/>
      </c>
      <c r="K919" s="138">
        <f>IF($F919="","",$F919+P_Duree)</f>
        <v/>
      </c>
      <c r="L919" s="134" t="n"/>
      <c r="M919" s="130">
        <f>IF(OR($F919="",$I919=""),"",IF($L919&lt;&gt;"",IF($L919&gt;$K919,"Rendu en retard","Rendu"),IF(TODAY()&gt;$K919,"En retard","En cours")))</f>
        <v/>
      </c>
      <c r="N919" s="139">
        <f>IF(OR($F919="",$I919=""),"",MAX(0,IF($L919&lt;&gt;"",$L919,TODAY())-$K919))</f>
        <v/>
      </c>
      <c r="O919" s="135">
        <f>IF(OR($F919="",$I919=""),"",$N919*P_Amende)</f>
        <v/>
      </c>
      <c r="P919" s="133" t="n"/>
      <c r="R919">
        <f>IF($M919="En retard",$N919+ROW()/100000,"")</f>
        <v/>
      </c>
      <c r="S919">
        <f>IF(OR($F919="",$I919=""),"",$F919+ROW()/100000)</f>
        <v/>
      </c>
      <c r="T919">
        <f>IF($I919="","",IFERROR(INDEX(LIV_Cat,MATCH($I919,LIV_Code,0)),""))</f>
        <v/>
      </c>
    </row>
    <row r="920" ht="21" customHeight="1">
      <c r="A920" s="1" t="n"/>
      <c r="B920" s="1" t="n"/>
      <c r="C920" s="2" t="n"/>
      <c r="E920" s="130">
        <f>IF($F920="","","EMP-"&amp;TEXT(ROW()-6,"0000"))</f>
        <v/>
      </c>
      <c r="F920" s="134" t="n"/>
      <c r="G920" s="127" t="n"/>
      <c r="H920" s="130">
        <f>IF($G920="","",IFERROR(INDEX(MEM_Nom,MATCH($G920,MEM_ID,0)),"⚠ ID inconnu"))</f>
        <v/>
      </c>
      <c r="I920" s="127" t="n"/>
      <c r="J920" s="130">
        <f>IF($I920="","",IFERROR(INDEX(LIV_Titre,MATCH($I920,LIV_Code,0)),"⚠ Code inconnu"))</f>
        <v/>
      </c>
      <c r="K920" s="138">
        <f>IF($F920="","",$F920+P_Duree)</f>
        <v/>
      </c>
      <c r="L920" s="134" t="n"/>
      <c r="M920" s="130">
        <f>IF(OR($F920="",$I920=""),"",IF($L920&lt;&gt;"",IF($L920&gt;$K920,"Rendu en retard","Rendu"),IF(TODAY()&gt;$K920,"En retard","En cours")))</f>
        <v/>
      </c>
      <c r="N920" s="139">
        <f>IF(OR($F920="",$I920=""),"",MAX(0,IF($L920&lt;&gt;"",$L920,TODAY())-$K920))</f>
        <v/>
      </c>
      <c r="O920" s="135">
        <f>IF(OR($F920="",$I920=""),"",$N920*P_Amende)</f>
        <v/>
      </c>
      <c r="P920" s="133" t="n"/>
      <c r="R920">
        <f>IF($M920="En retard",$N920+ROW()/100000,"")</f>
        <v/>
      </c>
      <c r="S920">
        <f>IF(OR($F920="",$I920=""),"",$F920+ROW()/100000)</f>
        <v/>
      </c>
      <c r="T920">
        <f>IF($I920="","",IFERROR(INDEX(LIV_Cat,MATCH($I920,LIV_Code,0)),""))</f>
        <v/>
      </c>
    </row>
    <row r="921" ht="21" customHeight="1">
      <c r="A921" s="1" t="n"/>
      <c r="B921" s="1" t="n"/>
      <c r="C921" s="2" t="n"/>
      <c r="E921" s="130">
        <f>IF($F921="","","EMP-"&amp;TEXT(ROW()-6,"0000"))</f>
        <v/>
      </c>
      <c r="F921" s="134" t="n"/>
      <c r="G921" s="127" t="n"/>
      <c r="H921" s="130">
        <f>IF($G921="","",IFERROR(INDEX(MEM_Nom,MATCH($G921,MEM_ID,0)),"⚠ ID inconnu"))</f>
        <v/>
      </c>
      <c r="I921" s="127" t="n"/>
      <c r="J921" s="130">
        <f>IF($I921="","",IFERROR(INDEX(LIV_Titre,MATCH($I921,LIV_Code,0)),"⚠ Code inconnu"))</f>
        <v/>
      </c>
      <c r="K921" s="138">
        <f>IF($F921="","",$F921+P_Duree)</f>
        <v/>
      </c>
      <c r="L921" s="134" t="n"/>
      <c r="M921" s="130">
        <f>IF(OR($F921="",$I921=""),"",IF($L921&lt;&gt;"",IF($L921&gt;$K921,"Rendu en retard","Rendu"),IF(TODAY()&gt;$K921,"En retard","En cours")))</f>
        <v/>
      </c>
      <c r="N921" s="139">
        <f>IF(OR($F921="",$I921=""),"",MAX(0,IF($L921&lt;&gt;"",$L921,TODAY())-$K921))</f>
        <v/>
      </c>
      <c r="O921" s="135">
        <f>IF(OR($F921="",$I921=""),"",$N921*P_Amende)</f>
        <v/>
      </c>
      <c r="P921" s="133" t="n"/>
      <c r="R921">
        <f>IF($M921="En retard",$N921+ROW()/100000,"")</f>
        <v/>
      </c>
      <c r="S921">
        <f>IF(OR($F921="",$I921=""),"",$F921+ROW()/100000)</f>
        <v/>
      </c>
      <c r="T921">
        <f>IF($I921="","",IFERROR(INDEX(LIV_Cat,MATCH($I921,LIV_Code,0)),""))</f>
        <v/>
      </c>
    </row>
    <row r="922" ht="21" customHeight="1">
      <c r="A922" s="1" t="n"/>
      <c r="B922" s="1" t="n"/>
      <c r="C922" s="2" t="n"/>
      <c r="E922" s="130">
        <f>IF($F922="","","EMP-"&amp;TEXT(ROW()-6,"0000"))</f>
        <v/>
      </c>
      <c r="F922" s="134" t="n"/>
      <c r="G922" s="127" t="n"/>
      <c r="H922" s="130">
        <f>IF($G922="","",IFERROR(INDEX(MEM_Nom,MATCH($G922,MEM_ID,0)),"⚠ ID inconnu"))</f>
        <v/>
      </c>
      <c r="I922" s="127" t="n"/>
      <c r="J922" s="130">
        <f>IF($I922="","",IFERROR(INDEX(LIV_Titre,MATCH($I922,LIV_Code,0)),"⚠ Code inconnu"))</f>
        <v/>
      </c>
      <c r="K922" s="138">
        <f>IF($F922="","",$F922+P_Duree)</f>
        <v/>
      </c>
      <c r="L922" s="134" t="n"/>
      <c r="M922" s="130">
        <f>IF(OR($F922="",$I922=""),"",IF($L922&lt;&gt;"",IF($L922&gt;$K922,"Rendu en retard","Rendu"),IF(TODAY()&gt;$K922,"En retard","En cours")))</f>
        <v/>
      </c>
      <c r="N922" s="139">
        <f>IF(OR($F922="",$I922=""),"",MAX(0,IF($L922&lt;&gt;"",$L922,TODAY())-$K922))</f>
        <v/>
      </c>
      <c r="O922" s="135">
        <f>IF(OR($F922="",$I922=""),"",$N922*P_Amende)</f>
        <v/>
      </c>
      <c r="P922" s="133" t="n"/>
      <c r="R922">
        <f>IF($M922="En retard",$N922+ROW()/100000,"")</f>
        <v/>
      </c>
      <c r="S922">
        <f>IF(OR($F922="",$I922=""),"",$F922+ROW()/100000)</f>
        <v/>
      </c>
      <c r="T922">
        <f>IF($I922="","",IFERROR(INDEX(LIV_Cat,MATCH($I922,LIV_Code,0)),""))</f>
        <v/>
      </c>
    </row>
    <row r="923" ht="21" customHeight="1">
      <c r="A923" s="1" t="n"/>
      <c r="B923" s="1" t="n"/>
      <c r="C923" s="2" t="n"/>
      <c r="E923" s="130">
        <f>IF($F923="","","EMP-"&amp;TEXT(ROW()-6,"0000"))</f>
        <v/>
      </c>
      <c r="F923" s="134" t="n"/>
      <c r="G923" s="127" t="n"/>
      <c r="H923" s="130">
        <f>IF($G923="","",IFERROR(INDEX(MEM_Nom,MATCH($G923,MEM_ID,0)),"⚠ ID inconnu"))</f>
        <v/>
      </c>
      <c r="I923" s="127" t="n"/>
      <c r="J923" s="130">
        <f>IF($I923="","",IFERROR(INDEX(LIV_Titre,MATCH($I923,LIV_Code,0)),"⚠ Code inconnu"))</f>
        <v/>
      </c>
      <c r="K923" s="138">
        <f>IF($F923="","",$F923+P_Duree)</f>
        <v/>
      </c>
      <c r="L923" s="134" t="n"/>
      <c r="M923" s="130">
        <f>IF(OR($F923="",$I923=""),"",IF($L923&lt;&gt;"",IF($L923&gt;$K923,"Rendu en retard","Rendu"),IF(TODAY()&gt;$K923,"En retard","En cours")))</f>
        <v/>
      </c>
      <c r="N923" s="139">
        <f>IF(OR($F923="",$I923=""),"",MAX(0,IF($L923&lt;&gt;"",$L923,TODAY())-$K923))</f>
        <v/>
      </c>
      <c r="O923" s="135">
        <f>IF(OR($F923="",$I923=""),"",$N923*P_Amende)</f>
        <v/>
      </c>
      <c r="P923" s="133" t="n"/>
      <c r="R923">
        <f>IF($M923="En retard",$N923+ROW()/100000,"")</f>
        <v/>
      </c>
      <c r="S923">
        <f>IF(OR($F923="",$I923=""),"",$F923+ROW()/100000)</f>
        <v/>
      </c>
      <c r="T923">
        <f>IF($I923="","",IFERROR(INDEX(LIV_Cat,MATCH($I923,LIV_Code,0)),""))</f>
        <v/>
      </c>
    </row>
    <row r="924" ht="21" customHeight="1">
      <c r="A924" s="1" t="n"/>
      <c r="B924" s="1" t="n"/>
      <c r="C924" s="2" t="n"/>
      <c r="E924" s="130">
        <f>IF($F924="","","EMP-"&amp;TEXT(ROW()-6,"0000"))</f>
        <v/>
      </c>
      <c r="F924" s="134" t="n"/>
      <c r="G924" s="127" t="n"/>
      <c r="H924" s="130">
        <f>IF($G924="","",IFERROR(INDEX(MEM_Nom,MATCH($G924,MEM_ID,0)),"⚠ ID inconnu"))</f>
        <v/>
      </c>
      <c r="I924" s="127" t="n"/>
      <c r="J924" s="130">
        <f>IF($I924="","",IFERROR(INDEX(LIV_Titre,MATCH($I924,LIV_Code,0)),"⚠ Code inconnu"))</f>
        <v/>
      </c>
      <c r="K924" s="138">
        <f>IF($F924="","",$F924+P_Duree)</f>
        <v/>
      </c>
      <c r="L924" s="134" t="n"/>
      <c r="M924" s="130">
        <f>IF(OR($F924="",$I924=""),"",IF($L924&lt;&gt;"",IF($L924&gt;$K924,"Rendu en retard","Rendu"),IF(TODAY()&gt;$K924,"En retard","En cours")))</f>
        <v/>
      </c>
      <c r="N924" s="139">
        <f>IF(OR($F924="",$I924=""),"",MAX(0,IF($L924&lt;&gt;"",$L924,TODAY())-$K924))</f>
        <v/>
      </c>
      <c r="O924" s="135">
        <f>IF(OR($F924="",$I924=""),"",$N924*P_Amende)</f>
        <v/>
      </c>
      <c r="P924" s="133" t="n"/>
      <c r="R924">
        <f>IF($M924="En retard",$N924+ROW()/100000,"")</f>
        <v/>
      </c>
      <c r="S924">
        <f>IF(OR($F924="",$I924=""),"",$F924+ROW()/100000)</f>
        <v/>
      </c>
      <c r="T924">
        <f>IF($I924="","",IFERROR(INDEX(LIV_Cat,MATCH($I924,LIV_Code,0)),""))</f>
        <v/>
      </c>
    </row>
    <row r="925" ht="21" customHeight="1">
      <c r="A925" s="1" t="n"/>
      <c r="B925" s="1" t="n"/>
      <c r="C925" s="2" t="n"/>
      <c r="E925" s="130">
        <f>IF($F925="","","EMP-"&amp;TEXT(ROW()-6,"0000"))</f>
        <v/>
      </c>
      <c r="F925" s="134" t="n"/>
      <c r="G925" s="127" t="n"/>
      <c r="H925" s="130">
        <f>IF($G925="","",IFERROR(INDEX(MEM_Nom,MATCH($G925,MEM_ID,0)),"⚠ ID inconnu"))</f>
        <v/>
      </c>
      <c r="I925" s="127" t="n"/>
      <c r="J925" s="130">
        <f>IF($I925="","",IFERROR(INDEX(LIV_Titre,MATCH($I925,LIV_Code,0)),"⚠ Code inconnu"))</f>
        <v/>
      </c>
      <c r="K925" s="138">
        <f>IF($F925="","",$F925+P_Duree)</f>
        <v/>
      </c>
      <c r="L925" s="134" t="n"/>
      <c r="M925" s="130">
        <f>IF(OR($F925="",$I925=""),"",IF($L925&lt;&gt;"",IF($L925&gt;$K925,"Rendu en retard","Rendu"),IF(TODAY()&gt;$K925,"En retard","En cours")))</f>
        <v/>
      </c>
      <c r="N925" s="139">
        <f>IF(OR($F925="",$I925=""),"",MAX(0,IF($L925&lt;&gt;"",$L925,TODAY())-$K925))</f>
        <v/>
      </c>
      <c r="O925" s="135">
        <f>IF(OR($F925="",$I925=""),"",$N925*P_Amende)</f>
        <v/>
      </c>
      <c r="P925" s="133" t="n"/>
      <c r="R925">
        <f>IF($M925="En retard",$N925+ROW()/100000,"")</f>
        <v/>
      </c>
      <c r="S925">
        <f>IF(OR($F925="",$I925=""),"",$F925+ROW()/100000)</f>
        <v/>
      </c>
      <c r="T925">
        <f>IF($I925="","",IFERROR(INDEX(LIV_Cat,MATCH($I925,LIV_Code,0)),""))</f>
        <v/>
      </c>
    </row>
    <row r="926" ht="21" customHeight="1">
      <c r="A926" s="1" t="n"/>
      <c r="B926" s="1" t="n"/>
      <c r="C926" s="2" t="n"/>
      <c r="E926" s="130">
        <f>IF($F926="","","EMP-"&amp;TEXT(ROW()-6,"0000"))</f>
        <v/>
      </c>
      <c r="F926" s="134" t="n"/>
      <c r="G926" s="127" t="n"/>
      <c r="H926" s="130">
        <f>IF($G926="","",IFERROR(INDEX(MEM_Nom,MATCH($G926,MEM_ID,0)),"⚠ ID inconnu"))</f>
        <v/>
      </c>
      <c r="I926" s="127" t="n"/>
      <c r="J926" s="130">
        <f>IF($I926="","",IFERROR(INDEX(LIV_Titre,MATCH($I926,LIV_Code,0)),"⚠ Code inconnu"))</f>
        <v/>
      </c>
      <c r="K926" s="138">
        <f>IF($F926="","",$F926+P_Duree)</f>
        <v/>
      </c>
      <c r="L926" s="134" t="n"/>
      <c r="M926" s="130">
        <f>IF(OR($F926="",$I926=""),"",IF($L926&lt;&gt;"",IF($L926&gt;$K926,"Rendu en retard","Rendu"),IF(TODAY()&gt;$K926,"En retard","En cours")))</f>
        <v/>
      </c>
      <c r="N926" s="139">
        <f>IF(OR($F926="",$I926=""),"",MAX(0,IF($L926&lt;&gt;"",$L926,TODAY())-$K926))</f>
        <v/>
      </c>
      <c r="O926" s="135">
        <f>IF(OR($F926="",$I926=""),"",$N926*P_Amende)</f>
        <v/>
      </c>
      <c r="P926" s="133" t="n"/>
      <c r="R926">
        <f>IF($M926="En retard",$N926+ROW()/100000,"")</f>
        <v/>
      </c>
      <c r="S926">
        <f>IF(OR($F926="",$I926=""),"",$F926+ROW()/100000)</f>
        <v/>
      </c>
      <c r="T926">
        <f>IF($I926="","",IFERROR(INDEX(LIV_Cat,MATCH($I926,LIV_Code,0)),""))</f>
        <v/>
      </c>
    </row>
    <row r="927" ht="21" customHeight="1">
      <c r="A927" s="1" t="n"/>
      <c r="B927" s="1" t="n"/>
      <c r="C927" s="2" t="n"/>
      <c r="E927" s="130">
        <f>IF($F927="","","EMP-"&amp;TEXT(ROW()-6,"0000"))</f>
        <v/>
      </c>
      <c r="F927" s="134" t="n"/>
      <c r="G927" s="127" t="n"/>
      <c r="H927" s="130">
        <f>IF($G927="","",IFERROR(INDEX(MEM_Nom,MATCH($G927,MEM_ID,0)),"⚠ ID inconnu"))</f>
        <v/>
      </c>
      <c r="I927" s="127" t="n"/>
      <c r="J927" s="130">
        <f>IF($I927="","",IFERROR(INDEX(LIV_Titre,MATCH($I927,LIV_Code,0)),"⚠ Code inconnu"))</f>
        <v/>
      </c>
      <c r="K927" s="138">
        <f>IF($F927="","",$F927+P_Duree)</f>
        <v/>
      </c>
      <c r="L927" s="134" t="n"/>
      <c r="M927" s="130">
        <f>IF(OR($F927="",$I927=""),"",IF($L927&lt;&gt;"",IF($L927&gt;$K927,"Rendu en retard","Rendu"),IF(TODAY()&gt;$K927,"En retard","En cours")))</f>
        <v/>
      </c>
      <c r="N927" s="139">
        <f>IF(OR($F927="",$I927=""),"",MAX(0,IF($L927&lt;&gt;"",$L927,TODAY())-$K927))</f>
        <v/>
      </c>
      <c r="O927" s="135">
        <f>IF(OR($F927="",$I927=""),"",$N927*P_Amende)</f>
        <v/>
      </c>
      <c r="P927" s="133" t="n"/>
      <c r="R927">
        <f>IF($M927="En retard",$N927+ROW()/100000,"")</f>
        <v/>
      </c>
      <c r="S927">
        <f>IF(OR($F927="",$I927=""),"",$F927+ROW()/100000)</f>
        <v/>
      </c>
      <c r="T927">
        <f>IF($I927="","",IFERROR(INDEX(LIV_Cat,MATCH($I927,LIV_Code,0)),""))</f>
        <v/>
      </c>
    </row>
    <row r="928" ht="21" customHeight="1">
      <c r="A928" s="1" t="n"/>
      <c r="B928" s="1" t="n"/>
      <c r="C928" s="2" t="n"/>
      <c r="E928" s="130">
        <f>IF($F928="","","EMP-"&amp;TEXT(ROW()-6,"0000"))</f>
        <v/>
      </c>
      <c r="F928" s="134" t="n"/>
      <c r="G928" s="127" t="n"/>
      <c r="H928" s="130">
        <f>IF($G928="","",IFERROR(INDEX(MEM_Nom,MATCH($G928,MEM_ID,0)),"⚠ ID inconnu"))</f>
        <v/>
      </c>
      <c r="I928" s="127" t="n"/>
      <c r="J928" s="130">
        <f>IF($I928="","",IFERROR(INDEX(LIV_Titre,MATCH($I928,LIV_Code,0)),"⚠ Code inconnu"))</f>
        <v/>
      </c>
      <c r="K928" s="138">
        <f>IF($F928="","",$F928+P_Duree)</f>
        <v/>
      </c>
      <c r="L928" s="134" t="n"/>
      <c r="M928" s="130">
        <f>IF(OR($F928="",$I928=""),"",IF($L928&lt;&gt;"",IF($L928&gt;$K928,"Rendu en retard","Rendu"),IF(TODAY()&gt;$K928,"En retard","En cours")))</f>
        <v/>
      </c>
      <c r="N928" s="139">
        <f>IF(OR($F928="",$I928=""),"",MAX(0,IF($L928&lt;&gt;"",$L928,TODAY())-$K928))</f>
        <v/>
      </c>
      <c r="O928" s="135">
        <f>IF(OR($F928="",$I928=""),"",$N928*P_Amende)</f>
        <v/>
      </c>
      <c r="P928" s="133" t="n"/>
      <c r="R928">
        <f>IF($M928="En retard",$N928+ROW()/100000,"")</f>
        <v/>
      </c>
      <c r="S928">
        <f>IF(OR($F928="",$I928=""),"",$F928+ROW()/100000)</f>
        <v/>
      </c>
      <c r="T928">
        <f>IF($I928="","",IFERROR(INDEX(LIV_Cat,MATCH($I928,LIV_Code,0)),""))</f>
        <v/>
      </c>
    </row>
    <row r="929" ht="21" customHeight="1">
      <c r="A929" s="1" t="n"/>
      <c r="B929" s="1" t="n"/>
      <c r="C929" s="2" t="n"/>
      <c r="E929" s="130">
        <f>IF($F929="","","EMP-"&amp;TEXT(ROW()-6,"0000"))</f>
        <v/>
      </c>
      <c r="F929" s="134" t="n"/>
      <c r="G929" s="127" t="n"/>
      <c r="H929" s="130">
        <f>IF($G929="","",IFERROR(INDEX(MEM_Nom,MATCH($G929,MEM_ID,0)),"⚠ ID inconnu"))</f>
        <v/>
      </c>
      <c r="I929" s="127" t="n"/>
      <c r="J929" s="130">
        <f>IF($I929="","",IFERROR(INDEX(LIV_Titre,MATCH($I929,LIV_Code,0)),"⚠ Code inconnu"))</f>
        <v/>
      </c>
      <c r="K929" s="138">
        <f>IF($F929="","",$F929+P_Duree)</f>
        <v/>
      </c>
      <c r="L929" s="134" t="n"/>
      <c r="M929" s="130">
        <f>IF(OR($F929="",$I929=""),"",IF($L929&lt;&gt;"",IF($L929&gt;$K929,"Rendu en retard","Rendu"),IF(TODAY()&gt;$K929,"En retard","En cours")))</f>
        <v/>
      </c>
      <c r="N929" s="139">
        <f>IF(OR($F929="",$I929=""),"",MAX(0,IF($L929&lt;&gt;"",$L929,TODAY())-$K929))</f>
        <v/>
      </c>
      <c r="O929" s="135">
        <f>IF(OR($F929="",$I929=""),"",$N929*P_Amende)</f>
        <v/>
      </c>
      <c r="P929" s="133" t="n"/>
      <c r="R929">
        <f>IF($M929="En retard",$N929+ROW()/100000,"")</f>
        <v/>
      </c>
      <c r="S929">
        <f>IF(OR($F929="",$I929=""),"",$F929+ROW()/100000)</f>
        <v/>
      </c>
      <c r="T929">
        <f>IF($I929="","",IFERROR(INDEX(LIV_Cat,MATCH($I929,LIV_Code,0)),""))</f>
        <v/>
      </c>
    </row>
    <row r="930" ht="21" customHeight="1">
      <c r="A930" s="1" t="n"/>
      <c r="B930" s="1" t="n"/>
      <c r="C930" s="2" t="n"/>
      <c r="E930" s="130">
        <f>IF($F930="","","EMP-"&amp;TEXT(ROW()-6,"0000"))</f>
        <v/>
      </c>
      <c r="F930" s="134" t="n"/>
      <c r="G930" s="127" t="n"/>
      <c r="H930" s="130">
        <f>IF($G930="","",IFERROR(INDEX(MEM_Nom,MATCH($G930,MEM_ID,0)),"⚠ ID inconnu"))</f>
        <v/>
      </c>
      <c r="I930" s="127" t="n"/>
      <c r="J930" s="130">
        <f>IF($I930="","",IFERROR(INDEX(LIV_Titre,MATCH($I930,LIV_Code,0)),"⚠ Code inconnu"))</f>
        <v/>
      </c>
      <c r="K930" s="138">
        <f>IF($F930="","",$F930+P_Duree)</f>
        <v/>
      </c>
      <c r="L930" s="134" t="n"/>
      <c r="M930" s="130">
        <f>IF(OR($F930="",$I930=""),"",IF($L930&lt;&gt;"",IF($L930&gt;$K930,"Rendu en retard","Rendu"),IF(TODAY()&gt;$K930,"En retard","En cours")))</f>
        <v/>
      </c>
      <c r="N930" s="139">
        <f>IF(OR($F930="",$I930=""),"",MAX(0,IF($L930&lt;&gt;"",$L930,TODAY())-$K930))</f>
        <v/>
      </c>
      <c r="O930" s="135">
        <f>IF(OR($F930="",$I930=""),"",$N930*P_Amende)</f>
        <v/>
      </c>
      <c r="P930" s="133" t="n"/>
      <c r="R930">
        <f>IF($M930="En retard",$N930+ROW()/100000,"")</f>
        <v/>
      </c>
      <c r="S930">
        <f>IF(OR($F930="",$I930=""),"",$F930+ROW()/100000)</f>
        <v/>
      </c>
      <c r="T930">
        <f>IF($I930="","",IFERROR(INDEX(LIV_Cat,MATCH($I930,LIV_Code,0)),""))</f>
        <v/>
      </c>
    </row>
    <row r="931" ht="21" customHeight="1">
      <c r="A931" s="1" t="n"/>
      <c r="B931" s="1" t="n"/>
      <c r="C931" s="2" t="n"/>
      <c r="E931" s="130">
        <f>IF($F931="","","EMP-"&amp;TEXT(ROW()-6,"0000"))</f>
        <v/>
      </c>
      <c r="F931" s="134" t="n"/>
      <c r="G931" s="127" t="n"/>
      <c r="H931" s="130">
        <f>IF($G931="","",IFERROR(INDEX(MEM_Nom,MATCH($G931,MEM_ID,0)),"⚠ ID inconnu"))</f>
        <v/>
      </c>
      <c r="I931" s="127" t="n"/>
      <c r="J931" s="130">
        <f>IF($I931="","",IFERROR(INDEX(LIV_Titre,MATCH($I931,LIV_Code,0)),"⚠ Code inconnu"))</f>
        <v/>
      </c>
      <c r="K931" s="138">
        <f>IF($F931="","",$F931+P_Duree)</f>
        <v/>
      </c>
      <c r="L931" s="134" t="n"/>
      <c r="M931" s="130">
        <f>IF(OR($F931="",$I931=""),"",IF($L931&lt;&gt;"",IF($L931&gt;$K931,"Rendu en retard","Rendu"),IF(TODAY()&gt;$K931,"En retard","En cours")))</f>
        <v/>
      </c>
      <c r="N931" s="139">
        <f>IF(OR($F931="",$I931=""),"",MAX(0,IF($L931&lt;&gt;"",$L931,TODAY())-$K931))</f>
        <v/>
      </c>
      <c r="O931" s="135">
        <f>IF(OR($F931="",$I931=""),"",$N931*P_Amende)</f>
        <v/>
      </c>
      <c r="P931" s="133" t="n"/>
      <c r="R931">
        <f>IF($M931="En retard",$N931+ROW()/100000,"")</f>
        <v/>
      </c>
      <c r="S931">
        <f>IF(OR($F931="",$I931=""),"",$F931+ROW()/100000)</f>
        <v/>
      </c>
      <c r="T931">
        <f>IF($I931="","",IFERROR(INDEX(LIV_Cat,MATCH($I931,LIV_Code,0)),""))</f>
        <v/>
      </c>
    </row>
    <row r="932" ht="21" customHeight="1">
      <c r="A932" s="1" t="n"/>
      <c r="B932" s="1" t="n"/>
      <c r="C932" s="2" t="n"/>
      <c r="E932" s="130">
        <f>IF($F932="","","EMP-"&amp;TEXT(ROW()-6,"0000"))</f>
        <v/>
      </c>
      <c r="F932" s="134" t="n"/>
      <c r="G932" s="127" t="n"/>
      <c r="H932" s="130">
        <f>IF($G932="","",IFERROR(INDEX(MEM_Nom,MATCH($G932,MEM_ID,0)),"⚠ ID inconnu"))</f>
        <v/>
      </c>
      <c r="I932" s="127" t="n"/>
      <c r="J932" s="130">
        <f>IF($I932="","",IFERROR(INDEX(LIV_Titre,MATCH($I932,LIV_Code,0)),"⚠ Code inconnu"))</f>
        <v/>
      </c>
      <c r="K932" s="138">
        <f>IF($F932="","",$F932+P_Duree)</f>
        <v/>
      </c>
      <c r="L932" s="134" t="n"/>
      <c r="M932" s="130">
        <f>IF(OR($F932="",$I932=""),"",IF($L932&lt;&gt;"",IF($L932&gt;$K932,"Rendu en retard","Rendu"),IF(TODAY()&gt;$K932,"En retard","En cours")))</f>
        <v/>
      </c>
      <c r="N932" s="139">
        <f>IF(OR($F932="",$I932=""),"",MAX(0,IF($L932&lt;&gt;"",$L932,TODAY())-$K932))</f>
        <v/>
      </c>
      <c r="O932" s="135">
        <f>IF(OR($F932="",$I932=""),"",$N932*P_Amende)</f>
        <v/>
      </c>
      <c r="P932" s="133" t="n"/>
      <c r="R932">
        <f>IF($M932="En retard",$N932+ROW()/100000,"")</f>
        <v/>
      </c>
      <c r="S932">
        <f>IF(OR($F932="",$I932=""),"",$F932+ROW()/100000)</f>
        <v/>
      </c>
      <c r="T932">
        <f>IF($I932="","",IFERROR(INDEX(LIV_Cat,MATCH($I932,LIV_Code,0)),""))</f>
        <v/>
      </c>
    </row>
    <row r="933" ht="21" customHeight="1">
      <c r="A933" s="1" t="n"/>
      <c r="B933" s="1" t="n"/>
      <c r="C933" s="2" t="n"/>
      <c r="E933" s="130">
        <f>IF($F933="","","EMP-"&amp;TEXT(ROW()-6,"0000"))</f>
        <v/>
      </c>
      <c r="F933" s="134" t="n"/>
      <c r="G933" s="127" t="n"/>
      <c r="H933" s="130">
        <f>IF($G933="","",IFERROR(INDEX(MEM_Nom,MATCH($G933,MEM_ID,0)),"⚠ ID inconnu"))</f>
        <v/>
      </c>
      <c r="I933" s="127" t="n"/>
      <c r="J933" s="130">
        <f>IF($I933="","",IFERROR(INDEX(LIV_Titre,MATCH($I933,LIV_Code,0)),"⚠ Code inconnu"))</f>
        <v/>
      </c>
      <c r="K933" s="138">
        <f>IF($F933="","",$F933+P_Duree)</f>
        <v/>
      </c>
      <c r="L933" s="134" t="n"/>
      <c r="M933" s="130">
        <f>IF(OR($F933="",$I933=""),"",IF($L933&lt;&gt;"",IF($L933&gt;$K933,"Rendu en retard","Rendu"),IF(TODAY()&gt;$K933,"En retard","En cours")))</f>
        <v/>
      </c>
      <c r="N933" s="139">
        <f>IF(OR($F933="",$I933=""),"",MAX(0,IF($L933&lt;&gt;"",$L933,TODAY())-$K933))</f>
        <v/>
      </c>
      <c r="O933" s="135">
        <f>IF(OR($F933="",$I933=""),"",$N933*P_Amende)</f>
        <v/>
      </c>
      <c r="P933" s="133" t="n"/>
      <c r="R933">
        <f>IF($M933="En retard",$N933+ROW()/100000,"")</f>
        <v/>
      </c>
      <c r="S933">
        <f>IF(OR($F933="",$I933=""),"",$F933+ROW()/100000)</f>
        <v/>
      </c>
      <c r="T933">
        <f>IF($I933="","",IFERROR(INDEX(LIV_Cat,MATCH($I933,LIV_Code,0)),""))</f>
        <v/>
      </c>
    </row>
    <row r="934" ht="21" customHeight="1">
      <c r="A934" s="1" t="n"/>
      <c r="B934" s="1" t="n"/>
      <c r="C934" s="2" t="n"/>
      <c r="E934" s="130">
        <f>IF($F934="","","EMP-"&amp;TEXT(ROW()-6,"0000"))</f>
        <v/>
      </c>
      <c r="F934" s="134" t="n"/>
      <c r="G934" s="127" t="n"/>
      <c r="H934" s="130">
        <f>IF($G934="","",IFERROR(INDEX(MEM_Nom,MATCH($G934,MEM_ID,0)),"⚠ ID inconnu"))</f>
        <v/>
      </c>
      <c r="I934" s="127" t="n"/>
      <c r="J934" s="130">
        <f>IF($I934="","",IFERROR(INDEX(LIV_Titre,MATCH($I934,LIV_Code,0)),"⚠ Code inconnu"))</f>
        <v/>
      </c>
      <c r="K934" s="138">
        <f>IF($F934="","",$F934+P_Duree)</f>
        <v/>
      </c>
      <c r="L934" s="134" t="n"/>
      <c r="M934" s="130">
        <f>IF(OR($F934="",$I934=""),"",IF($L934&lt;&gt;"",IF($L934&gt;$K934,"Rendu en retard","Rendu"),IF(TODAY()&gt;$K934,"En retard","En cours")))</f>
        <v/>
      </c>
      <c r="N934" s="139">
        <f>IF(OR($F934="",$I934=""),"",MAX(0,IF($L934&lt;&gt;"",$L934,TODAY())-$K934))</f>
        <v/>
      </c>
      <c r="O934" s="135">
        <f>IF(OR($F934="",$I934=""),"",$N934*P_Amende)</f>
        <v/>
      </c>
      <c r="P934" s="133" t="n"/>
      <c r="R934">
        <f>IF($M934="En retard",$N934+ROW()/100000,"")</f>
        <v/>
      </c>
      <c r="S934">
        <f>IF(OR($F934="",$I934=""),"",$F934+ROW()/100000)</f>
        <v/>
      </c>
      <c r="T934">
        <f>IF($I934="","",IFERROR(INDEX(LIV_Cat,MATCH($I934,LIV_Code,0)),""))</f>
        <v/>
      </c>
    </row>
    <row r="935" ht="21" customHeight="1">
      <c r="A935" s="1" t="n"/>
      <c r="B935" s="1" t="n"/>
      <c r="C935" s="2" t="n"/>
      <c r="E935" s="130">
        <f>IF($F935="","","EMP-"&amp;TEXT(ROW()-6,"0000"))</f>
        <v/>
      </c>
      <c r="F935" s="134" t="n"/>
      <c r="G935" s="127" t="n"/>
      <c r="H935" s="130">
        <f>IF($G935="","",IFERROR(INDEX(MEM_Nom,MATCH($G935,MEM_ID,0)),"⚠ ID inconnu"))</f>
        <v/>
      </c>
      <c r="I935" s="127" t="n"/>
      <c r="J935" s="130">
        <f>IF($I935="","",IFERROR(INDEX(LIV_Titre,MATCH($I935,LIV_Code,0)),"⚠ Code inconnu"))</f>
        <v/>
      </c>
      <c r="K935" s="138">
        <f>IF($F935="","",$F935+P_Duree)</f>
        <v/>
      </c>
      <c r="L935" s="134" t="n"/>
      <c r="M935" s="130">
        <f>IF(OR($F935="",$I935=""),"",IF($L935&lt;&gt;"",IF($L935&gt;$K935,"Rendu en retard","Rendu"),IF(TODAY()&gt;$K935,"En retard","En cours")))</f>
        <v/>
      </c>
      <c r="N935" s="139">
        <f>IF(OR($F935="",$I935=""),"",MAX(0,IF($L935&lt;&gt;"",$L935,TODAY())-$K935))</f>
        <v/>
      </c>
      <c r="O935" s="135">
        <f>IF(OR($F935="",$I935=""),"",$N935*P_Amende)</f>
        <v/>
      </c>
      <c r="P935" s="133" t="n"/>
      <c r="R935">
        <f>IF($M935="En retard",$N935+ROW()/100000,"")</f>
        <v/>
      </c>
      <c r="S935">
        <f>IF(OR($F935="",$I935=""),"",$F935+ROW()/100000)</f>
        <v/>
      </c>
      <c r="T935">
        <f>IF($I935="","",IFERROR(INDEX(LIV_Cat,MATCH($I935,LIV_Code,0)),""))</f>
        <v/>
      </c>
    </row>
    <row r="936" ht="21" customHeight="1">
      <c r="A936" s="1" t="n"/>
      <c r="B936" s="1" t="n"/>
      <c r="C936" s="2" t="n"/>
      <c r="E936" s="130">
        <f>IF($F936="","","EMP-"&amp;TEXT(ROW()-6,"0000"))</f>
        <v/>
      </c>
      <c r="F936" s="134" t="n"/>
      <c r="G936" s="127" t="n"/>
      <c r="H936" s="130">
        <f>IF($G936="","",IFERROR(INDEX(MEM_Nom,MATCH($G936,MEM_ID,0)),"⚠ ID inconnu"))</f>
        <v/>
      </c>
      <c r="I936" s="127" t="n"/>
      <c r="J936" s="130">
        <f>IF($I936="","",IFERROR(INDEX(LIV_Titre,MATCH($I936,LIV_Code,0)),"⚠ Code inconnu"))</f>
        <v/>
      </c>
      <c r="K936" s="138">
        <f>IF($F936="","",$F936+P_Duree)</f>
        <v/>
      </c>
      <c r="L936" s="134" t="n"/>
      <c r="M936" s="130">
        <f>IF(OR($F936="",$I936=""),"",IF($L936&lt;&gt;"",IF($L936&gt;$K936,"Rendu en retard","Rendu"),IF(TODAY()&gt;$K936,"En retard","En cours")))</f>
        <v/>
      </c>
      <c r="N936" s="139">
        <f>IF(OR($F936="",$I936=""),"",MAX(0,IF($L936&lt;&gt;"",$L936,TODAY())-$K936))</f>
        <v/>
      </c>
      <c r="O936" s="135">
        <f>IF(OR($F936="",$I936=""),"",$N936*P_Amende)</f>
        <v/>
      </c>
      <c r="P936" s="133" t="n"/>
      <c r="R936">
        <f>IF($M936="En retard",$N936+ROW()/100000,"")</f>
        <v/>
      </c>
      <c r="S936">
        <f>IF(OR($F936="",$I936=""),"",$F936+ROW()/100000)</f>
        <v/>
      </c>
      <c r="T936">
        <f>IF($I936="","",IFERROR(INDEX(LIV_Cat,MATCH($I936,LIV_Code,0)),""))</f>
        <v/>
      </c>
    </row>
    <row r="937" ht="21" customHeight="1">
      <c r="A937" s="1" t="n"/>
      <c r="B937" s="1" t="n"/>
      <c r="C937" s="2" t="n"/>
      <c r="E937" s="130">
        <f>IF($F937="","","EMP-"&amp;TEXT(ROW()-6,"0000"))</f>
        <v/>
      </c>
      <c r="F937" s="134" t="n"/>
      <c r="G937" s="127" t="n"/>
      <c r="H937" s="130">
        <f>IF($G937="","",IFERROR(INDEX(MEM_Nom,MATCH($G937,MEM_ID,0)),"⚠ ID inconnu"))</f>
        <v/>
      </c>
      <c r="I937" s="127" t="n"/>
      <c r="J937" s="130">
        <f>IF($I937="","",IFERROR(INDEX(LIV_Titre,MATCH($I937,LIV_Code,0)),"⚠ Code inconnu"))</f>
        <v/>
      </c>
      <c r="K937" s="138">
        <f>IF($F937="","",$F937+P_Duree)</f>
        <v/>
      </c>
      <c r="L937" s="134" t="n"/>
      <c r="M937" s="130">
        <f>IF(OR($F937="",$I937=""),"",IF($L937&lt;&gt;"",IF($L937&gt;$K937,"Rendu en retard","Rendu"),IF(TODAY()&gt;$K937,"En retard","En cours")))</f>
        <v/>
      </c>
      <c r="N937" s="139">
        <f>IF(OR($F937="",$I937=""),"",MAX(0,IF($L937&lt;&gt;"",$L937,TODAY())-$K937))</f>
        <v/>
      </c>
      <c r="O937" s="135">
        <f>IF(OR($F937="",$I937=""),"",$N937*P_Amende)</f>
        <v/>
      </c>
      <c r="P937" s="133" t="n"/>
      <c r="R937">
        <f>IF($M937="En retard",$N937+ROW()/100000,"")</f>
        <v/>
      </c>
      <c r="S937">
        <f>IF(OR($F937="",$I937=""),"",$F937+ROW()/100000)</f>
        <v/>
      </c>
      <c r="T937">
        <f>IF($I937="","",IFERROR(INDEX(LIV_Cat,MATCH($I937,LIV_Code,0)),""))</f>
        <v/>
      </c>
    </row>
    <row r="938" ht="21" customHeight="1">
      <c r="A938" s="1" t="n"/>
      <c r="B938" s="1" t="n"/>
      <c r="C938" s="2" t="n"/>
      <c r="E938" s="130">
        <f>IF($F938="","","EMP-"&amp;TEXT(ROW()-6,"0000"))</f>
        <v/>
      </c>
      <c r="F938" s="134" t="n"/>
      <c r="G938" s="127" t="n"/>
      <c r="H938" s="130">
        <f>IF($G938="","",IFERROR(INDEX(MEM_Nom,MATCH($G938,MEM_ID,0)),"⚠ ID inconnu"))</f>
        <v/>
      </c>
      <c r="I938" s="127" t="n"/>
      <c r="J938" s="130">
        <f>IF($I938="","",IFERROR(INDEX(LIV_Titre,MATCH($I938,LIV_Code,0)),"⚠ Code inconnu"))</f>
        <v/>
      </c>
      <c r="K938" s="138">
        <f>IF($F938="","",$F938+P_Duree)</f>
        <v/>
      </c>
      <c r="L938" s="134" t="n"/>
      <c r="M938" s="130">
        <f>IF(OR($F938="",$I938=""),"",IF($L938&lt;&gt;"",IF($L938&gt;$K938,"Rendu en retard","Rendu"),IF(TODAY()&gt;$K938,"En retard","En cours")))</f>
        <v/>
      </c>
      <c r="N938" s="139">
        <f>IF(OR($F938="",$I938=""),"",MAX(0,IF($L938&lt;&gt;"",$L938,TODAY())-$K938))</f>
        <v/>
      </c>
      <c r="O938" s="135">
        <f>IF(OR($F938="",$I938=""),"",$N938*P_Amende)</f>
        <v/>
      </c>
      <c r="P938" s="133" t="n"/>
      <c r="R938">
        <f>IF($M938="En retard",$N938+ROW()/100000,"")</f>
        <v/>
      </c>
      <c r="S938">
        <f>IF(OR($F938="",$I938=""),"",$F938+ROW()/100000)</f>
        <v/>
      </c>
      <c r="T938">
        <f>IF($I938="","",IFERROR(INDEX(LIV_Cat,MATCH($I938,LIV_Code,0)),""))</f>
        <v/>
      </c>
    </row>
    <row r="939" ht="21" customHeight="1">
      <c r="A939" s="1" t="n"/>
      <c r="B939" s="1" t="n"/>
      <c r="C939" s="2" t="n"/>
      <c r="E939" s="130">
        <f>IF($F939="","","EMP-"&amp;TEXT(ROW()-6,"0000"))</f>
        <v/>
      </c>
      <c r="F939" s="134" t="n"/>
      <c r="G939" s="127" t="n"/>
      <c r="H939" s="130">
        <f>IF($G939="","",IFERROR(INDEX(MEM_Nom,MATCH($G939,MEM_ID,0)),"⚠ ID inconnu"))</f>
        <v/>
      </c>
      <c r="I939" s="127" t="n"/>
      <c r="J939" s="130">
        <f>IF($I939="","",IFERROR(INDEX(LIV_Titre,MATCH($I939,LIV_Code,0)),"⚠ Code inconnu"))</f>
        <v/>
      </c>
      <c r="K939" s="138">
        <f>IF($F939="","",$F939+P_Duree)</f>
        <v/>
      </c>
      <c r="L939" s="134" t="n"/>
      <c r="M939" s="130">
        <f>IF(OR($F939="",$I939=""),"",IF($L939&lt;&gt;"",IF($L939&gt;$K939,"Rendu en retard","Rendu"),IF(TODAY()&gt;$K939,"En retard","En cours")))</f>
        <v/>
      </c>
      <c r="N939" s="139">
        <f>IF(OR($F939="",$I939=""),"",MAX(0,IF($L939&lt;&gt;"",$L939,TODAY())-$K939))</f>
        <v/>
      </c>
      <c r="O939" s="135">
        <f>IF(OR($F939="",$I939=""),"",$N939*P_Amende)</f>
        <v/>
      </c>
      <c r="P939" s="133" t="n"/>
      <c r="R939">
        <f>IF($M939="En retard",$N939+ROW()/100000,"")</f>
        <v/>
      </c>
      <c r="S939">
        <f>IF(OR($F939="",$I939=""),"",$F939+ROW()/100000)</f>
        <v/>
      </c>
      <c r="T939">
        <f>IF($I939="","",IFERROR(INDEX(LIV_Cat,MATCH($I939,LIV_Code,0)),""))</f>
        <v/>
      </c>
    </row>
    <row r="940" ht="21" customHeight="1">
      <c r="A940" s="1" t="n"/>
      <c r="B940" s="1" t="n"/>
      <c r="C940" s="2" t="n"/>
      <c r="E940" s="130">
        <f>IF($F940="","","EMP-"&amp;TEXT(ROW()-6,"0000"))</f>
        <v/>
      </c>
      <c r="F940" s="134" t="n"/>
      <c r="G940" s="127" t="n"/>
      <c r="H940" s="130">
        <f>IF($G940="","",IFERROR(INDEX(MEM_Nom,MATCH($G940,MEM_ID,0)),"⚠ ID inconnu"))</f>
        <v/>
      </c>
      <c r="I940" s="127" t="n"/>
      <c r="J940" s="130">
        <f>IF($I940="","",IFERROR(INDEX(LIV_Titre,MATCH($I940,LIV_Code,0)),"⚠ Code inconnu"))</f>
        <v/>
      </c>
      <c r="K940" s="138">
        <f>IF($F940="","",$F940+P_Duree)</f>
        <v/>
      </c>
      <c r="L940" s="134" t="n"/>
      <c r="M940" s="130">
        <f>IF(OR($F940="",$I940=""),"",IF($L940&lt;&gt;"",IF($L940&gt;$K940,"Rendu en retard","Rendu"),IF(TODAY()&gt;$K940,"En retard","En cours")))</f>
        <v/>
      </c>
      <c r="N940" s="139">
        <f>IF(OR($F940="",$I940=""),"",MAX(0,IF($L940&lt;&gt;"",$L940,TODAY())-$K940))</f>
        <v/>
      </c>
      <c r="O940" s="135">
        <f>IF(OR($F940="",$I940=""),"",$N940*P_Amende)</f>
        <v/>
      </c>
      <c r="P940" s="133" t="n"/>
      <c r="R940">
        <f>IF($M940="En retard",$N940+ROW()/100000,"")</f>
        <v/>
      </c>
      <c r="S940">
        <f>IF(OR($F940="",$I940=""),"",$F940+ROW()/100000)</f>
        <v/>
      </c>
      <c r="T940">
        <f>IF($I940="","",IFERROR(INDEX(LIV_Cat,MATCH($I940,LIV_Code,0)),""))</f>
        <v/>
      </c>
    </row>
    <row r="941" ht="21" customHeight="1">
      <c r="A941" s="1" t="n"/>
      <c r="B941" s="1" t="n"/>
      <c r="C941" s="2" t="n"/>
      <c r="E941" s="130">
        <f>IF($F941="","","EMP-"&amp;TEXT(ROW()-6,"0000"))</f>
        <v/>
      </c>
      <c r="F941" s="134" t="n"/>
      <c r="G941" s="127" t="n"/>
      <c r="H941" s="130">
        <f>IF($G941="","",IFERROR(INDEX(MEM_Nom,MATCH($G941,MEM_ID,0)),"⚠ ID inconnu"))</f>
        <v/>
      </c>
      <c r="I941" s="127" t="n"/>
      <c r="J941" s="130">
        <f>IF($I941="","",IFERROR(INDEX(LIV_Titre,MATCH($I941,LIV_Code,0)),"⚠ Code inconnu"))</f>
        <v/>
      </c>
      <c r="K941" s="138">
        <f>IF($F941="","",$F941+P_Duree)</f>
        <v/>
      </c>
      <c r="L941" s="134" t="n"/>
      <c r="M941" s="130">
        <f>IF(OR($F941="",$I941=""),"",IF($L941&lt;&gt;"",IF($L941&gt;$K941,"Rendu en retard","Rendu"),IF(TODAY()&gt;$K941,"En retard","En cours")))</f>
        <v/>
      </c>
      <c r="N941" s="139">
        <f>IF(OR($F941="",$I941=""),"",MAX(0,IF($L941&lt;&gt;"",$L941,TODAY())-$K941))</f>
        <v/>
      </c>
      <c r="O941" s="135">
        <f>IF(OR($F941="",$I941=""),"",$N941*P_Amende)</f>
        <v/>
      </c>
      <c r="P941" s="133" t="n"/>
      <c r="R941">
        <f>IF($M941="En retard",$N941+ROW()/100000,"")</f>
        <v/>
      </c>
      <c r="S941">
        <f>IF(OR($F941="",$I941=""),"",$F941+ROW()/100000)</f>
        <v/>
      </c>
      <c r="T941">
        <f>IF($I941="","",IFERROR(INDEX(LIV_Cat,MATCH($I941,LIV_Code,0)),""))</f>
        <v/>
      </c>
    </row>
    <row r="942" ht="21" customHeight="1">
      <c r="A942" s="1" t="n"/>
      <c r="B942" s="1" t="n"/>
      <c r="C942" s="2" t="n"/>
      <c r="E942" s="130">
        <f>IF($F942="","","EMP-"&amp;TEXT(ROW()-6,"0000"))</f>
        <v/>
      </c>
      <c r="F942" s="134" t="n"/>
      <c r="G942" s="127" t="n"/>
      <c r="H942" s="130">
        <f>IF($G942="","",IFERROR(INDEX(MEM_Nom,MATCH($G942,MEM_ID,0)),"⚠ ID inconnu"))</f>
        <v/>
      </c>
      <c r="I942" s="127" t="n"/>
      <c r="J942" s="130">
        <f>IF($I942="","",IFERROR(INDEX(LIV_Titre,MATCH($I942,LIV_Code,0)),"⚠ Code inconnu"))</f>
        <v/>
      </c>
      <c r="K942" s="138">
        <f>IF($F942="","",$F942+P_Duree)</f>
        <v/>
      </c>
      <c r="L942" s="134" t="n"/>
      <c r="M942" s="130">
        <f>IF(OR($F942="",$I942=""),"",IF($L942&lt;&gt;"",IF($L942&gt;$K942,"Rendu en retard","Rendu"),IF(TODAY()&gt;$K942,"En retard","En cours")))</f>
        <v/>
      </c>
      <c r="N942" s="139">
        <f>IF(OR($F942="",$I942=""),"",MAX(0,IF($L942&lt;&gt;"",$L942,TODAY())-$K942))</f>
        <v/>
      </c>
      <c r="O942" s="135">
        <f>IF(OR($F942="",$I942=""),"",$N942*P_Amende)</f>
        <v/>
      </c>
      <c r="P942" s="133" t="n"/>
      <c r="R942">
        <f>IF($M942="En retard",$N942+ROW()/100000,"")</f>
        <v/>
      </c>
      <c r="S942">
        <f>IF(OR($F942="",$I942=""),"",$F942+ROW()/100000)</f>
        <v/>
      </c>
      <c r="T942">
        <f>IF($I942="","",IFERROR(INDEX(LIV_Cat,MATCH($I942,LIV_Code,0)),""))</f>
        <v/>
      </c>
    </row>
    <row r="943" ht="21" customHeight="1">
      <c r="A943" s="1" t="n"/>
      <c r="B943" s="1" t="n"/>
      <c r="C943" s="2" t="n"/>
      <c r="E943" s="130">
        <f>IF($F943="","","EMP-"&amp;TEXT(ROW()-6,"0000"))</f>
        <v/>
      </c>
      <c r="F943" s="134" t="n"/>
      <c r="G943" s="127" t="n"/>
      <c r="H943" s="130">
        <f>IF($G943="","",IFERROR(INDEX(MEM_Nom,MATCH($G943,MEM_ID,0)),"⚠ ID inconnu"))</f>
        <v/>
      </c>
      <c r="I943" s="127" t="n"/>
      <c r="J943" s="130">
        <f>IF($I943="","",IFERROR(INDEX(LIV_Titre,MATCH($I943,LIV_Code,0)),"⚠ Code inconnu"))</f>
        <v/>
      </c>
      <c r="K943" s="138">
        <f>IF($F943="","",$F943+P_Duree)</f>
        <v/>
      </c>
      <c r="L943" s="134" t="n"/>
      <c r="M943" s="130">
        <f>IF(OR($F943="",$I943=""),"",IF($L943&lt;&gt;"",IF($L943&gt;$K943,"Rendu en retard","Rendu"),IF(TODAY()&gt;$K943,"En retard","En cours")))</f>
        <v/>
      </c>
      <c r="N943" s="139">
        <f>IF(OR($F943="",$I943=""),"",MAX(0,IF($L943&lt;&gt;"",$L943,TODAY())-$K943))</f>
        <v/>
      </c>
      <c r="O943" s="135">
        <f>IF(OR($F943="",$I943=""),"",$N943*P_Amende)</f>
        <v/>
      </c>
      <c r="P943" s="133" t="n"/>
      <c r="R943">
        <f>IF($M943="En retard",$N943+ROW()/100000,"")</f>
        <v/>
      </c>
      <c r="S943">
        <f>IF(OR($F943="",$I943=""),"",$F943+ROW()/100000)</f>
        <v/>
      </c>
      <c r="T943">
        <f>IF($I943="","",IFERROR(INDEX(LIV_Cat,MATCH($I943,LIV_Code,0)),""))</f>
        <v/>
      </c>
    </row>
    <row r="944" ht="21" customHeight="1">
      <c r="A944" s="1" t="n"/>
      <c r="B944" s="1" t="n"/>
      <c r="C944" s="2" t="n"/>
      <c r="E944" s="130">
        <f>IF($F944="","","EMP-"&amp;TEXT(ROW()-6,"0000"))</f>
        <v/>
      </c>
      <c r="F944" s="134" t="n"/>
      <c r="G944" s="127" t="n"/>
      <c r="H944" s="130">
        <f>IF($G944="","",IFERROR(INDEX(MEM_Nom,MATCH($G944,MEM_ID,0)),"⚠ ID inconnu"))</f>
        <v/>
      </c>
      <c r="I944" s="127" t="n"/>
      <c r="J944" s="130">
        <f>IF($I944="","",IFERROR(INDEX(LIV_Titre,MATCH($I944,LIV_Code,0)),"⚠ Code inconnu"))</f>
        <v/>
      </c>
      <c r="K944" s="138">
        <f>IF($F944="","",$F944+P_Duree)</f>
        <v/>
      </c>
      <c r="L944" s="134" t="n"/>
      <c r="M944" s="130">
        <f>IF(OR($F944="",$I944=""),"",IF($L944&lt;&gt;"",IF($L944&gt;$K944,"Rendu en retard","Rendu"),IF(TODAY()&gt;$K944,"En retard","En cours")))</f>
        <v/>
      </c>
      <c r="N944" s="139">
        <f>IF(OR($F944="",$I944=""),"",MAX(0,IF($L944&lt;&gt;"",$L944,TODAY())-$K944))</f>
        <v/>
      </c>
      <c r="O944" s="135">
        <f>IF(OR($F944="",$I944=""),"",$N944*P_Amende)</f>
        <v/>
      </c>
      <c r="P944" s="133" t="n"/>
      <c r="R944">
        <f>IF($M944="En retard",$N944+ROW()/100000,"")</f>
        <v/>
      </c>
      <c r="S944">
        <f>IF(OR($F944="",$I944=""),"",$F944+ROW()/100000)</f>
        <v/>
      </c>
      <c r="T944">
        <f>IF($I944="","",IFERROR(INDEX(LIV_Cat,MATCH($I944,LIV_Code,0)),""))</f>
        <v/>
      </c>
    </row>
    <row r="945" ht="21" customHeight="1">
      <c r="A945" s="1" t="n"/>
      <c r="B945" s="1" t="n"/>
      <c r="C945" s="2" t="n"/>
      <c r="E945" s="130">
        <f>IF($F945="","","EMP-"&amp;TEXT(ROW()-6,"0000"))</f>
        <v/>
      </c>
      <c r="F945" s="134" t="n"/>
      <c r="G945" s="127" t="n"/>
      <c r="H945" s="130">
        <f>IF($G945="","",IFERROR(INDEX(MEM_Nom,MATCH($G945,MEM_ID,0)),"⚠ ID inconnu"))</f>
        <v/>
      </c>
      <c r="I945" s="127" t="n"/>
      <c r="J945" s="130">
        <f>IF($I945="","",IFERROR(INDEX(LIV_Titre,MATCH($I945,LIV_Code,0)),"⚠ Code inconnu"))</f>
        <v/>
      </c>
      <c r="K945" s="138">
        <f>IF($F945="","",$F945+P_Duree)</f>
        <v/>
      </c>
      <c r="L945" s="134" t="n"/>
      <c r="M945" s="130">
        <f>IF(OR($F945="",$I945=""),"",IF($L945&lt;&gt;"",IF($L945&gt;$K945,"Rendu en retard","Rendu"),IF(TODAY()&gt;$K945,"En retard","En cours")))</f>
        <v/>
      </c>
      <c r="N945" s="139">
        <f>IF(OR($F945="",$I945=""),"",MAX(0,IF($L945&lt;&gt;"",$L945,TODAY())-$K945))</f>
        <v/>
      </c>
      <c r="O945" s="135">
        <f>IF(OR($F945="",$I945=""),"",$N945*P_Amende)</f>
        <v/>
      </c>
      <c r="P945" s="133" t="n"/>
      <c r="R945">
        <f>IF($M945="En retard",$N945+ROW()/100000,"")</f>
        <v/>
      </c>
      <c r="S945">
        <f>IF(OR($F945="",$I945=""),"",$F945+ROW()/100000)</f>
        <v/>
      </c>
      <c r="T945">
        <f>IF($I945="","",IFERROR(INDEX(LIV_Cat,MATCH($I945,LIV_Code,0)),""))</f>
        <v/>
      </c>
    </row>
    <row r="946" ht="21" customHeight="1">
      <c r="A946" s="1" t="n"/>
      <c r="B946" s="1" t="n"/>
      <c r="C946" s="2" t="n"/>
      <c r="E946" s="130">
        <f>IF($F946="","","EMP-"&amp;TEXT(ROW()-6,"0000"))</f>
        <v/>
      </c>
      <c r="F946" s="134" t="n"/>
      <c r="G946" s="127" t="n"/>
      <c r="H946" s="130">
        <f>IF($G946="","",IFERROR(INDEX(MEM_Nom,MATCH($G946,MEM_ID,0)),"⚠ ID inconnu"))</f>
        <v/>
      </c>
      <c r="I946" s="127" t="n"/>
      <c r="J946" s="130">
        <f>IF($I946="","",IFERROR(INDEX(LIV_Titre,MATCH($I946,LIV_Code,0)),"⚠ Code inconnu"))</f>
        <v/>
      </c>
      <c r="K946" s="138">
        <f>IF($F946="","",$F946+P_Duree)</f>
        <v/>
      </c>
      <c r="L946" s="134" t="n"/>
      <c r="M946" s="130">
        <f>IF(OR($F946="",$I946=""),"",IF($L946&lt;&gt;"",IF($L946&gt;$K946,"Rendu en retard","Rendu"),IF(TODAY()&gt;$K946,"En retard","En cours")))</f>
        <v/>
      </c>
      <c r="N946" s="139">
        <f>IF(OR($F946="",$I946=""),"",MAX(0,IF($L946&lt;&gt;"",$L946,TODAY())-$K946))</f>
        <v/>
      </c>
      <c r="O946" s="135">
        <f>IF(OR($F946="",$I946=""),"",$N946*P_Amende)</f>
        <v/>
      </c>
      <c r="P946" s="133" t="n"/>
      <c r="R946">
        <f>IF($M946="En retard",$N946+ROW()/100000,"")</f>
        <v/>
      </c>
      <c r="S946">
        <f>IF(OR($F946="",$I946=""),"",$F946+ROW()/100000)</f>
        <v/>
      </c>
      <c r="T946">
        <f>IF($I946="","",IFERROR(INDEX(LIV_Cat,MATCH($I946,LIV_Code,0)),""))</f>
        <v/>
      </c>
    </row>
    <row r="947" ht="21" customHeight="1">
      <c r="A947" s="1" t="n"/>
      <c r="B947" s="1" t="n"/>
      <c r="C947" s="2" t="n"/>
      <c r="E947" s="130">
        <f>IF($F947="","","EMP-"&amp;TEXT(ROW()-6,"0000"))</f>
        <v/>
      </c>
      <c r="F947" s="134" t="n"/>
      <c r="G947" s="127" t="n"/>
      <c r="H947" s="130">
        <f>IF($G947="","",IFERROR(INDEX(MEM_Nom,MATCH($G947,MEM_ID,0)),"⚠ ID inconnu"))</f>
        <v/>
      </c>
      <c r="I947" s="127" t="n"/>
      <c r="J947" s="130">
        <f>IF($I947="","",IFERROR(INDEX(LIV_Titre,MATCH($I947,LIV_Code,0)),"⚠ Code inconnu"))</f>
        <v/>
      </c>
      <c r="K947" s="138">
        <f>IF($F947="","",$F947+P_Duree)</f>
        <v/>
      </c>
      <c r="L947" s="134" t="n"/>
      <c r="M947" s="130">
        <f>IF(OR($F947="",$I947=""),"",IF($L947&lt;&gt;"",IF($L947&gt;$K947,"Rendu en retard","Rendu"),IF(TODAY()&gt;$K947,"En retard","En cours")))</f>
        <v/>
      </c>
      <c r="N947" s="139">
        <f>IF(OR($F947="",$I947=""),"",MAX(0,IF($L947&lt;&gt;"",$L947,TODAY())-$K947))</f>
        <v/>
      </c>
      <c r="O947" s="135">
        <f>IF(OR($F947="",$I947=""),"",$N947*P_Amende)</f>
        <v/>
      </c>
      <c r="P947" s="133" t="n"/>
      <c r="R947">
        <f>IF($M947="En retard",$N947+ROW()/100000,"")</f>
        <v/>
      </c>
      <c r="S947">
        <f>IF(OR($F947="",$I947=""),"",$F947+ROW()/100000)</f>
        <v/>
      </c>
      <c r="T947">
        <f>IF($I947="","",IFERROR(INDEX(LIV_Cat,MATCH($I947,LIV_Code,0)),""))</f>
        <v/>
      </c>
    </row>
    <row r="948" ht="21" customHeight="1">
      <c r="A948" s="1" t="n"/>
      <c r="B948" s="1" t="n"/>
      <c r="C948" s="2" t="n"/>
      <c r="E948" s="130">
        <f>IF($F948="","","EMP-"&amp;TEXT(ROW()-6,"0000"))</f>
        <v/>
      </c>
      <c r="F948" s="134" t="n"/>
      <c r="G948" s="127" t="n"/>
      <c r="H948" s="130">
        <f>IF($G948="","",IFERROR(INDEX(MEM_Nom,MATCH($G948,MEM_ID,0)),"⚠ ID inconnu"))</f>
        <v/>
      </c>
      <c r="I948" s="127" t="n"/>
      <c r="J948" s="130">
        <f>IF($I948="","",IFERROR(INDEX(LIV_Titre,MATCH($I948,LIV_Code,0)),"⚠ Code inconnu"))</f>
        <v/>
      </c>
      <c r="K948" s="138">
        <f>IF($F948="","",$F948+P_Duree)</f>
        <v/>
      </c>
      <c r="L948" s="134" t="n"/>
      <c r="M948" s="130">
        <f>IF(OR($F948="",$I948=""),"",IF($L948&lt;&gt;"",IF($L948&gt;$K948,"Rendu en retard","Rendu"),IF(TODAY()&gt;$K948,"En retard","En cours")))</f>
        <v/>
      </c>
      <c r="N948" s="139">
        <f>IF(OR($F948="",$I948=""),"",MAX(0,IF($L948&lt;&gt;"",$L948,TODAY())-$K948))</f>
        <v/>
      </c>
      <c r="O948" s="135">
        <f>IF(OR($F948="",$I948=""),"",$N948*P_Amende)</f>
        <v/>
      </c>
      <c r="P948" s="133" t="n"/>
      <c r="R948">
        <f>IF($M948="En retard",$N948+ROW()/100000,"")</f>
        <v/>
      </c>
      <c r="S948">
        <f>IF(OR($F948="",$I948=""),"",$F948+ROW()/100000)</f>
        <v/>
      </c>
      <c r="T948">
        <f>IF($I948="","",IFERROR(INDEX(LIV_Cat,MATCH($I948,LIV_Code,0)),""))</f>
        <v/>
      </c>
    </row>
    <row r="949" ht="21" customHeight="1">
      <c r="A949" s="1" t="n"/>
      <c r="B949" s="1" t="n"/>
      <c r="C949" s="2" t="n"/>
      <c r="E949" s="130">
        <f>IF($F949="","","EMP-"&amp;TEXT(ROW()-6,"0000"))</f>
        <v/>
      </c>
      <c r="F949" s="134" t="n"/>
      <c r="G949" s="127" t="n"/>
      <c r="H949" s="130">
        <f>IF($G949="","",IFERROR(INDEX(MEM_Nom,MATCH($G949,MEM_ID,0)),"⚠ ID inconnu"))</f>
        <v/>
      </c>
      <c r="I949" s="127" t="n"/>
      <c r="J949" s="130">
        <f>IF($I949="","",IFERROR(INDEX(LIV_Titre,MATCH($I949,LIV_Code,0)),"⚠ Code inconnu"))</f>
        <v/>
      </c>
      <c r="K949" s="138">
        <f>IF($F949="","",$F949+P_Duree)</f>
        <v/>
      </c>
      <c r="L949" s="134" t="n"/>
      <c r="M949" s="130">
        <f>IF(OR($F949="",$I949=""),"",IF($L949&lt;&gt;"",IF($L949&gt;$K949,"Rendu en retard","Rendu"),IF(TODAY()&gt;$K949,"En retard","En cours")))</f>
        <v/>
      </c>
      <c r="N949" s="139">
        <f>IF(OR($F949="",$I949=""),"",MAX(0,IF($L949&lt;&gt;"",$L949,TODAY())-$K949))</f>
        <v/>
      </c>
      <c r="O949" s="135">
        <f>IF(OR($F949="",$I949=""),"",$N949*P_Amende)</f>
        <v/>
      </c>
      <c r="P949" s="133" t="n"/>
      <c r="R949">
        <f>IF($M949="En retard",$N949+ROW()/100000,"")</f>
        <v/>
      </c>
      <c r="S949">
        <f>IF(OR($F949="",$I949=""),"",$F949+ROW()/100000)</f>
        <v/>
      </c>
      <c r="T949">
        <f>IF($I949="","",IFERROR(INDEX(LIV_Cat,MATCH($I949,LIV_Code,0)),""))</f>
        <v/>
      </c>
    </row>
    <row r="950" ht="21" customHeight="1">
      <c r="A950" s="1" t="n"/>
      <c r="B950" s="1" t="n"/>
      <c r="C950" s="2" t="n"/>
      <c r="E950" s="130">
        <f>IF($F950="","","EMP-"&amp;TEXT(ROW()-6,"0000"))</f>
        <v/>
      </c>
      <c r="F950" s="134" t="n"/>
      <c r="G950" s="127" t="n"/>
      <c r="H950" s="130">
        <f>IF($G950="","",IFERROR(INDEX(MEM_Nom,MATCH($G950,MEM_ID,0)),"⚠ ID inconnu"))</f>
        <v/>
      </c>
      <c r="I950" s="127" t="n"/>
      <c r="J950" s="130">
        <f>IF($I950="","",IFERROR(INDEX(LIV_Titre,MATCH($I950,LIV_Code,0)),"⚠ Code inconnu"))</f>
        <v/>
      </c>
      <c r="K950" s="138">
        <f>IF($F950="","",$F950+P_Duree)</f>
        <v/>
      </c>
      <c r="L950" s="134" t="n"/>
      <c r="M950" s="130">
        <f>IF(OR($F950="",$I950=""),"",IF($L950&lt;&gt;"",IF($L950&gt;$K950,"Rendu en retard","Rendu"),IF(TODAY()&gt;$K950,"En retard","En cours")))</f>
        <v/>
      </c>
      <c r="N950" s="139">
        <f>IF(OR($F950="",$I950=""),"",MAX(0,IF($L950&lt;&gt;"",$L950,TODAY())-$K950))</f>
        <v/>
      </c>
      <c r="O950" s="135">
        <f>IF(OR($F950="",$I950=""),"",$N950*P_Amende)</f>
        <v/>
      </c>
      <c r="P950" s="133" t="n"/>
      <c r="R950">
        <f>IF($M950="En retard",$N950+ROW()/100000,"")</f>
        <v/>
      </c>
      <c r="S950">
        <f>IF(OR($F950="",$I950=""),"",$F950+ROW()/100000)</f>
        <v/>
      </c>
      <c r="T950">
        <f>IF($I950="","",IFERROR(INDEX(LIV_Cat,MATCH($I950,LIV_Code,0)),""))</f>
        <v/>
      </c>
    </row>
    <row r="951" ht="21" customHeight="1">
      <c r="A951" s="1" t="n"/>
      <c r="B951" s="1" t="n"/>
      <c r="C951" s="2" t="n"/>
      <c r="E951" s="130">
        <f>IF($F951="","","EMP-"&amp;TEXT(ROW()-6,"0000"))</f>
        <v/>
      </c>
      <c r="F951" s="134" t="n"/>
      <c r="G951" s="127" t="n"/>
      <c r="H951" s="130">
        <f>IF($G951="","",IFERROR(INDEX(MEM_Nom,MATCH($G951,MEM_ID,0)),"⚠ ID inconnu"))</f>
        <v/>
      </c>
      <c r="I951" s="127" t="n"/>
      <c r="J951" s="130">
        <f>IF($I951="","",IFERROR(INDEX(LIV_Titre,MATCH($I951,LIV_Code,0)),"⚠ Code inconnu"))</f>
        <v/>
      </c>
      <c r="K951" s="138">
        <f>IF($F951="","",$F951+P_Duree)</f>
        <v/>
      </c>
      <c r="L951" s="134" t="n"/>
      <c r="M951" s="130">
        <f>IF(OR($F951="",$I951=""),"",IF($L951&lt;&gt;"",IF($L951&gt;$K951,"Rendu en retard","Rendu"),IF(TODAY()&gt;$K951,"En retard","En cours")))</f>
        <v/>
      </c>
      <c r="N951" s="139">
        <f>IF(OR($F951="",$I951=""),"",MAX(0,IF($L951&lt;&gt;"",$L951,TODAY())-$K951))</f>
        <v/>
      </c>
      <c r="O951" s="135">
        <f>IF(OR($F951="",$I951=""),"",$N951*P_Amende)</f>
        <v/>
      </c>
      <c r="P951" s="133" t="n"/>
      <c r="R951">
        <f>IF($M951="En retard",$N951+ROW()/100000,"")</f>
        <v/>
      </c>
      <c r="S951">
        <f>IF(OR($F951="",$I951=""),"",$F951+ROW()/100000)</f>
        <v/>
      </c>
      <c r="T951">
        <f>IF($I951="","",IFERROR(INDEX(LIV_Cat,MATCH($I951,LIV_Code,0)),""))</f>
        <v/>
      </c>
    </row>
    <row r="952" ht="21" customHeight="1">
      <c r="A952" s="1" t="n"/>
      <c r="B952" s="1" t="n"/>
      <c r="C952" s="2" t="n"/>
      <c r="E952" s="130">
        <f>IF($F952="","","EMP-"&amp;TEXT(ROW()-6,"0000"))</f>
        <v/>
      </c>
      <c r="F952" s="134" t="n"/>
      <c r="G952" s="127" t="n"/>
      <c r="H952" s="130">
        <f>IF($G952="","",IFERROR(INDEX(MEM_Nom,MATCH($G952,MEM_ID,0)),"⚠ ID inconnu"))</f>
        <v/>
      </c>
      <c r="I952" s="127" t="n"/>
      <c r="J952" s="130">
        <f>IF($I952="","",IFERROR(INDEX(LIV_Titre,MATCH($I952,LIV_Code,0)),"⚠ Code inconnu"))</f>
        <v/>
      </c>
      <c r="K952" s="138">
        <f>IF($F952="","",$F952+P_Duree)</f>
        <v/>
      </c>
      <c r="L952" s="134" t="n"/>
      <c r="M952" s="130">
        <f>IF(OR($F952="",$I952=""),"",IF($L952&lt;&gt;"",IF($L952&gt;$K952,"Rendu en retard","Rendu"),IF(TODAY()&gt;$K952,"En retard","En cours")))</f>
        <v/>
      </c>
      <c r="N952" s="139">
        <f>IF(OR($F952="",$I952=""),"",MAX(0,IF($L952&lt;&gt;"",$L952,TODAY())-$K952))</f>
        <v/>
      </c>
      <c r="O952" s="135">
        <f>IF(OR($F952="",$I952=""),"",$N952*P_Amende)</f>
        <v/>
      </c>
      <c r="P952" s="133" t="n"/>
      <c r="R952">
        <f>IF($M952="En retard",$N952+ROW()/100000,"")</f>
        <v/>
      </c>
      <c r="S952">
        <f>IF(OR($F952="",$I952=""),"",$F952+ROW()/100000)</f>
        <v/>
      </c>
      <c r="T952">
        <f>IF($I952="","",IFERROR(INDEX(LIV_Cat,MATCH($I952,LIV_Code,0)),""))</f>
        <v/>
      </c>
    </row>
    <row r="953" ht="21" customHeight="1">
      <c r="A953" s="1" t="n"/>
      <c r="B953" s="1" t="n"/>
      <c r="C953" s="2" t="n"/>
      <c r="E953" s="130">
        <f>IF($F953="","","EMP-"&amp;TEXT(ROW()-6,"0000"))</f>
        <v/>
      </c>
      <c r="F953" s="134" t="n"/>
      <c r="G953" s="127" t="n"/>
      <c r="H953" s="130">
        <f>IF($G953="","",IFERROR(INDEX(MEM_Nom,MATCH($G953,MEM_ID,0)),"⚠ ID inconnu"))</f>
        <v/>
      </c>
      <c r="I953" s="127" t="n"/>
      <c r="J953" s="130">
        <f>IF($I953="","",IFERROR(INDEX(LIV_Titre,MATCH($I953,LIV_Code,0)),"⚠ Code inconnu"))</f>
        <v/>
      </c>
      <c r="K953" s="138">
        <f>IF($F953="","",$F953+P_Duree)</f>
        <v/>
      </c>
      <c r="L953" s="134" t="n"/>
      <c r="M953" s="130">
        <f>IF(OR($F953="",$I953=""),"",IF($L953&lt;&gt;"",IF($L953&gt;$K953,"Rendu en retard","Rendu"),IF(TODAY()&gt;$K953,"En retard","En cours")))</f>
        <v/>
      </c>
      <c r="N953" s="139">
        <f>IF(OR($F953="",$I953=""),"",MAX(0,IF($L953&lt;&gt;"",$L953,TODAY())-$K953))</f>
        <v/>
      </c>
      <c r="O953" s="135">
        <f>IF(OR($F953="",$I953=""),"",$N953*P_Amende)</f>
        <v/>
      </c>
      <c r="P953" s="133" t="n"/>
      <c r="R953">
        <f>IF($M953="En retard",$N953+ROW()/100000,"")</f>
        <v/>
      </c>
      <c r="S953">
        <f>IF(OR($F953="",$I953=""),"",$F953+ROW()/100000)</f>
        <v/>
      </c>
      <c r="T953">
        <f>IF($I953="","",IFERROR(INDEX(LIV_Cat,MATCH($I953,LIV_Code,0)),""))</f>
        <v/>
      </c>
    </row>
    <row r="954" ht="21" customHeight="1">
      <c r="A954" s="1" t="n"/>
      <c r="B954" s="1" t="n"/>
      <c r="C954" s="2" t="n"/>
      <c r="E954" s="130">
        <f>IF($F954="","","EMP-"&amp;TEXT(ROW()-6,"0000"))</f>
        <v/>
      </c>
      <c r="F954" s="134" t="n"/>
      <c r="G954" s="127" t="n"/>
      <c r="H954" s="130">
        <f>IF($G954="","",IFERROR(INDEX(MEM_Nom,MATCH($G954,MEM_ID,0)),"⚠ ID inconnu"))</f>
        <v/>
      </c>
      <c r="I954" s="127" t="n"/>
      <c r="J954" s="130">
        <f>IF($I954="","",IFERROR(INDEX(LIV_Titre,MATCH($I954,LIV_Code,0)),"⚠ Code inconnu"))</f>
        <v/>
      </c>
      <c r="K954" s="138">
        <f>IF($F954="","",$F954+P_Duree)</f>
        <v/>
      </c>
      <c r="L954" s="134" t="n"/>
      <c r="M954" s="130">
        <f>IF(OR($F954="",$I954=""),"",IF($L954&lt;&gt;"",IF($L954&gt;$K954,"Rendu en retard","Rendu"),IF(TODAY()&gt;$K954,"En retard","En cours")))</f>
        <v/>
      </c>
      <c r="N954" s="139">
        <f>IF(OR($F954="",$I954=""),"",MAX(0,IF($L954&lt;&gt;"",$L954,TODAY())-$K954))</f>
        <v/>
      </c>
      <c r="O954" s="135">
        <f>IF(OR($F954="",$I954=""),"",$N954*P_Amende)</f>
        <v/>
      </c>
      <c r="P954" s="133" t="n"/>
      <c r="R954">
        <f>IF($M954="En retard",$N954+ROW()/100000,"")</f>
        <v/>
      </c>
      <c r="S954">
        <f>IF(OR($F954="",$I954=""),"",$F954+ROW()/100000)</f>
        <v/>
      </c>
      <c r="T954">
        <f>IF($I954="","",IFERROR(INDEX(LIV_Cat,MATCH($I954,LIV_Code,0)),""))</f>
        <v/>
      </c>
    </row>
    <row r="955" ht="21" customHeight="1">
      <c r="A955" s="1" t="n"/>
      <c r="B955" s="1" t="n"/>
      <c r="C955" s="2" t="n"/>
      <c r="E955" s="130">
        <f>IF($F955="","","EMP-"&amp;TEXT(ROW()-6,"0000"))</f>
        <v/>
      </c>
      <c r="F955" s="134" t="n"/>
      <c r="G955" s="127" t="n"/>
      <c r="H955" s="130">
        <f>IF($G955="","",IFERROR(INDEX(MEM_Nom,MATCH($G955,MEM_ID,0)),"⚠ ID inconnu"))</f>
        <v/>
      </c>
      <c r="I955" s="127" t="n"/>
      <c r="J955" s="130">
        <f>IF($I955="","",IFERROR(INDEX(LIV_Titre,MATCH($I955,LIV_Code,0)),"⚠ Code inconnu"))</f>
        <v/>
      </c>
      <c r="K955" s="138">
        <f>IF($F955="","",$F955+P_Duree)</f>
        <v/>
      </c>
      <c r="L955" s="134" t="n"/>
      <c r="M955" s="130">
        <f>IF(OR($F955="",$I955=""),"",IF($L955&lt;&gt;"",IF($L955&gt;$K955,"Rendu en retard","Rendu"),IF(TODAY()&gt;$K955,"En retard","En cours")))</f>
        <v/>
      </c>
      <c r="N955" s="139">
        <f>IF(OR($F955="",$I955=""),"",MAX(0,IF($L955&lt;&gt;"",$L955,TODAY())-$K955))</f>
        <v/>
      </c>
      <c r="O955" s="135">
        <f>IF(OR($F955="",$I955=""),"",$N955*P_Amende)</f>
        <v/>
      </c>
      <c r="P955" s="133" t="n"/>
      <c r="R955">
        <f>IF($M955="En retard",$N955+ROW()/100000,"")</f>
        <v/>
      </c>
      <c r="S955">
        <f>IF(OR($F955="",$I955=""),"",$F955+ROW()/100000)</f>
        <v/>
      </c>
      <c r="T955">
        <f>IF($I955="","",IFERROR(INDEX(LIV_Cat,MATCH($I955,LIV_Code,0)),""))</f>
        <v/>
      </c>
    </row>
    <row r="956" ht="21" customHeight="1">
      <c r="A956" s="1" t="n"/>
      <c r="B956" s="1" t="n"/>
      <c r="C956" s="2" t="n"/>
      <c r="E956" s="130">
        <f>IF($F956="","","EMP-"&amp;TEXT(ROW()-6,"0000"))</f>
        <v/>
      </c>
      <c r="F956" s="134" t="n"/>
      <c r="G956" s="127" t="n"/>
      <c r="H956" s="130">
        <f>IF($G956="","",IFERROR(INDEX(MEM_Nom,MATCH($G956,MEM_ID,0)),"⚠ ID inconnu"))</f>
        <v/>
      </c>
      <c r="I956" s="127" t="n"/>
      <c r="J956" s="130">
        <f>IF($I956="","",IFERROR(INDEX(LIV_Titre,MATCH($I956,LIV_Code,0)),"⚠ Code inconnu"))</f>
        <v/>
      </c>
      <c r="K956" s="138">
        <f>IF($F956="","",$F956+P_Duree)</f>
        <v/>
      </c>
      <c r="L956" s="134" t="n"/>
      <c r="M956" s="130">
        <f>IF(OR($F956="",$I956=""),"",IF($L956&lt;&gt;"",IF($L956&gt;$K956,"Rendu en retard","Rendu"),IF(TODAY()&gt;$K956,"En retard","En cours")))</f>
        <v/>
      </c>
      <c r="N956" s="139">
        <f>IF(OR($F956="",$I956=""),"",MAX(0,IF($L956&lt;&gt;"",$L956,TODAY())-$K956))</f>
        <v/>
      </c>
      <c r="O956" s="135">
        <f>IF(OR($F956="",$I956=""),"",$N956*P_Amende)</f>
        <v/>
      </c>
      <c r="P956" s="133" t="n"/>
      <c r="R956">
        <f>IF($M956="En retard",$N956+ROW()/100000,"")</f>
        <v/>
      </c>
      <c r="S956">
        <f>IF(OR($F956="",$I956=""),"",$F956+ROW()/100000)</f>
        <v/>
      </c>
      <c r="T956">
        <f>IF($I956="","",IFERROR(INDEX(LIV_Cat,MATCH($I956,LIV_Code,0)),""))</f>
        <v/>
      </c>
    </row>
    <row r="957" ht="21" customHeight="1">
      <c r="A957" s="1" t="n"/>
      <c r="B957" s="1" t="n"/>
      <c r="C957" s="2" t="n"/>
      <c r="E957" s="130">
        <f>IF($F957="","","EMP-"&amp;TEXT(ROW()-6,"0000"))</f>
        <v/>
      </c>
      <c r="F957" s="134" t="n"/>
      <c r="G957" s="127" t="n"/>
      <c r="H957" s="130">
        <f>IF($G957="","",IFERROR(INDEX(MEM_Nom,MATCH($G957,MEM_ID,0)),"⚠ ID inconnu"))</f>
        <v/>
      </c>
      <c r="I957" s="127" t="n"/>
      <c r="J957" s="130">
        <f>IF($I957="","",IFERROR(INDEX(LIV_Titre,MATCH($I957,LIV_Code,0)),"⚠ Code inconnu"))</f>
        <v/>
      </c>
      <c r="K957" s="138">
        <f>IF($F957="","",$F957+P_Duree)</f>
        <v/>
      </c>
      <c r="L957" s="134" t="n"/>
      <c r="M957" s="130">
        <f>IF(OR($F957="",$I957=""),"",IF($L957&lt;&gt;"",IF($L957&gt;$K957,"Rendu en retard","Rendu"),IF(TODAY()&gt;$K957,"En retard","En cours")))</f>
        <v/>
      </c>
      <c r="N957" s="139">
        <f>IF(OR($F957="",$I957=""),"",MAX(0,IF($L957&lt;&gt;"",$L957,TODAY())-$K957))</f>
        <v/>
      </c>
      <c r="O957" s="135">
        <f>IF(OR($F957="",$I957=""),"",$N957*P_Amende)</f>
        <v/>
      </c>
      <c r="P957" s="133" t="n"/>
      <c r="R957">
        <f>IF($M957="En retard",$N957+ROW()/100000,"")</f>
        <v/>
      </c>
      <c r="S957">
        <f>IF(OR($F957="",$I957=""),"",$F957+ROW()/100000)</f>
        <v/>
      </c>
      <c r="T957">
        <f>IF($I957="","",IFERROR(INDEX(LIV_Cat,MATCH($I957,LIV_Code,0)),""))</f>
        <v/>
      </c>
    </row>
    <row r="958" ht="21" customHeight="1">
      <c r="A958" s="1" t="n"/>
      <c r="B958" s="1" t="n"/>
      <c r="C958" s="2" t="n"/>
      <c r="E958" s="130">
        <f>IF($F958="","","EMP-"&amp;TEXT(ROW()-6,"0000"))</f>
        <v/>
      </c>
      <c r="F958" s="134" t="n"/>
      <c r="G958" s="127" t="n"/>
      <c r="H958" s="130">
        <f>IF($G958="","",IFERROR(INDEX(MEM_Nom,MATCH($G958,MEM_ID,0)),"⚠ ID inconnu"))</f>
        <v/>
      </c>
      <c r="I958" s="127" t="n"/>
      <c r="J958" s="130">
        <f>IF($I958="","",IFERROR(INDEX(LIV_Titre,MATCH($I958,LIV_Code,0)),"⚠ Code inconnu"))</f>
        <v/>
      </c>
      <c r="K958" s="138">
        <f>IF($F958="","",$F958+P_Duree)</f>
        <v/>
      </c>
      <c r="L958" s="134" t="n"/>
      <c r="M958" s="130">
        <f>IF(OR($F958="",$I958=""),"",IF($L958&lt;&gt;"",IF($L958&gt;$K958,"Rendu en retard","Rendu"),IF(TODAY()&gt;$K958,"En retard","En cours")))</f>
        <v/>
      </c>
      <c r="N958" s="139">
        <f>IF(OR($F958="",$I958=""),"",MAX(0,IF($L958&lt;&gt;"",$L958,TODAY())-$K958))</f>
        <v/>
      </c>
      <c r="O958" s="135">
        <f>IF(OR($F958="",$I958=""),"",$N958*P_Amende)</f>
        <v/>
      </c>
      <c r="P958" s="133" t="n"/>
      <c r="R958">
        <f>IF($M958="En retard",$N958+ROW()/100000,"")</f>
        <v/>
      </c>
      <c r="S958">
        <f>IF(OR($F958="",$I958=""),"",$F958+ROW()/100000)</f>
        <v/>
      </c>
      <c r="T958">
        <f>IF($I958="","",IFERROR(INDEX(LIV_Cat,MATCH($I958,LIV_Code,0)),""))</f>
        <v/>
      </c>
    </row>
    <row r="959" ht="21" customHeight="1">
      <c r="A959" s="1" t="n"/>
      <c r="B959" s="1" t="n"/>
      <c r="C959" s="2" t="n"/>
      <c r="E959" s="130">
        <f>IF($F959="","","EMP-"&amp;TEXT(ROW()-6,"0000"))</f>
        <v/>
      </c>
      <c r="F959" s="134" t="n"/>
      <c r="G959" s="127" t="n"/>
      <c r="H959" s="130">
        <f>IF($G959="","",IFERROR(INDEX(MEM_Nom,MATCH($G959,MEM_ID,0)),"⚠ ID inconnu"))</f>
        <v/>
      </c>
      <c r="I959" s="127" t="n"/>
      <c r="J959" s="130">
        <f>IF($I959="","",IFERROR(INDEX(LIV_Titre,MATCH($I959,LIV_Code,0)),"⚠ Code inconnu"))</f>
        <v/>
      </c>
      <c r="K959" s="138">
        <f>IF($F959="","",$F959+P_Duree)</f>
        <v/>
      </c>
      <c r="L959" s="134" t="n"/>
      <c r="M959" s="130">
        <f>IF(OR($F959="",$I959=""),"",IF($L959&lt;&gt;"",IF($L959&gt;$K959,"Rendu en retard","Rendu"),IF(TODAY()&gt;$K959,"En retard","En cours")))</f>
        <v/>
      </c>
      <c r="N959" s="139">
        <f>IF(OR($F959="",$I959=""),"",MAX(0,IF($L959&lt;&gt;"",$L959,TODAY())-$K959))</f>
        <v/>
      </c>
      <c r="O959" s="135">
        <f>IF(OR($F959="",$I959=""),"",$N959*P_Amende)</f>
        <v/>
      </c>
      <c r="P959" s="133" t="n"/>
      <c r="R959">
        <f>IF($M959="En retard",$N959+ROW()/100000,"")</f>
        <v/>
      </c>
      <c r="S959">
        <f>IF(OR($F959="",$I959=""),"",$F959+ROW()/100000)</f>
        <v/>
      </c>
      <c r="T959">
        <f>IF($I959="","",IFERROR(INDEX(LIV_Cat,MATCH($I959,LIV_Code,0)),""))</f>
        <v/>
      </c>
    </row>
    <row r="960" ht="21" customHeight="1">
      <c r="A960" s="1" t="n"/>
      <c r="B960" s="1" t="n"/>
      <c r="C960" s="2" t="n"/>
      <c r="E960" s="130">
        <f>IF($F960="","","EMP-"&amp;TEXT(ROW()-6,"0000"))</f>
        <v/>
      </c>
      <c r="F960" s="134" t="n"/>
      <c r="G960" s="127" t="n"/>
      <c r="H960" s="130">
        <f>IF($G960="","",IFERROR(INDEX(MEM_Nom,MATCH($G960,MEM_ID,0)),"⚠ ID inconnu"))</f>
        <v/>
      </c>
      <c r="I960" s="127" t="n"/>
      <c r="J960" s="130">
        <f>IF($I960="","",IFERROR(INDEX(LIV_Titre,MATCH($I960,LIV_Code,0)),"⚠ Code inconnu"))</f>
        <v/>
      </c>
      <c r="K960" s="138">
        <f>IF($F960="","",$F960+P_Duree)</f>
        <v/>
      </c>
      <c r="L960" s="134" t="n"/>
      <c r="M960" s="130">
        <f>IF(OR($F960="",$I960=""),"",IF($L960&lt;&gt;"",IF($L960&gt;$K960,"Rendu en retard","Rendu"),IF(TODAY()&gt;$K960,"En retard","En cours")))</f>
        <v/>
      </c>
      <c r="N960" s="139">
        <f>IF(OR($F960="",$I960=""),"",MAX(0,IF($L960&lt;&gt;"",$L960,TODAY())-$K960))</f>
        <v/>
      </c>
      <c r="O960" s="135">
        <f>IF(OR($F960="",$I960=""),"",$N960*P_Amende)</f>
        <v/>
      </c>
      <c r="P960" s="133" t="n"/>
      <c r="R960">
        <f>IF($M960="En retard",$N960+ROW()/100000,"")</f>
        <v/>
      </c>
      <c r="S960">
        <f>IF(OR($F960="",$I960=""),"",$F960+ROW()/100000)</f>
        <v/>
      </c>
      <c r="T960">
        <f>IF($I960="","",IFERROR(INDEX(LIV_Cat,MATCH($I960,LIV_Code,0)),""))</f>
        <v/>
      </c>
    </row>
    <row r="961" ht="21" customHeight="1">
      <c r="A961" s="1" t="n"/>
      <c r="B961" s="1" t="n"/>
      <c r="C961" s="2" t="n"/>
      <c r="E961" s="130">
        <f>IF($F961="","","EMP-"&amp;TEXT(ROW()-6,"0000"))</f>
        <v/>
      </c>
      <c r="F961" s="134" t="n"/>
      <c r="G961" s="127" t="n"/>
      <c r="H961" s="130">
        <f>IF($G961="","",IFERROR(INDEX(MEM_Nom,MATCH($G961,MEM_ID,0)),"⚠ ID inconnu"))</f>
        <v/>
      </c>
      <c r="I961" s="127" t="n"/>
      <c r="J961" s="130">
        <f>IF($I961="","",IFERROR(INDEX(LIV_Titre,MATCH($I961,LIV_Code,0)),"⚠ Code inconnu"))</f>
        <v/>
      </c>
      <c r="K961" s="138">
        <f>IF($F961="","",$F961+P_Duree)</f>
        <v/>
      </c>
      <c r="L961" s="134" t="n"/>
      <c r="M961" s="130">
        <f>IF(OR($F961="",$I961=""),"",IF($L961&lt;&gt;"",IF($L961&gt;$K961,"Rendu en retard","Rendu"),IF(TODAY()&gt;$K961,"En retard","En cours")))</f>
        <v/>
      </c>
      <c r="N961" s="139">
        <f>IF(OR($F961="",$I961=""),"",MAX(0,IF($L961&lt;&gt;"",$L961,TODAY())-$K961))</f>
        <v/>
      </c>
      <c r="O961" s="135">
        <f>IF(OR($F961="",$I961=""),"",$N961*P_Amende)</f>
        <v/>
      </c>
      <c r="P961" s="133" t="n"/>
      <c r="R961">
        <f>IF($M961="En retard",$N961+ROW()/100000,"")</f>
        <v/>
      </c>
      <c r="S961">
        <f>IF(OR($F961="",$I961=""),"",$F961+ROW()/100000)</f>
        <v/>
      </c>
      <c r="T961">
        <f>IF($I961="","",IFERROR(INDEX(LIV_Cat,MATCH($I961,LIV_Code,0)),""))</f>
        <v/>
      </c>
    </row>
    <row r="962" ht="21" customHeight="1">
      <c r="A962" s="1" t="n"/>
      <c r="B962" s="1" t="n"/>
      <c r="C962" s="2" t="n"/>
      <c r="E962" s="130">
        <f>IF($F962="","","EMP-"&amp;TEXT(ROW()-6,"0000"))</f>
        <v/>
      </c>
      <c r="F962" s="134" t="n"/>
      <c r="G962" s="127" t="n"/>
      <c r="H962" s="130">
        <f>IF($G962="","",IFERROR(INDEX(MEM_Nom,MATCH($G962,MEM_ID,0)),"⚠ ID inconnu"))</f>
        <v/>
      </c>
      <c r="I962" s="127" t="n"/>
      <c r="J962" s="130">
        <f>IF($I962="","",IFERROR(INDEX(LIV_Titre,MATCH($I962,LIV_Code,0)),"⚠ Code inconnu"))</f>
        <v/>
      </c>
      <c r="K962" s="138">
        <f>IF($F962="","",$F962+P_Duree)</f>
        <v/>
      </c>
      <c r="L962" s="134" t="n"/>
      <c r="M962" s="130">
        <f>IF(OR($F962="",$I962=""),"",IF($L962&lt;&gt;"",IF($L962&gt;$K962,"Rendu en retard","Rendu"),IF(TODAY()&gt;$K962,"En retard","En cours")))</f>
        <v/>
      </c>
      <c r="N962" s="139">
        <f>IF(OR($F962="",$I962=""),"",MAX(0,IF($L962&lt;&gt;"",$L962,TODAY())-$K962))</f>
        <v/>
      </c>
      <c r="O962" s="135">
        <f>IF(OR($F962="",$I962=""),"",$N962*P_Amende)</f>
        <v/>
      </c>
      <c r="P962" s="133" t="n"/>
      <c r="R962">
        <f>IF($M962="En retard",$N962+ROW()/100000,"")</f>
        <v/>
      </c>
      <c r="S962">
        <f>IF(OR($F962="",$I962=""),"",$F962+ROW()/100000)</f>
        <v/>
      </c>
      <c r="T962">
        <f>IF($I962="","",IFERROR(INDEX(LIV_Cat,MATCH($I962,LIV_Code,0)),""))</f>
        <v/>
      </c>
    </row>
    <row r="963" ht="21" customHeight="1">
      <c r="A963" s="1" t="n"/>
      <c r="B963" s="1" t="n"/>
      <c r="C963" s="2" t="n"/>
      <c r="E963" s="130">
        <f>IF($F963="","","EMP-"&amp;TEXT(ROW()-6,"0000"))</f>
        <v/>
      </c>
      <c r="F963" s="134" t="n"/>
      <c r="G963" s="127" t="n"/>
      <c r="H963" s="130">
        <f>IF($G963="","",IFERROR(INDEX(MEM_Nom,MATCH($G963,MEM_ID,0)),"⚠ ID inconnu"))</f>
        <v/>
      </c>
      <c r="I963" s="127" t="n"/>
      <c r="J963" s="130">
        <f>IF($I963="","",IFERROR(INDEX(LIV_Titre,MATCH($I963,LIV_Code,0)),"⚠ Code inconnu"))</f>
        <v/>
      </c>
      <c r="K963" s="138">
        <f>IF($F963="","",$F963+P_Duree)</f>
        <v/>
      </c>
      <c r="L963" s="134" t="n"/>
      <c r="M963" s="130">
        <f>IF(OR($F963="",$I963=""),"",IF($L963&lt;&gt;"",IF($L963&gt;$K963,"Rendu en retard","Rendu"),IF(TODAY()&gt;$K963,"En retard","En cours")))</f>
        <v/>
      </c>
      <c r="N963" s="139">
        <f>IF(OR($F963="",$I963=""),"",MAX(0,IF($L963&lt;&gt;"",$L963,TODAY())-$K963))</f>
        <v/>
      </c>
      <c r="O963" s="135">
        <f>IF(OR($F963="",$I963=""),"",$N963*P_Amende)</f>
        <v/>
      </c>
      <c r="P963" s="133" t="n"/>
      <c r="R963">
        <f>IF($M963="En retard",$N963+ROW()/100000,"")</f>
        <v/>
      </c>
      <c r="S963">
        <f>IF(OR($F963="",$I963=""),"",$F963+ROW()/100000)</f>
        <v/>
      </c>
      <c r="T963">
        <f>IF($I963="","",IFERROR(INDEX(LIV_Cat,MATCH($I963,LIV_Code,0)),""))</f>
        <v/>
      </c>
    </row>
    <row r="964" ht="21" customHeight="1">
      <c r="A964" s="1" t="n"/>
      <c r="B964" s="1" t="n"/>
      <c r="C964" s="2" t="n"/>
      <c r="E964" s="130">
        <f>IF($F964="","","EMP-"&amp;TEXT(ROW()-6,"0000"))</f>
        <v/>
      </c>
      <c r="F964" s="134" t="n"/>
      <c r="G964" s="127" t="n"/>
      <c r="H964" s="130">
        <f>IF($G964="","",IFERROR(INDEX(MEM_Nom,MATCH($G964,MEM_ID,0)),"⚠ ID inconnu"))</f>
        <v/>
      </c>
      <c r="I964" s="127" t="n"/>
      <c r="J964" s="130">
        <f>IF($I964="","",IFERROR(INDEX(LIV_Titre,MATCH($I964,LIV_Code,0)),"⚠ Code inconnu"))</f>
        <v/>
      </c>
      <c r="K964" s="138">
        <f>IF($F964="","",$F964+P_Duree)</f>
        <v/>
      </c>
      <c r="L964" s="134" t="n"/>
      <c r="M964" s="130">
        <f>IF(OR($F964="",$I964=""),"",IF($L964&lt;&gt;"",IF($L964&gt;$K964,"Rendu en retard","Rendu"),IF(TODAY()&gt;$K964,"En retard","En cours")))</f>
        <v/>
      </c>
      <c r="N964" s="139">
        <f>IF(OR($F964="",$I964=""),"",MAX(0,IF($L964&lt;&gt;"",$L964,TODAY())-$K964))</f>
        <v/>
      </c>
      <c r="O964" s="135">
        <f>IF(OR($F964="",$I964=""),"",$N964*P_Amende)</f>
        <v/>
      </c>
      <c r="P964" s="133" t="n"/>
      <c r="R964">
        <f>IF($M964="En retard",$N964+ROW()/100000,"")</f>
        <v/>
      </c>
      <c r="S964">
        <f>IF(OR($F964="",$I964=""),"",$F964+ROW()/100000)</f>
        <v/>
      </c>
      <c r="T964">
        <f>IF($I964="","",IFERROR(INDEX(LIV_Cat,MATCH($I964,LIV_Code,0)),""))</f>
        <v/>
      </c>
    </row>
    <row r="965" ht="21" customHeight="1">
      <c r="A965" s="1" t="n"/>
      <c r="B965" s="1" t="n"/>
      <c r="C965" s="2" t="n"/>
      <c r="E965" s="130">
        <f>IF($F965="","","EMP-"&amp;TEXT(ROW()-6,"0000"))</f>
        <v/>
      </c>
      <c r="F965" s="134" t="n"/>
      <c r="G965" s="127" t="n"/>
      <c r="H965" s="130">
        <f>IF($G965="","",IFERROR(INDEX(MEM_Nom,MATCH($G965,MEM_ID,0)),"⚠ ID inconnu"))</f>
        <v/>
      </c>
      <c r="I965" s="127" t="n"/>
      <c r="J965" s="130">
        <f>IF($I965="","",IFERROR(INDEX(LIV_Titre,MATCH($I965,LIV_Code,0)),"⚠ Code inconnu"))</f>
        <v/>
      </c>
      <c r="K965" s="138">
        <f>IF($F965="","",$F965+P_Duree)</f>
        <v/>
      </c>
      <c r="L965" s="134" t="n"/>
      <c r="M965" s="130">
        <f>IF(OR($F965="",$I965=""),"",IF($L965&lt;&gt;"",IF($L965&gt;$K965,"Rendu en retard","Rendu"),IF(TODAY()&gt;$K965,"En retard","En cours")))</f>
        <v/>
      </c>
      <c r="N965" s="139">
        <f>IF(OR($F965="",$I965=""),"",MAX(0,IF($L965&lt;&gt;"",$L965,TODAY())-$K965))</f>
        <v/>
      </c>
      <c r="O965" s="135">
        <f>IF(OR($F965="",$I965=""),"",$N965*P_Amende)</f>
        <v/>
      </c>
      <c r="P965" s="133" t="n"/>
      <c r="R965">
        <f>IF($M965="En retard",$N965+ROW()/100000,"")</f>
        <v/>
      </c>
      <c r="S965">
        <f>IF(OR($F965="",$I965=""),"",$F965+ROW()/100000)</f>
        <v/>
      </c>
      <c r="T965">
        <f>IF($I965="","",IFERROR(INDEX(LIV_Cat,MATCH($I965,LIV_Code,0)),""))</f>
        <v/>
      </c>
    </row>
    <row r="966" ht="21" customHeight="1">
      <c r="A966" s="1" t="n"/>
      <c r="B966" s="1" t="n"/>
      <c r="C966" s="2" t="n"/>
      <c r="E966" s="130">
        <f>IF($F966="","","EMP-"&amp;TEXT(ROW()-6,"0000"))</f>
        <v/>
      </c>
      <c r="F966" s="134" t="n"/>
      <c r="G966" s="127" t="n"/>
      <c r="H966" s="130">
        <f>IF($G966="","",IFERROR(INDEX(MEM_Nom,MATCH($G966,MEM_ID,0)),"⚠ ID inconnu"))</f>
        <v/>
      </c>
      <c r="I966" s="127" t="n"/>
      <c r="J966" s="130">
        <f>IF($I966="","",IFERROR(INDEX(LIV_Titre,MATCH($I966,LIV_Code,0)),"⚠ Code inconnu"))</f>
        <v/>
      </c>
      <c r="K966" s="138">
        <f>IF($F966="","",$F966+P_Duree)</f>
        <v/>
      </c>
      <c r="L966" s="134" t="n"/>
      <c r="M966" s="130">
        <f>IF(OR($F966="",$I966=""),"",IF($L966&lt;&gt;"",IF($L966&gt;$K966,"Rendu en retard","Rendu"),IF(TODAY()&gt;$K966,"En retard","En cours")))</f>
        <v/>
      </c>
      <c r="N966" s="139">
        <f>IF(OR($F966="",$I966=""),"",MAX(0,IF($L966&lt;&gt;"",$L966,TODAY())-$K966))</f>
        <v/>
      </c>
      <c r="O966" s="135">
        <f>IF(OR($F966="",$I966=""),"",$N966*P_Amende)</f>
        <v/>
      </c>
      <c r="P966" s="133" t="n"/>
      <c r="R966">
        <f>IF($M966="En retard",$N966+ROW()/100000,"")</f>
        <v/>
      </c>
      <c r="S966">
        <f>IF(OR($F966="",$I966=""),"",$F966+ROW()/100000)</f>
        <v/>
      </c>
      <c r="T966">
        <f>IF($I966="","",IFERROR(INDEX(LIV_Cat,MATCH($I966,LIV_Code,0)),""))</f>
        <v/>
      </c>
    </row>
    <row r="967" ht="21" customHeight="1">
      <c r="A967" s="1" t="n"/>
      <c r="B967" s="1" t="n"/>
      <c r="C967" s="2" t="n"/>
      <c r="E967" s="130">
        <f>IF($F967="","","EMP-"&amp;TEXT(ROW()-6,"0000"))</f>
        <v/>
      </c>
      <c r="F967" s="134" t="n"/>
      <c r="G967" s="127" t="n"/>
      <c r="H967" s="130">
        <f>IF($G967="","",IFERROR(INDEX(MEM_Nom,MATCH($G967,MEM_ID,0)),"⚠ ID inconnu"))</f>
        <v/>
      </c>
      <c r="I967" s="127" t="n"/>
      <c r="J967" s="130">
        <f>IF($I967="","",IFERROR(INDEX(LIV_Titre,MATCH($I967,LIV_Code,0)),"⚠ Code inconnu"))</f>
        <v/>
      </c>
      <c r="K967" s="138">
        <f>IF($F967="","",$F967+P_Duree)</f>
        <v/>
      </c>
      <c r="L967" s="134" t="n"/>
      <c r="M967" s="130">
        <f>IF(OR($F967="",$I967=""),"",IF($L967&lt;&gt;"",IF($L967&gt;$K967,"Rendu en retard","Rendu"),IF(TODAY()&gt;$K967,"En retard","En cours")))</f>
        <v/>
      </c>
      <c r="N967" s="139">
        <f>IF(OR($F967="",$I967=""),"",MAX(0,IF($L967&lt;&gt;"",$L967,TODAY())-$K967))</f>
        <v/>
      </c>
      <c r="O967" s="135">
        <f>IF(OR($F967="",$I967=""),"",$N967*P_Amende)</f>
        <v/>
      </c>
      <c r="P967" s="133" t="n"/>
      <c r="R967">
        <f>IF($M967="En retard",$N967+ROW()/100000,"")</f>
        <v/>
      </c>
      <c r="S967">
        <f>IF(OR($F967="",$I967=""),"",$F967+ROW()/100000)</f>
        <v/>
      </c>
      <c r="T967">
        <f>IF($I967="","",IFERROR(INDEX(LIV_Cat,MATCH($I967,LIV_Code,0)),""))</f>
        <v/>
      </c>
    </row>
    <row r="968" ht="21" customHeight="1">
      <c r="A968" s="1" t="n"/>
      <c r="B968" s="1" t="n"/>
      <c r="C968" s="2" t="n"/>
      <c r="E968" s="130">
        <f>IF($F968="","","EMP-"&amp;TEXT(ROW()-6,"0000"))</f>
        <v/>
      </c>
      <c r="F968" s="134" t="n"/>
      <c r="G968" s="127" t="n"/>
      <c r="H968" s="130">
        <f>IF($G968="","",IFERROR(INDEX(MEM_Nom,MATCH($G968,MEM_ID,0)),"⚠ ID inconnu"))</f>
        <v/>
      </c>
      <c r="I968" s="127" t="n"/>
      <c r="J968" s="130">
        <f>IF($I968="","",IFERROR(INDEX(LIV_Titre,MATCH($I968,LIV_Code,0)),"⚠ Code inconnu"))</f>
        <v/>
      </c>
      <c r="K968" s="138">
        <f>IF($F968="","",$F968+P_Duree)</f>
        <v/>
      </c>
      <c r="L968" s="134" t="n"/>
      <c r="M968" s="130">
        <f>IF(OR($F968="",$I968=""),"",IF($L968&lt;&gt;"",IF($L968&gt;$K968,"Rendu en retard","Rendu"),IF(TODAY()&gt;$K968,"En retard","En cours")))</f>
        <v/>
      </c>
      <c r="N968" s="139">
        <f>IF(OR($F968="",$I968=""),"",MAX(0,IF($L968&lt;&gt;"",$L968,TODAY())-$K968))</f>
        <v/>
      </c>
      <c r="O968" s="135">
        <f>IF(OR($F968="",$I968=""),"",$N968*P_Amende)</f>
        <v/>
      </c>
      <c r="P968" s="133" t="n"/>
      <c r="R968">
        <f>IF($M968="En retard",$N968+ROW()/100000,"")</f>
        <v/>
      </c>
      <c r="S968">
        <f>IF(OR($F968="",$I968=""),"",$F968+ROW()/100000)</f>
        <v/>
      </c>
      <c r="T968">
        <f>IF($I968="","",IFERROR(INDEX(LIV_Cat,MATCH($I968,LIV_Code,0)),""))</f>
        <v/>
      </c>
    </row>
    <row r="969" ht="21" customHeight="1">
      <c r="A969" s="1" t="n"/>
      <c r="B969" s="1" t="n"/>
      <c r="C969" s="2" t="n"/>
      <c r="E969" s="130">
        <f>IF($F969="","","EMP-"&amp;TEXT(ROW()-6,"0000"))</f>
        <v/>
      </c>
      <c r="F969" s="134" t="n"/>
      <c r="G969" s="127" t="n"/>
      <c r="H969" s="130">
        <f>IF($G969="","",IFERROR(INDEX(MEM_Nom,MATCH($G969,MEM_ID,0)),"⚠ ID inconnu"))</f>
        <v/>
      </c>
      <c r="I969" s="127" t="n"/>
      <c r="J969" s="130">
        <f>IF($I969="","",IFERROR(INDEX(LIV_Titre,MATCH($I969,LIV_Code,0)),"⚠ Code inconnu"))</f>
        <v/>
      </c>
      <c r="K969" s="138">
        <f>IF($F969="","",$F969+P_Duree)</f>
        <v/>
      </c>
      <c r="L969" s="134" t="n"/>
      <c r="M969" s="130">
        <f>IF(OR($F969="",$I969=""),"",IF($L969&lt;&gt;"",IF($L969&gt;$K969,"Rendu en retard","Rendu"),IF(TODAY()&gt;$K969,"En retard","En cours")))</f>
        <v/>
      </c>
      <c r="N969" s="139">
        <f>IF(OR($F969="",$I969=""),"",MAX(0,IF($L969&lt;&gt;"",$L969,TODAY())-$K969))</f>
        <v/>
      </c>
      <c r="O969" s="135">
        <f>IF(OR($F969="",$I969=""),"",$N969*P_Amende)</f>
        <v/>
      </c>
      <c r="P969" s="133" t="n"/>
      <c r="R969">
        <f>IF($M969="En retard",$N969+ROW()/100000,"")</f>
        <v/>
      </c>
      <c r="S969">
        <f>IF(OR($F969="",$I969=""),"",$F969+ROW()/100000)</f>
        <v/>
      </c>
      <c r="T969">
        <f>IF($I969="","",IFERROR(INDEX(LIV_Cat,MATCH($I969,LIV_Code,0)),""))</f>
        <v/>
      </c>
    </row>
    <row r="970" ht="21" customHeight="1">
      <c r="A970" s="1" t="n"/>
      <c r="B970" s="1" t="n"/>
      <c r="C970" s="2" t="n"/>
      <c r="E970" s="130">
        <f>IF($F970="","","EMP-"&amp;TEXT(ROW()-6,"0000"))</f>
        <v/>
      </c>
      <c r="F970" s="134" t="n"/>
      <c r="G970" s="127" t="n"/>
      <c r="H970" s="130">
        <f>IF($G970="","",IFERROR(INDEX(MEM_Nom,MATCH($G970,MEM_ID,0)),"⚠ ID inconnu"))</f>
        <v/>
      </c>
      <c r="I970" s="127" t="n"/>
      <c r="J970" s="130">
        <f>IF($I970="","",IFERROR(INDEX(LIV_Titre,MATCH($I970,LIV_Code,0)),"⚠ Code inconnu"))</f>
        <v/>
      </c>
      <c r="K970" s="138">
        <f>IF($F970="","",$F970+P_Duree)</f>
        <v/>
      </c>
      <c r="L970" s="134" t="n"/>
      <c r="M970" s="130">
        <f>IF(OR($F970="",$I970=""),"",IF($L970&lt;&gt;"",IF($L970&gt;$K970,"Rendu en retard","Rendu"),IF(TODAY()&gt;$K970,"En retard","En cours")))</f>
        <v/>
      </c>
      <c r="N970" s="139">
        <f>IF(OR($F970="",$I970=""),"",MAX(0,IF($L970&lt;&gt;"",$L970,TODAY())-$K970))</f>
        <v/>
      </c>
      <c r="O970" s="135">
        <f>IF(OR($F970="",$I970=""),"",$N970*P_Amende)</f>
        <v/>
      </c>
      <c r="P970" s="133" t="n"/>
      <c r="R970">
        <f>IF($M970="En retard",$N970+ROW()/100000,"")</f>
        <v/>
      </c>
      <c r="S970">
        <f>IF(OR($F970="",$I970=""),"",$F970+ROW()/100000)</f>
        <v/>
      </c>
      <c r="T970">
        <f>IF($I970="","",IFERROR(INDEX(LIV_Cat,MATCH($I970,LIV_Code,0)),""))</f>
        <v/>
      </c>
    </row>
    <row r="971" ht="21" customHeight="1">
      <c r="A971" s="1" t="n"/>
      <c r="B971" s="1" t="n"/>
      <c r="C971" s="2" t="n"/>
      <c r="E971" s="130">
        <f>IF($F971="","","EMP-"&amp;TEXT(ROW()-6,"0000"))</f>
        <v/>
      </c>
      <c r="F971" s="134" t="n"/>
      <c r="G971" s="127" t="n"/>
      <c r="H971" s="130">
        <f>IF($G971="","",IFERROR(INDEX(MEM_Nom,MATCH($G971,MEM_ID,0)),"⚠ ID inconnu"))</f>
        <v/>
      </c>
      <c r="I971" s="127" t="n"/>
      <c r="J971" s="130">
        <f>IF($I971="","",IFERROR(INDEX(LIV_Titre,MATCH($I971,LIV_Code,0)),"⚠ Code inconnu"))</f>
        <v/>
      </c>
      <c r="K971" s="138">
        <f>IF($F971="","",$F971+P_Duree)</f>
        <v/>
      </c>
      <c r="L971" s="134" t="n"/>
      <c r="M971" s="130">
        <f>IF(OR($F971="",$I971=""),"",IF($L971&lt;&gt;"",IF($L971&gt;$K971,"Rendu en retard","Rendu"),IF(TODAY()&gt;$K971,"En retard","En cours")))</f>
        <v/>
      </c>
      <c r="N971" s="139">
        <f>IF(OR($F971="",$I971=""),"",MAX(0,IF($L971&lt;&gt;"",$L971,TODAY())-$K971))</f>
        <v/>
      </c>
      <c r="O971" s="135">
        <f>IF(OR($F971="",$I971=""),"",$N971*P_Amende)</f>
        <v/>
      </c>
      <c r="P971" s="133" t="n"/>
      <c r="R971">
        <f>IF($M971="En retard",$N971+ROW()/100000,"")</f>
        <v/>
      </c>
      <c r="S971">
        <f>IF(OR($F971="",$I971=""),"",$F971+ROW()/100000)</f>
        <v/>
      </c>
      <c r="T971">
        <f>IF($I971="","",IFERROR(INDEX(LIV_Cat,MATCH($I971,LIV_Code,0)),""))</f>
        <v/>
      </c>
    </row>
    <row r="972" ht="21" customHeight="1">
      <c r="A972" s="1" t="n"/>
      <c r="B972" s="1" t="n"/>
      <c r="C972" s="2" t="n"/>
      <c r="E972" s="130">
        <f>IF($F972="","","EMP-"&amp;TEXT(ROW()-6,"0000"))</f>
        <v/>
      </c>
      <c r="F972" s="134" t="n"/>
      <c r="G972" s="127" t="n"/>
      <c r="H972" s="130">
        <f>IF($G972="","",IFERROR(INDEX(MEM_Nom,MATCH($G972,MEM_ID,0)),"⚠ ID inconnu"))</f>
        <v/>
      </c>
      <c r="I972" s="127" t="n"/>
      <c r="J972" s="130">
        <f>IF($I972="","",IFERROR(INDEX(LIV_Titre,MATCH($I972,LIV_Code,0)),"⚠ Code inconnu"))</f>
        <v/>
      </c>
      <c r="K972" s="138">
        <f>IF($F972="","",$F972+P_Duree)</f>
        <v/>
      </c>
      <c r="L972" s="134" t="n"/>
      <c r="M972" s="130">
        <f>IF(OR($F972="",$I972=""),"",IF($L972&lt;&gt;"",IF($L972&gt;$K972,"Rendu en retard","Rendu"),IF(TODAY()&gt;$K972,"En retard","En cours")))</f>
        <v/>
      </c>
      <c r="N972" s="139">
        <f>IF(OR($F972="",$I972=""),"",MAX(0,IF($L972&lt;&gt;"",$L972,TODAY())-$K972))</f>
        <v/>
      </c>
      <c r="O972" s="135">
        <f>IF(OR($F972="",$I972=""),"",$N972*P_Amende)</f>
        <v/>
      </c>
      <c r="P972" s="133" t="n"/>
      <c r="R972">
        <f>IF($M972="En retard",$N972+ROW()/100000,"")</f>
        <v/>
      </c>
      <c r="S972">
        <f>IF(OR($F972="",$I972=""),"",$F972+ROW()/100000)</f>
        <v/>
      </c>
      <c r="T972">
        <f>IF($I972="","",IFERROR(INDEX(LIV_Cat,MATCH($I972,LIV_Code,0)),""))</f>
        <v/>
      </c>
    </row>
    <row r="973" ht="21" customHeight="1">
      <c r="A973" s="1" t="n"/>
      <c r="B973" s="1" t="n"/>
      <c r="C973" s="2" t="n"/>
      <c r="E973" s="130">
        <f>IF($F973="","","EMP-"&amp;TEXT(ROW()-6,"0000"))</f>
        <v/>
      </c>
      <c r="F973" s="134" t="n"/>
      <c r="G973" s="127" t="n"/>
      <c r="H973" s="130">
        <f>IF($G973="","",IFERROR(INDEX(MEM_Nom,MATCH($G973,MEM_ID,0)),"⚠ ID inconnu"))</f>
        <v/>
      </c>
      <c r="I973" s="127" t="n"/>
      <c r="J973" s="130">
        <f>IF($I973="","",IFERROR(INDEX(LIV_Titre,MATCH($I973,LIV_Code,0)),"⚠ Code inconnu"))</f>
        <v/>
      </c>
      <c r="K973" s="138">
        <f>IF($F973="","",$F973+P_Duree)</f>
        <v/>
      </c>
      <c r="L973" s="134" t="n"/>
      <c r="M973" s="130">
        <f>IF(OR($F973="",$I973=""),"",IF($L973&lt;&gt;"",IF($L973&gt;$K973,"Rendu en retard","Rendu"),IF(TODAY()&gt;$K973,"En retard","En cours")))</f>
        <v/>
      </c>
      <c r="N973" s="139">
        <f>IF(OR($F973="",$I973=""),"",MAX(0,IF($L973&lt;&gt;"",$L973,TODAY())-$K973))</f>
        <v/>
      </c>
      <c r="O973" s="135">
        <f>IF(OR($F973="",$I973=""),"",$N973*P_Amende)</f>
        <v/>
      </c>
      <c r="P973" s="133" t="n"/>
      <c r="R973">
        <f>IF($M973="En retard",$N973+ROW()/100000,"")</f>
        <v/>
      </c>
      <c r="S973">
        <f>IF(OR($F973="",$I973=""),"",$F973+ROW()/100000)</f>
        <v/>
      </c>
      <c r="T973">
        <f>IF($I973="","",IFERROR(INDEX(LIV_Cat,MATCH($I973,LIV_Code,0)),""))</f>
        <v/>
      </c>
    </row>
    <row r="974" ht="21" customHeight="1">
      <c r="A974" s="1" t="n"/>
      <c r="B974" s="1" t="n"/>
      <c r="C974" s="2" t="n"/>
      <c r="E974" s="130">
        <f>IF($F974="","","EMP-"&amp;TEXT(ROW()-6,"0000"))</f>
        <v/>
      </c>
      <c r="F974" s="134" t="n"/>
      <c r="G974" s="127" t="n"/>
      <c r="H974" s="130">
        <f>IF($G974="","",IFERROR(INDEX(MEM_Nom,MATCH($G974,MEM_ID,0)),"⚠ ID inconnu"))</f>
        <v/>
      </c>
      <c r="I974" s="127" t="n"/>
      <c r="J974" s="130">
        <f>IF($I974="","",IFERROR(INDEX(LIV_Titre,MATCH($I974,LIV_Code,0)),"⚠ Code inconnu"))</f>
        <v/>
      </c>
      <c r="K974" s="138">
        <f>IF($F974="","",$F974+P_Duree)</f>
        <v/>
      </c>
      <c r="L974" s="134" t="n"/>
      <c r="M974" s="130">
        <f>IF(OR($F974="",$I974=""),"",IF($L974&lt;&gt;"",IF($L974&gt;$K974,"Rendu en retard","Rendu"),IF(TODAY()&gt;$K974,"En retard","En cours")))</f>
        <v/>
      </c>
      <c r="N974" s="139">
        <f>IF(OR($F974="",$I974=""),"",MAX(0,IF($L974&lt;&gt;"",$L974,TODAY())-$K974))</f>
        <v/>
      </c>
      <c r="O974" s="135">
        <f>IF(OR($F974="",$I974=""),"",$N974*P_Amende)</f>
        <v/>
      </c>
      <c r="P974" s="133" t="n"/>
      <c r="R974">
        <f>IF($M974="En retard",$N974+ROW()/100000,"")</f>
        <v/>
      </c>
      <c r="S974">
        <f>IF(OR($F974="",$I974=""),"",$F974+ROW()/100000)</f>
        <v/>
      </c>
      <c r="T974">
        <f>IF($I974="","",IFERROR(INDEX(LIV_Cat,MATCH($I974,LIV_Code,0)),""))</f>
        <v/>
      </c>
    </row>
    <row r="975" ht="21" customHeight="1">
      <c r="A975" s="1" t="n"/>
      <c r="B975" s="1" t="n"/>
      <c r="C975" s="2" t="n"/>
      <c r="E975" s="130">
        <f>IF($F975="","","EMP-"&amp;TEXT(ROW()-6,"0000"))</f>
        <v/>
      </c>
      <c r="F975" s="134" t="n"/>
      <c r="G975" s="127" t="n"/>
      <c r="H975" s="130">
        <f>IF($G975="","",IFERROR(INDEX(MEM_Nom,MATCH($G975,MEM_ID,0)),"⚠ ID inconnu"))</f>
        <v/>
      </c>
      <c r="I975" s="127" t="n"/>
      <c r="J975" s="130">
        <f>IF($I975="","",IFERROR(INDEX(LIV_Titre,MATCH($I975,LIV_Code,0)),"⚠ Code inconnu"))</f>
        <v/>
      </c>
      <c r="K975" s="138">
        <f>IF($F975="","",$F975+P_Duree)</f>
        <v/>
      </c>
      <c r="L975" s="134" t="n"/>
      <c r="M975" s="130">
        <f>IF(OR($F975="",$I975=""),"",IF($L975&lt;&gt;"",IF($L975&gt;$K975,"Rendu en retard","Rendu"),IF(TODAY()&gt;$K975,"En retard","En cours")))</f>
        <v/>
      </c>
      <c r="N975" s="139">
        <f>IF(OR($F975="",$I975=""),"",MAX(0,IF($L975&lt;&gt;"",$L975,TODAY())-$K975))</f>
        <v/>
      </c>
      <c r="O975" s="135">
        <f>IF(OR($F975="",$I975=""),"",$N975*P_Amende)</f>
        <v/>
      </c>
      <c r="P975" s="133" t="n"/>
      <c r="R975">
        <f>IF($M975="En retard",$N975+ROW()/100000,"")</f>
        <v/>
      </c>
      <c r="S975">
        <f>IF(OR($F975="",$I975=""),"",$F975+ROW()/100000)</f>
        <v/>
      </c>
      <c r="T975">
        <f>IF($I975="","",IFERROR(INDEX(LIV_Cat,MATCH($I975,LIV_Code,0)),""))</f>
        <v/>
      </c>
    </row>
    <row r="976" ht="21" customHeight="1">
      <c r="A976" s="1" t="n"/>
      <c r="B976" s="1" t="n"/>
      <c r="C976" s="2" t="n"/>
      <c r="E976" s="130">
        <f>IF($F976="","","EMP-"&amp;TEXT(ROW()-6,"0000"))</f>
        <v/>
      </c>
      <c r="F976" s="134" t="n"/>
      <c r="G976" s="127" t="n"/>
      <c r="H976" s="130">
        <f>IF($G976="","",IFERROR(INDEX(MEM_Nom,MATCH($G976,MEM_ID,0)),"⚠ ID inconnu"))</f>
        <v/>
      </c>
      <c r="I976" s="127" t="n"/>
      <c r="J976" s="130">
        <f>IF($I976="","",IFERROR(INDEX(LIV_Titre,MATCH($I976,LIV_Code,0)),"⚠ Code inconnu"))</f>
        <v/>
      </c>
      <c r="K976" s="138">
        <f>IF($F976="","",$F976+P_Duree)</f>
        <v/>
      </c>
      <c r="L976" s="134" t="n"/>
      <c r="M976" s="130">
        <f>IF(OR($F976="",$I976=""),"",IF($L976&lt;&gt;"",IF($L976&gt;$K976,"Rendu en retard","Rendu"),IF(TODAY()&gt;$K976,"En retard","En cours")))</f>
        <v/>
      </c>
      <c r="N976" s="139">
        <f>IF(OR($F976="",$I976=""),"",MAX(0,IF($L976&lt;&gt;"",$L976,TODAY())-$K976))</f>
        <v/>
      </c>
      <c r="O976" s="135">
        <f>IF(OR($F976="",$I976=""),"",$N976*P_Amende)</f>
        <v/>
      </c>
      <c r="P976" s="133" t="n"/>
      <c r="R976">
        <f>IF($M976="En retard",$N976+ROW()/100000,"")</f>
        <v/>
      </c>
      <c r="S976">
        <f>IF(OR($F976="",$I976=""),"",$F976+ROW()/100000)</f>
        <v/>
      </c>
      <c r="T976">
        <f>IF($I976="","",IFERROR(INDEX(LIV_Cat,MATCH($I976,LIV_Code,0)),""))</f>
        <v/>
      </c>
    </row>
    <row r="977" ht="21" customHeight="1">
      <c r="A977" s="1" t="n"/>
      <c r="B977" s="1" t="n"/>
      <c r="C977" s="2" t="n"/>
      <c r="E977" s="130">
        <f>IF($F977="","","EMP-"&amp;TEXT(ROW()-6,"0000"))</f>
        <v/>
      </c>
      <c r="F977" s="134" t="n"/>
      <c r="G977" s="127" t="n"/>
      <c r="H977" s="130">
        <f>IF($G977="","",IFERROR(INDEX(MEM_Nom,MATCH($G977,MEM_ID,0)),"⚠ ID inconnu"))</f>
        <v/>
      </c>
      <c r="I977" s="127" t="n"/>
      <c r="J977" s="130">
        <f>IF($I977="","",IFERROR(INDEX(LIV_Titre,MATCH($I977,LIV_Code,0)),"⚠ Code inconnu"))</f>
        <v/>
      </c>
      <c r="K977" s="138">
        <f>IF($F977="","",$F977+P_Duree)</f>
        <v/>
      </c>
      <c r="L977" s="134" t="n"/>
      <c r="M977" s="130">
        <f>IF(OR($F977="",$I977=""),"",IF($L977&lt;&gt;"",IF($L977&gt;$K977,"Rendu en retard","Rendu"),IF(TODAY()&gt;$K977,"En retard","En cours")))</f>
        <v/>
      </c>
      <c r="N977" s="139">
        <f>IF(OR($F977="",$I977=""),"",MAX(0,IF($L977&lt;&gt;"",$L977,TODAY())-$K977))</f>
        <v/>
      </c>
      <c r="O977" s="135">
        <f>IF(OR($F977="",$I977=""),"",$N977*P_Amende)</f>
        <v/>
      </c>
      <c r="P977" s="133" t="n"/>
      <c r="R977">
        <f>IF($M977="En retard",$N977+ROW()/100000,"")</f>
        <v/>
      </c>
      <c r="S977">
        <f>IF(OR($F977="",$I977=""),"",$F977+ROW()/100000)</f>
        <v/>
      </c>
      <c r="T977">
        <f>IF($I977="","",IFERROR(INDEX(LIV_Cat,MATCH($I977,LIV_Code,0)),""))</f>
        <v/>
      </c>
    </row>
    <row r="978" ht="21" customHeight="1">
      <c r="A978" s="1" t="n"/>
      <c r="B978" s="1" t="n"/>
      <c r="C978" s="2" t="n"/>
      <c r="E978" s="130">
        <f>IF($F978="","","EMP-"&amp;TEXT(ROW()-6,"0000"))</f>
        <v/>
      </c>
      <c r="F978" s="134" t="n"/>
      <c r="G978" s="127" t="n"/>
      <c r="H978" s="130">
        <f>IF($G978="","",IFERROR(INDEX(MEM_Nom,MATCH($G978,MEM_ID,0)),"⚠ ID inconnu"))</f>
        <v/>
      </c>
      <c r="I978" s="127" t="n"/>
      <c r="J978" s="130">
        <f>IF($I978="","",IFERROR(INDEX(LIV_Titre,MATCH($I978,LIV_Code,0)),"⚠ Code inconnu"))</f>
        <v/>
      </c>
      <c r="K978" s="138">
        <f>IF($F978="","",$F978+P_Duree)</f>
        <v/>
      </c>
      <c r="L978" s="134" t="n"/>
      <c r="M978" s="130">
        <f>IF(OR($F978="",$I978=""),"",IF($L978&lt;&gt;"",IF($L978&gt;$K978,"Rendu en retard","Rendu"),IF(TODAY()&gt;$K978,"En retard","En cours")))</f>
        <v/>
      </c>
      <c r="N978" s="139">
        <f>IF(OR($F978="",$I978=""),"",MAX(0,IF($L978&lt;&gt;"",$L978,TODAY())-$K978))</f>
        <v/>
      </c>
      <c r="O978" s="135">
        <f>IF(OR($F978="",$I978=""),"",$N978*P_Amende)</f>
        <v/>
      </c>
      <c r="P978" s="133" t="n"/>
      <c r="R978">
        <f>IF($M978="En retard",$N978+ROW()/100000,"")</f>
        <v/>
      </c>
      <c r="S978">
        <f>IF(OR($F978="",$I978=""),"",$F978+ROW()/100000)</f>
        <v/>
      </c>
      <c r="T978">
        <f>IF($I978="","",IFERROR(INDEX(LIV_Cat,MATCH($I978,LIV_Code,0)),""))</f>
        <v/>
      </c>
    </row>
    <row r="979" ht="21" customHeight="1">
      <c r="A979" s="1" t="n"/>
      <c r="B979" s="1" t="n"/>
      <c r="C979" s="2" t="n"/>
      <c r="E979" s="130">
        <f>IF($F979="","","EMP-"&amp;TEXT(ROW()-6,"0000"))</f>
        <v/>
      </c>
      <c r="F979" s="134" t="n"/>
      <c r="G979" s="127" t="n"/>
      <c r="H979" s="130">
        <f>IF($G979="","",IFERROR(INDEX(MEM_Nom,MATCH($G979,MEM_ID,0)),"⚠ ID inconnu"))</f>
        <v/>
      </c>
      <c r="I979" s="127" t="n"/>
      <c r="J979" s="130">
        <f>IF($I979="","",IFERROR(INDEX(LIV_Titre,MATCH($I979,LIV_Code,0)),"⚠ Code inconnu"))</f>
        <v/>
      </c>
      <c r="K979" s="138">
        <f>IF($F979="","",$F979+P_Duree)</f>
        <v/>
      </c>
      <c r="L979" s="134" t="n"/>
      <c r="M979" s="130">
        <f>IF(OR($F979="",$I979=""),"",IF($L979&lt;&gt;"",IF($L979&gt;$K979,"Rendu en retard","Rendu"),IF(TODAY()&gt;$K979,"En retard","En cours")))</f>
        <v/>
      </c>
      <c r="N979" s="139">
        <f>IF(OR($F979="",$I979=""),"",MAX(0,IF($L979&lt;&gt;"",$L979,TODAY())-$K979))</f>
        <v/>
      </c>
      <c r="O979" s="135">
        <f>IF(OR($F979="",$I979=""),"",$N979*P_Amende)</f>
        <v/>
      </c>
      <c r="P979" s="133" t="n"/>
      <c r="R979">
        <f>IF($M979="En retard",$N979+ROW()/100000,"")</f>
        <v/>
      </c>
      <c r="S979">
        <f>IF(OR($F979="",$I979=""),"",$F979+ROW()/100000)</f>
        <v/>
      </c>
      <c r="T979">
        <f>IF($I979="","",IFERROR(INDEX(LIV_Cat,MATCH($I979,LIV_Code,0)),""))</f>
        <v/>
      </c>
    </row>
    <row r="980" ht="21" customHeight="1">
      <c r="A980" s="1" t="n"/>
      <c r="B980" s="1" t="n"/>
      <c r="C980" s="2" t="n"/>
      <c r="E980" s="130">
        <f>IF($F980="","","EMP-"&amp;TEXT(ROW()-6,"0000"))</f>
        <v/>
      </c>
      <c r="F980" s="134" t="n"/>
      <c r="G980" s="127" t="n"/>
      <c r="H980" s="130">
        <f>IF($G980="","",IFERROR(INDEX(MEM_Nom,MATCH($G980,MEM_ID,0)),"⚠ ID inconnu"))</f>
        <v/>
      </c>
      <c r="I980" s="127" t="n"/>
      <c r="J980" s="130">
        <f>IF($I980="","",IFERROR(INDEX(LIV_Titre,MATCH($I980,LIV_Code,0)),"⚠ Code inconnu"))</f>
        <v/>
      </c>
      <c r="K980" s="138">
        <f>IF($F980="","",$F980+P_Duree)</f>
        <v/>
      </c>
      <c r="L980" s="134" t="n"/>
      <c r="M980" s="130">
        <f>IF(OR($F980="",$I980=""),"",IF($L980&lt;&gt;"",IF($L980&gt;$K980,"Rendu en retard","Rendu"),IF(TODAY()&gt;$K980,"En retard","En cours")))</f>
        <v/>
      </c>
      <c r="N980" s="139">
        <f>IF(OR($F980="",$I980=""),"",MAX(0,IF($L980&lt;&gt;"",$L980,TODAY())-$K980))</f>
        <v/>
      </c>
      <c r="O980" s="135">
        <f>IF(OR($F980="",$I980=""),"",$N980*P_Amende)</f>
        <v/>
      </c>
      <c r="P980" s="133" t="n"/>
      <c r="R980">
        <f>IF($M980="En retard",$N980+ROW()/100000,"")</f>
        <v/>
      </c>
      <c r="S980">
        <f>IF(OR($F980="",$I980=""),"",$F980+ROW()/100000)</f>
        <v/>
      </c>
      <c r="T980">
        <f>IF($I980="","",IFERROR(INDEX(LIV_Cat,MATCH($I980,LIV_Code,0)),""))</f>
        <v/>
      </c>
    </row>
    <row r="981" ht="21" customHeight="1">
      <c r="A981" s="1" t="n"/>
      <c r="B981" s="1" t="n"/>
      <c r="C981" s="2" t="n"/>
      <c r="E981" s="130">
        <f>IF($F981="","","EMP-"&amp;TEXT(ROW()-6,"0000"))</f>
        <v/>
      </c>
      <c r="F981" s="134" t="n"/>
      <c r="G981" s="127" t="n"/>
      <c r="H981" s="130">
        <f>IF($G981="","",IFERROR(INDEX(MEM_Nom,MATCH($G981,MEM_ID,0)),"⚠ ID inconnu"))</f>
        <v/>
      </c>
      <c r="I981" s="127" t="n"/>
      <c r="J981" s="130">
        <f>IF($I981="","",IFERROR(INDEX(LIV_Titre,MATCH($I981,LIV_Code,0)),"⚠ Code inconnu"))</f>
        <v/>
      </c>
      <c r="K981" s="138">
        <f>IF($F981="","",$F981+P_Duree)</f>
        <v/>
      </c>
      <c r="L981" s="134" t="n"/>
      <c r="M981" s="130">
        <f>IF(OR($F981="",$I981=""),"",IF($L981&lt;&gt;"",IF($L981&gt;$K981,"Rendu en retard","Rendu"),IF(TODAY()&gt;$K981,"En retard","En cours")))</f>
        <v/>
      </c>
      <c r="N981" s="139">
        <f>IF(OR($F981="",$I981=""),"",MAX(0,IF($L981&lt;&gt;"",$L981,TODAY())-$K981))</f>
        <v/>
      </c>
      <c r="O981" s="135">
        <f>IF(OR($F981="",$I981=""),"",$N981*P_Amende)</f>
        <v/>
      </c>
      <c r="P981" s="133" t="n"/>
      <c r="R981">
        <f>IF($M981="En retard",$N981+ROW()/100000,"")</f>
        <v/>
      </c>
      <c r="S981">
        <f>IF(OR($F981="",$I981=""),"",$F981+ROW()/100000)</f>
        <v/>
      </c>
      <c r="T981">
        <f>IF($I981="","",IFERROR(INDEX(LIV_Cat,MATCH($I981,LIV_Code,0)),""))</f>
        <v/>
      </c>
    </row>
    <row r="982" ht="21" customHeight="1">
      <c r="A982" s="1" t="n"/>
      <c r="B982" s="1" t="n"/>
      <c r="C982" s="2" t="n"/>
      <c r="E982" s="130">
        <f>IF($F982="","","EMP-"&amp;TEXT(ROW()-6,"0000"))</f>
        <v/>
      </c>
      <c r="F982" s="134" t="n"/>
      <c r="G982" s="127" t="n"/>
      <c r="H982" s="130">
        <f>IF($G982="","",IFERROR(INDEX(MEM_Nom,MATCH($G982,MEM_ID,0)),"⚠ ID inconnu"))</f>
        <v/>
      </c>
      <c r="I982" s="127" t="n"/>
      <c r="J982" s="130">
        <f>IF($I982="","",IFERROR(INDEX(LIV_Titre,MATCH($I982,LIV_Code,0)),"⚠ Code inconnu"))</f>
        <v/>
      </c>
      <c r="K982" s="138">
        <f>IF($F982="","",$F982+P_Duree)</f>
        <v/>
      </c>
      <c r="L982" s="134" t="n"/>
      <c r="M982" s="130">
        <f>IF(OR($F982="",$I982=""),"",IF($L982&lt;&gt;"",IF($L982&gt;$K982,"Rendu en retard","Rendu"),IF(TODAY()&gt;$K982,"En retard","En cours")))</f>
        <v/>
      </c>
      <c r="N982" s="139">
        <f>IF(OR($F982="",$I982=""),"",MAX(0,IF($L982&lt;&gt;"",$L982,TODAY())-$K982))</f>
        <v/>
      </c>
      <c r="O982" s="135">
        <f>IF(OR($F982="",$I982=""),"",$N982*P_Amende)</f>
        <v/>
      </c>
      <c r="P982" s="133" t="n"/>
      <c r="R982">
        <f>IF($M982="En retard",$N982+ROW()/100000,"")</f>
        <v/>
      </c>
      <c r="S982">
        <f>IF(OR($F982="",$I982=""),"",$F982+ROW()/100000)</f>
        <v/>
      </c>
      <c r="T982">
        <f>IF($I982="","",IFERROR(INDEX(LIV_Cat,MATCH($I982,LIV_Code,0)),""))</f>
        <v/>
      </c>
    </row>
    <row r="983" ht="21" customHeight="1">
      <c r="A983" s="1" t="n"/>
      <c r="B983" s="1" t="n"/>
      <c r="C983" s="2" t="n"/>
      <c r="E983" s="130">
        <f>IF($F983="","","EMP-"&amp;TEXT(ROW()-6,"0000"))</f>
        <v/>
      </c>
      <c r="F983" s="134" t="n"/>
      <c r="G983" s="127" t="n"/>
      <c r="H983" s="130">
        <f>IF($G983="","",IFERROR(INDEX(MEM_Nom,MATCH($G983,MEM_ID,0)),"⚠ ID inconnu"))</f>
        <v/>
      </c>
      <c r="I983" s="127" t="n"/>
      <c r="J983" s="130">
        <f>IF($I983="","",IFERROR(INDEX(LIV_Titre,MATCH($I983,LIV_Code,0)),"⚠ Code inconnu"))</f>
        <v/>
      </c>
      <c r="K983" s="138">
        <f>IF($F983="","",$F983+P_Duree)</f>
        <v/>
      </c>
      <c r="L983" s="134" t="n"/>
      <c r="M983" s="130">
        <f>IF(OR($F983="",$I983=""),"",IF($L983&lt;&gt;"",IF($L983&gt;$K983,"Rendu en retard","Rendu"),IF(TODAY()&gt;$K983,"En retard","En cours")))</f>
        <v/>
      </c>
      <c r="N983" s="139">
        <f>IF(OR($F983="",$I983=""),"",MAX(0,IF($L983&lt;&gt;"",$L983,TODAY())-$K983))</f>
        <v/>
      </c>
      <c r="O983" s="135">
        <f>IF(OR($F983="",$I983=""),"",$N983*P_Amende)</f>
        <v/>
      </c>
      <c r="P983" s="133" t="n"/>
      <c r="R983">
        <f>IF($M983="En retard",$N983+ROW()/100000,"")</f>
        <v/>
      </c>
      <c r="S983">
        <f>IF(OR($F983="",$I983=""),"",$F983+ROW()/100000)</f>
        <v/>
      </c>
      <c r="T983">
        <f>IF($I983="","",IFERROR(INDEX(LIV_Cat,MATCH($I983,LIV_Code,0)),""))</f>
        <v/>
      </c>
    </row>
    <row r="984" ht="21" customHeight="1">
      <c r="A984" s="1" t="n"/>
      <c r="B984" s="1" t="n"/>
      <c r="C984" s="2" t="n"/>
      <c r="E984" s="130">
        <f>IF($F984="","","EMP-"&amp;TEXT(ROW()-6,"0000"))</f>
        <v/>
      </c>
      <c r="F984" s="134" t="n"/>
      <c r="G984" s="127" t="n"/>
      <c r="H984" s="130">
        <f>IF($G984="","",IFERROR(INDEX(MEM_Nom,MATCH($G984,MEM_ID,0)),"⚠ ID inconnu"))</f>
        <v/>
      </c>
      <c r="I984" s="127" t="n"/>
      <c r="J984" s="130">
        <f>IF($I984="","",IFERROR(INDEX(LIV_Titre,MATCH($I984,LIV_Code,0)),"⚠ Code inconnu"))</f>
        <v/>
      </c>
      <c r="K984" s="138">
        <f>IF($F984="","",$F984+P_Duree)</f>
        <v/>
      </c>
      <c r="L984" s="134" t="n"/>
      <c r="M984" s="130">
        <f>IF(OR($F984="",$I984=""),"",IF($L984&lt;&gt;"",IF($L984&gt;$K984,"Rendu en retard","Rendu"),IF(TODAY()&gt;$K984,"En retard","En cours")))</f>
        <v/>
      </c>
      <c r="N984" s="139">
        <f>IF(OR($F984="",$I984=""),"",MAX(0,IF($L984&lt;&gt;"",$L984,TODAY())-$K984))</f>
        <v/>
      </c>
      <c r="O984" s="135">
        <f>IF(OR($F984="",$I984=""),"",$N984*P_Amende)</f>
        <v/>
      </c>
      <c r="P984" s="133" t="n"/>
      <c r="R984">
        <f>IF($M984="En retard",$N984+ROW()/100000,"")</f>
        <v/>
      </c>
      <c r="S984">
        <f>IF(OR($F984="",$I984=""),"",$F984+ROW()/100000)</f>
        <v/>
      </c>
      <c r="T984">
        <f>IF($I984="","",IFERROR(INDEX(LIV_Cat,MATCH($I984,LIV_Code,0)),""))</f>
        <v/>
      </c>
    </row>
    <row r="985" ht="21" customHeight="1">
      <c r="A985" s="1" t="n"/>
      <c r="B985" s="1" t="n"/>
      <c r="C985" s="2" t="n"/>
      <c r="E985" s="130">
        <f>IF($F985="","","EMP-"&amp;TEXT(ROW()-6,"0000"))</f>
        <v/>
      </c>
      <c r="F985" s="134" t="n"/>
      <c r="G985" s="127" t="n"/>
      <c r="H985" s="130">
        <f>IF($G985="","",IFERROR(INDEX(MEM_Nom,MATCH($G985,MEM_ID,0)),"⚠ ID inconnu"))</f>
        <v/>
      </c>
      <c r="I985" s="127" t="n"/>
      <c r="J985" s="130">
        <f>IF($I985="","",IFERROR(INDEX(LIV_Titre,MATCH($I985,LIV_Code,0)),"⚠ Code inconnu"))</f>
        <v/>
      </c>
      <c r="K985" s="138">
        <f>IF($F985="","",$F985+P_Duree)</f>
        <v/>
      </c>
      <c r="L985" s="134" t="n"/>
      <c r="M985" s="130">
        <f>IF(OR($F985="",$I985=""),"",IF($L985&lt;&gt;"",IF($L985&gt;$K985,"Rendu en retard","Rendu"),IF(TODAY()&gt;$K985,"En retard","En cours")))</f>
        <v/>
      </c>
      <c r="N985" s="139">
        <f>IF(OR($F985="",$I985=""),"",MAX(0,IF($L985&lt;&gt;"",$L985,TODAY())-$K985))</f>
        <v/>
      </c>
      <c r="O985" s="135">
        <f>IF(OR($F985="",$I985=""),"",$N985*P_Amende)</f>
        <v/>
      </c>
      <c r="P985" s="133" t="n"/>
      <c r="R985">
        <f>IF($M985="En retard",$N985+ROW()/100000,"")</f>
        <v/>
      </c>
      <c r="S985">
        <f>IF(OR($F985="",$I985=""),"",$F985+ROW()/100000)</f>
        <v/>
      </c>
      <c r="T985">
        <f>IF($I985="","",IFERROR(INDEX(LIV_Cat,MATCH($I985,LIV_Code,0)),""))</f>
        <v/>
      </c>
    </row>
    <row r="986" ht="21" customHeight="1">
      <c r="A986" s="1" t="n"/>
      <c r="B986" s="1" t="n"/>
      <c r="C986" s="2" t="n"/>
      <c r="E986" s="130">
        <f>IF($F986="","","EMP-"&amp;TEXT(ROW()-6,"0000"))</f>
        <v/>
      </c>
      <c r="F986" s="134" t="n"/>
      <c r="G986" s="127" t="n"/>
      <c r="H986" s="130">
        <f>IF($G986="","",IFERROR(INDEX(MEM_Nom,MATCH($G986,MEM_ID,0)),"⚠ ID inconnu"))</f>
        <v/>
      </c>
      <c r="I986" s="127" t="n"/>
      <c r="J986" s="130">
        <f>IF($I986="","",IFERROR(INDEX(LIV_Titre,MATCH($I986,LIV_Code,0)),"⚠ Code inconnu"))</f>
        <v/>
      </c>
      <c r="K986" s="138">
        <f>IF($F986="","",$F986+P_Duree)</f>
        <v/>
      </c>
      <c r="L986" s="134" t="n"/>
      <c r="M986" s="130">
        <f>IF(OR($F986="",$I986=""),"",IF($L986&lt;&gt;"",IF($L986&gt;$K986,"Rendu en retard","Rendu"),IF(TODAY()&gt;$K986,"En retard","En cours")))</f>
        <v/>
      </c>
      <c r="N986" s="139">
        <f>IF(OR($F986="",$I986=""),"",MAX(0,IF($L986&lt;&gt;"",$L986,TODAY())-$K986))</f>
        <v/>
      </c>
      <c r="O986" s="135">
        <f>IF(OR($F986="",$I986=""),"",$N986*P_Amende)</f>
        <v/>
      </c>
      <c r="P986" s="133" t="n"/>
      <c r="R986">
        <f>IF($M986="En retard",$N986+ROW()/100000,"")</f>
        <v/>
      </c>
      <c r="S986">
        <f>IF(OR($F986="",$I986=""),"",$F986+ROW()/100000)</f>
        <v/>
      </c>
      <c r="T986">
        <f>IF($I986="","",IFERROR(INDEX(LIV_Cat,MATCH($I986,LIV_Code,0)),""))</f>
        <v/>
      </c>
    </row>
    <row r="987" ht="21" customHeight="1">
      <c r="A987" s="1" t="n"/>
      <c r="B987" s="1" t="n"/>
      <c r="C987" s="2" t="n"/>
      <c r="E987" s="130">
        <f>IF($F987="","","EMP-"&amp;TEXT(ROW()-6,"0000"))</f>
        <v/>
      </c>
      <c r="F987" s="134" t="n"/>
      <c r="G987" s="127" t="n"/>
      <c r="H987" s="130">
        <f>IF($G987="","",IFERROR(INDEX(MEM_Nom,MATCH($G987,MEM_ID,0)),"⚠ ID inconnu"))</f>
        <v/>
      </c>
      <c r="I987" s="127" t="n"/>
      <c r="J987" s="130">
        <f>IF($I987="","",IFERROR(INDEX(LIV_Titre,MATCH($I987,LIV_Code,0)),"⚠ Code inconnu"))</f>
        <v/>
      </c>
      <c r="K987" s="138">
        <f>IF($F987="","",$F987+P_Duree)</f>
        <v/>
      </c>
      <c r="L987" s="134" t="n"/>
      <c r="M987" s="130">
        <f>IF(OR($F987="",$I987=""),"",IF($L987&lt;&gt;"",IF($L987&gt;$K987,"Rendu en retard","Rendu"),IF(TODAY()&gt;$K987,"En retard","En cours")))</f>
        <v/>
      </c>
      <c r="N987" s="139">
        <f>IF(OR($F987="",$I987=""),"",MAX(0,IF($L987&lt;&gt;"",$L987,TODAY())-$K987))</f>
        <v/>
      </c>
      <c r="O987" s="135">
        <f>IF(OR($F987="",$I987=""),"",$N987*P_Amende)</f>
        <v/>
      </c>
      <c r="P987" s="133" t="n"/>
      <c r="R987">
        <f>IF($M987="En retard",$N987+ROW()/100000,"")</f>
        <v/>
      </c>
      <c r="S987">
        <f>IF(OR($F987="",$I987=""),"",$F987+ROW()/100000)</f>
        <v/>
      </c>
      <c r="T987">
        <f>IF($I987="","",IFERROR(INDEX(LIV_Cat,MATCH($I987,LIV_Code,0)),""))</f>
        <v/>
      </c>
    </row>
    <row r="988" ht="21" customHeight="1">
      <c r="A988" s="1" t="n"/>
      <c r="B988" s="1" t="n"/>
      <c r="C988" s="2" t="n"/>
      <c r="E988" s="130">
        <f>IF($F988="","","EMP-"&amp;TEXT(ROW()-6,"0000"))</f>
        <v/>
      </c>
      <c r="F988" s="134" t="n"/>
      <c r="G988" s="127" t="n"/>
      <c r="H988" s="130">
        <f>IF($G988="","",IFERROR(INDEX(MEM_Nom,MATCH($G988,MEM_ID,0)),"⚠ ID inconnu"))</f>
        <v/>
      </c>
      <c r="I988" s="127" t="n"/>
      <c r="J988" s="130">
        <f>IF($I988="","",IFERROR(INDEX(LIV_Titre,MATCH($I988,LIV_Code,0)),"⚠ Code inconnu"))</f>
        <v/>
      </c>
      <c r="K988" s="138">
        <f>IF($F988="","",$F988+P_Duree)</f>
        <v/>
      </c>
      <c r="L988" s="134" t="n"/>
      <c r="M988" s="130">
        <f>IF(OR($F988="",$I988=""),"",IF($L988&lt;&gt;"",IF($L988&gt;$K988,"Rendu en retard","Rendu"),IF(TODAY()&gt;$K988,"En retard","En cours")))</f>
        <v/>
      </c>
      <c r="N988" s="139">
        <f>IF(OR($F988="",$I988=""),"",MAX(0,IF($L988&lt;&gt;"",$L988,TODAY())-$K988))</f>
        <v/>
      </c>
      <c r="O988" s="135">
        <f>IF(OR($F988="",$I988=""),"",$N988*P_Amende)</f>
        <v/>
      </c>
      <c r="P988" s="133" t="n"/>
      <c r="R988">
        <f>IF($M988="En retard",$N988+ROW()/100000,"")</f>
        <v/>
      </c>
      <c r="S988">
        <f>IF(OR($F988="",$I988=""),"",$F988+ROW()/100000)</f>
        <v/>
      </c>
      <c r="T988">
        <f>IF($I988="","",IFERROR(INDEX(LIV_Cat,MATCH($I988,LIV_Code,0)),""))</f>
        <v/>
      </c>
    </row>
    <row r="989" ht="21" customHeight="1">
      <c r="A989" s="1" t="n"/>
      <c r="B989" s="1" t="n"/>
      <c r="C989" s="2" t="n"/>
      <c r="E989" s="130">
        <f>IF($F989="","","EMP-"&amp;TEXT(ROW()-6,"0000"))</f>
        <v/>
      </c>
      <c r="F989" s="134" t="n"/>
      <c r="G989" s="127" t="n"/>
      <c r="H989" s="130">
        <f>IF($G989="","",IFERROR(INDEX(MEM_Nom,MATCH($G989,MEM_ID,0)),"⚠ ID inconnu"))</f>
        <v/>
      </c>
      <c r="I989" s="127" t="n"/>
      <c r="J989" s="130">
        <f>IF($I989="","",IFERROR(INDEX(LIV_Titre,MATCH($I989,LIV_Code,0)),"⚠ Code inconnu"))</f>
        <v/>
      </c>
      <c r="K989" s="138">
        <f>IF($F989="","",$F989+P_Duree)</f>
        <v/>
      </c>
      <c r="L989" s="134" t="n"/>
      <c r="M989" s="130">
        <f>IF(OR($F989="",$I989=""),"",IF($L989&lt;&gt;"",IF($L989&gt;$K989,"Rendu en retard","Rendu"),IF(TODAY()&gt;$K989,"En retard","En cours")))</f>
        <v/>
      </c>
      <c r="N989" s="139">
        <f>IF(OR($F989="",$I989=""),"",MAX(0,IF($L989&lt;&gt;"",$L989,TODAY())-$K989))</f>
        <v/>
      </c>
      <c r="O989" s="135">
        <f>IF(OR($F989="",$I989=""),"",$N989*P_Amende)</f>
        <v/>
      </c>
      <c r="P989" s="133" t="n"/>
      <c r="R989">
        <f>IF($M989="En retard",$N989+ROW()/100000,"")</f>
        <v/>
      </c>
      <c r="S989">
        <f>IF(OR($F989="",$I989=""),"",$F989+ROW()/100000)</f>
        <v/>
      </c>
      <c r="T989">
        <f>IF($I989="","",IFERROR(INDEX(LIV_Cat,MATCH($I989,LIV_Code,0)),""))</f>
        <v/>
      </c>
    </row>
    <row r="990" ht="21" customHeight="1">
      <c r="A990" s="1" t="n"/>
      <c r="B990" s="1" t="n"/>
      <c r="C990" s="2" t="n"/>
      <c r="E990" s="130">
        <f>IF($F990="","","EMP-"&amp;TEXT(ROW()-6,"0000"))</f>
        <v/>
      </c>
      <c r="F990" s="134" t="n"/>
      <c r="G990" s="127" t="n"/>
      <c r="H990" s="130">
        <f>IF($G990="","",IFERROR(INDEX(MEM_Nom,MATCH($G990,MEM_ID,0)),"⚠ ID inconnu"))</f>
        <v/>
      </c>
      <c r="I990" s="127" t="n"/>
      <c r="J990" s="130">
        <f>IF($I990="","",IFERROR(INDEX(LIV_Titre,MATCH($I990,LIV_Code,0)),"⚠ Code inconnu"))</f>
        <v/>
      </c>
      <c r="K990" s="138">
        <f>IF($F990="","",$F990+P_Duree)</f>
        <v/>
      </c>
      <c r="L990" s="134" t="n"/>
      <c r="M990" s="130">
        <f>IF(OR($F990="",$I990=""),"",IF($L990&lt;&gt;"",IF($L990&gt;$K990,"Rendu en retard","Rendu"),IF(TODAY()&gt;$K990,"En retard","En cours")))</f>
        <v/>
      </c>
      <c r="N990" s="139">
        <f>IF(OR($F990="",$I990=""),"",MAX(0,IF($L990&lt;&gt;"",$L990,TODAY())-$K990))</f>
        <v/>
      </c>
      <c r="O990" s="135">
        <f>IF(OR($F990="",$I990=""),"",$N990*P_Amende)</f>
        <v/>
      </c>
      <c r="P990" s="133" t="n"/>
      <c r="R990">
        <f>IF($M990="En retard",$N990+ROW()/100000,"")</f>
        <v/>
      </c>
      <c r="S990">
        <f>IF(OR($F990="",$I990=""),"",$F990+ROW()/100000)</f>
        <v/>
      </c>
      <c r="T990">
        <f>IF($I990="","",IFERROR(INDEX(LIV_Cat,MATCH($I990,LIV_Code,0)),""))</f>
        <v/>
      </c>
    </row>
    <row r="991" ht="21" customHeight="1">
      <c r="A991" s="1" t="n"/>
      <c r="B991" s="1" t="n"/>
      <c r="C991" s="2" t="n"/>
      <c r="E991" s="130">
        <f>IF($F991="","","EMP-"&amp;TEXT(ROW()-6,"0000"))</f>
        <v/>
      </c>
      <c r="F991" s="134" t="n"/>
      <c r="G991" s="127" t="n"/>
      <c r="H991" s="130">
        <f>IF($G991="","",IFERROR(INDEX(MEM_Nom,MATCH($G991,MEM_ID,0)),"⚠ ID inconnu"))</f>
        <v/>
      </c>
      <c r="I991" s="127" t="n"/>
      <c r="J991" s="130">
        <f>IF($I991="","",IFERROR(INDEX(LIV_Titre,MATCH($I991,LIV_Code,0)),"⚠ Code inconnu"))</f>
        <v/>
      </c>
      <c r="K991" s="138">
        <f>IF($F991="","",$F991+P_Duree)</f>
        <v/>
      </c>
      <c r="L991" s="134" t="n"/>
      <c r="M991" s="130">
        <f>IF(OR($F991="",$I991=""),"",IF($L991&lt;&gt;"",IF($L991&gt;$K991,"Rendu en retard","Rendu"),IF(TODAY()&gt;$K991,"En retard","En cours")))</f>
        <v/>
      </c>
      <c r="N991" s="139">
        <f>IF(OR($F991="",$I991=""),"",MAX(0,IF($L991&lt;&gt;"",$L991,TODAY())-$K991))</f>
        <v/>
      </c>
      <c r="O991" s="135">
        <f>IF(OR($F991="",$I991=""),"",$N991*P_Amende)</f>
        <v/>
      </c>
      <c r="P991" s="133" t="n"/>
      <c r="R991">
        <f>IF($M991="En retard",$N991+ROW()/100000,"")</f>
        <v/>
      </c>
      <c r="S991">
        <f>IF(OR($F991="",$I991=""),"",$F991+ROW()/100000)</f>
        <v/>
      </c>
      <c r="T991">
        <f>IF($I991="","",IFERROR(INDEX(LIV_Cat,MATCH($I991,LIV_Code,0)),""))</f>
        <v/>
      </c>
    </row>
    <row r="992" ht="21" customHeight="1">
      <c r="A992" s="1" t="n"/>
      <c r="B992" s="1" t="n"/>
      <c r="C992" s="2" t="n"/>
      <c r="E992" s="130">
        <f>IF($F992="","","EMP-"&amp;TEXT(ROW()-6,"0000"))</f>
        <v/>
      </c>
      <c r="F992" s="134" t="n"/>
      <c r="G992" s="127" t="n"/>
      <c r="H992" s="130">
        <f>IF($G992="","",IFERROR(INDEX(MEM_Nom,MATCH($G992,MEM_ID,0)),"⚠ ID inconnu"))</f>
        <v/>
      </c>
      <c r="I992" s="127" t="n"/>
      <c r="J992" s="130">
        <f>IF($I992="","",IFERROR(INDEX(LIV_Titre,MATCH($I992,LIV_Code,0)),"⚠ Code inconnu"))</f>
        <v/>
      </c>
      <c r="K992" s="138">
        <f>IF($F992="","",$F992+P_Duree)</f>
        <v/>
      </c>
      <c r="L992" s="134" t="n"/>
      <c r="M992" s="130">
        <f>IF(OR($F992="",$I992=""),"",IF($L992&lt;&gt;"",IF($L992&gt;$K992,"Rendu en retard","Rendu"),IF(TODAY()&gt;$K992,"En retard","En cours")))</f>
        <v/>
      </c>
      <c r="N992" s="139">
        <f>IF(OR($F992="",$I992=""),"",MAX(0,IF($L992&lt;&gt;"",$L992,TODAY())-$K992))</f>
        <v/>
      </c>
      <c r="O992" s="135">
        <f>IF(OR($F992="",$I992=""),"",$N992*P_Amende)</f>
        <v/>
      </c>
      <c r="P992" s="133" t="n"/>
      <c r="R992">
        <f>IF($M992="En retard",$N992+ROW()/100000,"")</f>
        <v/>
      </c>
      <c r="S992">
        <f>IF(OR($F992="",$I992=""),"",$F992+ROW()/100000)</f>
        <v/>
      </c>
      <c r="T992">
        <f>IF($I992="","",IFERROR(INDEX(LIV_Cat,MATCH($I992,LIV_Code,0)),""))</f>
        <v/>
      </c>
    </row>
    <row r="993" ht="21" customHeight="1">
      <c r="A993" s="1" t="n"/>
      <c r="B993" s="1" t="n"/>
      <c r="C993" s="2" t="n"/>
      <c r="E993" s="130">
        <f>IF($F993="","","EMP-"&amp;TEXT(ROW()-6,"0000"))</f>
        <v/>
      </c>
      <c r="F993" s="134" t="n"/>
      <c r="G993" s="127" t="n"/>
      <c r="H993" s="130">
        <f>IF($G993="","",IFERROR(INDEX(MEM_Nom,MATCH($G993,MEM_ID,0)),"⚠ ID inconnu"))</f>
        <v/>
      </c>
      <c r="I993" s="127" t="n"/>
      <c r="J993" s="130">
        <f>IF($I993="","",IFERROR(INDEX(LIV_Titre,MATCH($I993,LIV_Code,0)),"⚠ Code inconnu"))</f>
        <v/>
      </c>
      <c r="K993" s="138">
        <f>IF($F993="","",$F993+P_Duree)</f>
        <v/>
      </c>
      <c r="L993" s="134" t="n"/>
      <c r="M993" s="130">
        <f>IF(OR($F993="",$I993=""),"",IF($L993&lt;&gt;"",IF($L993&gt;$K993,"Rendu en retard","Rendu"),IF(TODAY()&gt;$K993,"En retard","En cours")))</f>
        <v/>
      </c>
      <c r="N993" s="139">
        <f>IF(OR($F993="",$I993=""),"",MAX(0,IF($L993&lt;&gt;"",$L993,TODAY())-$K993))</f>
        <v/>
      </c>
      <c r="O993" s="135">
        <f>IF(OR($F993="",$I993=""),"",$N993*P_Amende)</f>
        <v/>
      </c>
      <c r="P993" s="133" t="n"/>
      <c r="R993">
        <f>IF($M993="En retard",$N993+ROW()/100000,"")</f>
        <v/>
      </c>
      <c r="S993">
        <f>IF(OR($F993="",$I993=""),"",$F993+ROW()/100000)</f>
        <v/>
      </c>
      <c r="T993">
        <f>IF($I993="","",IFERROR(INDEX(LIV_Cat,MATCH($I993,LIV_Code,0)),""))</f>
        <v/>
      </c>
    </row>
    <row r="994" ht="21" customHeight="1">
      <c r="A994" s="1" t="n"/>
      <c r="B994" s="1" t="n"/>
      <c r="C994" s="2" t="n"/>
      <c r="E994" s="130">
        <f>IF($F994="","","EMP-"&amp;TEXT(ROW()-6,"0000"))</f>
        <v/>
      </c>
      <c r="F994" s="134" t="n"/>
      <c r="G994" s="127" t="n"/>
      <c r="H994" s="130">
        <f>IF($G994="","",IFERROR(INDEX(MEM_Nom,MATCH($G994,MEM_ID,0)),"⚠ ID inconnu"))</f>
        <v/>
      </c>
      <c r="I994" s="127" t="n"/>
      <c r="J994" s="130">
        <f>IF($I994="","",IFERROR(INDEX(LIV_Titre,MATCH($I994,LIV_Code,0)),"⚠ Code inconnu"))</f>
        <v/>
      </c>
      <c r="K994" s="138">
        <f>IF($F994="","",$F994+P_Duree)</f>
        <v/>
      </c>
      <c r="L994" s="134" t="n"/>
      <c r="M994" s="130">
        <f>IF(OR($F994="",$I994=""),"",IF($L994&lt;&gt;"",IF($L994&gt;$K994,"Rendu en retard","Rendu"),IF(TODAY()&gt;$K994,"En retard","En cours")))</f>
        <v/>
      </c>
      <c r="N994" s="139">
        <f>IF(OR($F994="",$I994=""),"",MAX(0,IF($L994&lt;&gt;"",$L994,TODAY())-$K994))</f>
        <v/>
      </c>
      <c r="O994" s="135">
        <f>IF(OR($F994="",$I994=""),"",$N994*P_Amende)</f>
        <v/>
      </c>
      <c r="P994" s="133" t="n"/>
      <c r="R994">
        <f>IF($M994="En retard",$N994+ROW()/100000,"")</f>
        <v/>
      </c>
      <c r="S994">
        <f>IF(OR($F994="",$I994=""),"",$F994+ROW()/100000)</f>
        <v/>
      </c>
      <c r="T994">
        <f>IF($I994="","",IFERROR(INDEX(LIV_Cat,MATCH($I994,LIV_Code,0)),""))</f>
        <v/>
      </c>
    </row>
    <row r="995" ht="21" customHeight="1">
      <c r="A995" s="1" t="n"/>
      <c r="B995" s="1" t="n"/>
      <c r="C995" s="2" t="n"/>
      <c r="E995" s="130">
        <f>IF($F995="","","EMP-"&amp;TEXT(ROW()-6,"0000"))</f>
        <v/>
      </c>
      <c r="F995" s="134" t="n"/>
      <c r="G995" s="127" t="n"/>
      <c r="H995" s="130">
        <f>IF($G995="","",IFERROR(INDEX(MEM_Nom,MATCH($G995,MEM_ID,0)),"⚠ ID inconnu"))</f>
        <v/>
      </c>
      <c r="I995" s="127" t="n"/>
      <c r="J995" s="130">
        <f>IF($I995="","",IFERROR(INDEX(LIV_Titre,MATCH($I995,LIV_Code,0)),"⚠ Code inconnu"))</f>
        <v/>
      </c>
      <c r="K995" s="138">
        <f>IF($F995="","",$F995+P_Duree)</f>
        <v/>
      </c>
      <c r="L995" s="134" t="n"/>
      <c r="M995" s="130">
        <f>IF(OR($F995="",$I995=""),"",IF($L995&lt;&gt;"",IF($L995&gt;$K995,"Rendu en retard","Rendu"),IF(TODAY()&gt;$K995,"En retard","En cours")))</f>
        <v/>
      </c>
      <c r="N995" s="139">
        <f>IF(OR($F995="",$I995=""),"",MAX(0,IF($L995&lt;&gt;"",$L995,TODAY())-$K995))</f>
        <v/>
      </c>
      <c r="O995" s="135">
        <f>IF(OR($F995="",$I995=""),"",$N995*P_Amende)</f>
        <v/>
      </c>
      <c r="P995" s="133" t="n"/>
      <c r="R995">
        <f>IF($M995="En retard",$N995+ROW()/100000,"")</f>
        <v/>
      </c>
      <c r="S995">
        <f>IF(OR($F995="",$I995=""),"",$F995+ROW()/100000)</f>
        <v/>
      </c>
      <c r="T995">
        <f>IF($I995="","",IFERROR(INDEX(LIV_Cat,MATCH($I995,LIV_Code,0)),""))</f>
        <v/>
      </c>
    </row>
    <row r="996" ht="21" customHeight="1">
      <c r="A996" s="1" t="n"/>
      <c r="B996" s="1" t="n"/>
      <c r="C996" s="2" t="n"/>
      <c r="E996" s="130">
        <f>IF($F996="","","EMP-"&amp;TEXT(ROW()-6,"0000"))</f>
        <v/>
      </c>
      <c r="F996" s="134" t="n"/>
      <c r="G996" s="127" t="n"/>
      <c r="H996" s="130">
        <f>IF($G996="","",IFERROR(INDEX(MEM_Nom,MATCH($G996,MEM_ID,0)),"⚠ ID inconnu"))</f>
        <v/>
      </c>
      <c r="I996" s="127" t="n"/>
      <c r="J996" s="130">
        <f>IF($I996="","",IFERROR(INDEX(LIV_Titre,MATCH($I996,LIV_Code,0)),"⚠ Code inconnu"))</f>
        <v/>
      </c>
      <c r="K996" s="138">
        <f>IF($F996="","",$F996+P_Duree)</f>
        <v/>
      </c>
      <c r="L996" s="134" t="n"/>
      <c r="M996" s="130">
        <f>IF(OR($F996="",$I996=""),"",IF($L996&lt;&gt;"",IF($L996&gt;$K996,"Rendu en retard","Rendu"),IF(TODAY()&gt;$K996,"En retard","En cours")))</f>
        <v/>
      </c>
      <c r="N996" s="139">
        <f>IF(OR($F996="",$I996=""),"",MAX(0,IF($L996&lt;&gt;"",$L996,TODAY())-$K996))</f>
        <v/>
      </c>
      <c r="O996" s="135">
        <f>IF(OR($F996="",$I996=""),"",$N996*P_Amende)</f>
        <v/>
      </c>
      <c r="P996" s="133" t="n"/>
      <c r="R996">
        <f>IF($M996="En retard",$N996+ROW()/100000,"")</f>
        <v/>
      </c>
      <c r="S996">
        <f>IF(OR($F996="",$I996=""),"",$F996+ROW()/100000)</f>
        <v/>
      </c>
      <c r="T996">
        <f>IF($I996="","",IFERROR(INDEX(LIV_Cat,MATCH($I996,LIV_Code,0)),""))</f>
        <v/>
      </c>
    </row>
    <row r="997" ht="21" customHeight="1">
      <c r="A997" s="1" t="n"/>
      <c r="B997" s="1" t="n"/>
      <c r="C997" s="2" t="n"/>
      <c r="E997" s="130">
        <f>IF($F997="","","EMP-"&amp;TEXT(ROW()-6,"0000"))</f>
        <v/>
      </c>
      <c r="F997" s="134" t="n"/>
      <c r="G997" s="127" t="n"/>
      <c r="H997" s="130">
        <f>IF($G997="","",IFERROR(INDEX(MEM_Nom,MATCH($G997,MEM_ID,0)),"⚠ ID inconnu"))</f>
        <v/>
      </c>
      <c r="I997" s="127" t="n"/>
      <c r="J997" s="130">
        <f>IF($I997="","",IFERROR(INDEX(LIV_Titre,MATCH($I997,LIV_Code,0)),"⚠ Code inconnu"))</f>
        <v/>
      </c>
      <c r="K997" s="138">
        <f>IF($F997="","",$F997+P_Duree)</f>
        <v/>
      </c>
      <c r="L997" s="134" t="n"/>
      <c r="M997" s="130">
        <f>IF(OR($F997="",$I997=""),"",IF($L997&lt;&gt;"",IF($L997&gt;$K997,"Rendu en retard","Rendu"),IF(TODAY()&gt;$K997,"En retard","En cours")))</f>
        <v/>
      </c>
      <c r="N997" s="139">
        <f>IF(OR($F997="",$I997=""),"",MAX(0,IF($L997&lt;&gt;"",$L997,TODAY())-$K997))</f>
        <v/>
      </c>
      <c r="O997" s="135">
        <f>IF(OR($F997="",$I997=""),"",$N997*P_Amende)</f>
        <v/>
      </c>
      <c r="P997" s="133" t="n"/>
      <c r="R997">
        <f>IF($M997="En retard",$N997+ROW()/100000,"")</f>
        <v/>
      </c>
      <c r="S997">
        <f>IF(OR($F997="",$I997=""),"",$F997+ROW()/100000)</f>
        <v/>
      </c>
      <c r="T997">
        <f>IF($I997="","",IFERROR(INDEX(LIV_Cat,MATCH($I997,LIV_Code,0)),""))</f>
        <v/>
      </c>
    </row>
    <row r="998" ht="21" customHeight="1">
      <c r="A998" s="1" t="n"/>
      <c r="B998" s="1" t="n"/>
      <c r="C998" s="2" t="n"/>
      <c r="E998" s="130">
        <f>IF($F998="","","EMP-"&amp;TEXT(ROW()-6,"0000"))</f>
        <v/>
      </c>
      <c r="F998" s="134" t="n"/>
      <c r="G998" s="127" t="n"/>
      <c r="H998" s="130">
        <f>IF($G998="","",IFERROR(INDEX(MEM_Nom,MATCH($G998,MEM_ID,0)),"⚠ ID inconnu"))</f>
        <v/>
      </c>
      <c r="I998" s="127" t="n"/>
      <c r="J998" s="130">
        <f>IF($I998="","",IFERROR(INDEX(LIV_Titre,MATCH($I998,LIV_Code,0)),"⚠ Code inconnu"))</f>
        <v/>
      </c>
      <c r="K998" s="138">
        <f>IF($F998="","",$F998+P_Duree)</f>
        <v/>
      </c>
      <c r="L998" s="134" t="n"/>
      <c r="M998" s="130">
        <f>IF(OR($F998="",$I998=""),"",IF($L998&lt;&gt;"",IF($L998&gt;$K998,"Rendu en retard","Rendu"),IF(TODAY()&gt;$K998,"En retard","En cours")))</f>
        <v/>
      </c>
      <c r="N998" s="139">
        <f>IF(OR($F998="",$I998=""),"",MAX(0,IF($L998&lt;&gt;"",$L998,TODAY())-$K998))</f>
        <v/>
      </c>
      <c r="O998" s="135">
        <f>IF(OR($F998="",$I998=""),"",$N998*P_Amende)</f>
        <v/>
      </c>
      <c r="P998" s="133" t="n"/>
      <c r="R998">
        <f>IF($M998="En retard",$N998+ROW()/100000,"")</f>
        <v/>
      </c>
      <c r="S998">
        <f>IF(OR($F998="",$I998=""),"",$F998+ROW()/100000)</f>
        <v/>
      </c>
      <c r="T998">
        <f>IF($I998="","",IFERROR(INDEX(LIV_Cat,MATCH($I998,LIV_Code,0)),""))</f>
        <v/>
      </c>
    </row>
    <row r="999" ht="21" customHeight="1">
      <c r="A999" s="1" t="n"/>
      <c r="B999" s="1" t="n"/>
      <c r="C999" s="2" t="n"/>
      <c r="E999" s="130">
        <f>IF($F999="","","EMP-"&amp;TEXT(ROW()-6,"0000"))</f>
        <v/>
      </c>
      <c r="F999" s="134" t="n"/>
      <c r="G999" s="127" t="n"/>
      <c r="H999" s="130">
        <f>IF($G999="","",IFERROR(INDEX(MEM_Nom,MATCH($G999,MEM_ID,0)),"⚠ ID inconnu"))</f>
        <v/>
      </c>
      <c r="I999" s="127" t="n"/>
      <c r="J999" s="130">
        <f>IF($I999="","",IFERROR(INDEX(LIV_Titre,MATCH($I999,LIV_Code,0)),"⚠ Code inconnu"))</f>
        <v/>
      </c>
      <c r="K999" s="138">
        <f>IF($F999="","",$F999+P_Duree)</f>
        <v/>
      </c>
      <c r="L999" s="134" t="n"/>
      <c r="M999" s="130">
        <f>IF(OR($F999="",$I999=""),"",IF($L999&lt;&gt;"",IF($L999&gt;$K999,"Rendu en retard","Rendu"),IF(TODAY()&gt;$K999,"En retard","En cours")))</f>
        <v/>
      </c>
      <c r="N999" s="139">
        <f>IF(OR($F999="",$I999=""),"",MAX(0,IF($L999&lt;&gt;"",$L999,TODAY())-$K999))</f>
        <v/>
      </c>
      <c r="O999" s="135">
        <f>IF(OR($F999="",$I999=""),"",$N999*P_Amende)</f>
        <v/>
      </c>
      <c r="P999" s="133" t="n"/>
      <c r="R999">
        <f>IF($M999="En retard",$N999+ROW()/100000,"")</f>
        <v/>
      </c>
      <c r="S999">
        <f>IF(OR($F999="",$I999=""),"",$F999+ROW()/100000)</f>
        <v/>
      </c>
      <c r="T999">
        <f>IF($I999="","",IFERROR(INDEX(LIV_Cat,MATCH($I999,LIV_Code,0)),""))</f>
        <v/>
      </c>
    </row>
    <row r="1000" ht="21" customHeight="1">
      <c r="A1000" s="1" t="n"/>
      <c r="B1000" s="1" t="n"/>
      <c r="C1000" s="2" t="n"/>
      <c r="E1000" s="130">
        <f>IF($F1000="","","EMP-"&amp;TEXT(ROW()-6,"0000"))</f>
        <v/>
      </c>
      <c r="F1000" s="134" t="n"/>
      <c r="G1000" s="127" t="n"/>
      <c r="H1000" s="130">
        <f>IF($G1000="","",IFERROR(INDEX(MEM_Nom,MATCH($G1000,MEM_ID,0)),"⚠ ID inconnu"))</f>
        <v/>
      </c>
      <c r="I1000" s="127" t="n"/>
      <c r="J1000" s="130">
        <f>IF($I1000="","",IFERROR(INDEX(LIV_Titre,MATCH($I1000,LIV_Code,0)),"⚠ Code inconnu"))</f>
        <v/>
      </c>
      <c r="K1000" s="138">
        <f>IF($F1000="","",$F1000+P_Duree)</f>
        <v/>
      </c>
      <c r="L1000" s="134" t="n"/>
      <c r="M1000" s="130">
        <f>IF(OR($F1000="",$I1000=""),"",IF($L1000&lt;&gt;"",IF($L1000&gt;$K1000,"Rendu en retard","Rendu"),IF(TODAY()&gt;$K1000,"En retard","En cours")))</f>
        <v/>
      </c>
      <c r="N1000" s="139">
        <f>IF(OR($F1000="",$I1000=""),"",MAX(0,IF($L1000&lt;&gt;"",$L1000,TODAY())-$K1000))</f>
        <v/>
      </c>
      <c r="O1000" s="135">
        <f>IF(OR($F1000="",$I1000=""),"",$N1000*P_Amende)</f>
        <v/>
      </c>
      <c r="P1000" s="133" t="n"/>
      <c r="R1000">
        <f>IF($M1000="En retard",$N1000+ROW()/100000,"")</f>
        <v/>
      </c>
      <c r="S1000">
        <f>IF(OR($F1000="",$I1000=""),"",$F1000+ROW()/100000)</f>
        <v/>
      </c>
      <c r="T1000">
        <f>IF($I1000="","",IFERROR(INDEX(LIV_Cat,MATCH($I1000,LIV_Code,0)),""))</f>
        <v/>
      </c>
    </row>
    <row r="1001" ht="21" customHeight="1">
      <c r="A1001" s="1" t="n"/>
      <c r="B1001" s="1" t="n"/>
      <c r="C1001" s="2" t="n"/>
      <c r="E1001" s="130">
        <f>IF($F1001="","","EMP-"&amp;TEXT(ROW()-6,"0000"))</f>
        <v/>
      </c>
      <c r="F1001" s="134" t="n"/>
      <c r="G1001" s="127" t="n"/>
      <c r="H1001" s="130">
        <f>IF($G1001="","",IFERROR(INDEX(MEM_Nom,MATCH($G1001,MEM_ID,0)),"⚠ ID inconnu"))</f>
        <v/>
      </c>
      <c r="I1001" s="127" t="n"/>
      <c r="J1001" s="130">
        <f>IF($I1001="","",IFERROR(INDEX(LIV_Titre,MATCH($I1001,LIV_Code,0)),"⚠ Code inconnu"))</f>
        <v/>
      </c>
      <c r="K1001" s="138">
        <f>IF($F1001="","",$F1001+P_Duree)</f>
        <v/>
      </c>
      <c r="L1001" s="134" t="n"/>
      <c r="M1001" s="130">
        <f>IF(OR($F1001="",$I1001=""),"",IF($L1001&lt;&gt;"",IF($L1001&gt;$K1001,"Rendu en retard","Rendu"),IF(TODAY()&gt;$K1001,"En retard","En cours")))</f>
        <v/>
      </c>
      <c r="N1001" s="139">
        <f>IF(OR($F1001="",$I1001=""),"",MAX(0,IF($L1001&lt;&gt;"",$L1001,TODAY())-$K1001))</f>
        <v/>
      </c>
      <c r="O1001" s="135">
        <f>IF(OR($F1001="",$I1001=""),"",$N1001*P_Amende)</f>
        <v/>
      </c>
      <c r="P1001" s="133" t="n"/>
      <c r="R1001">
        <f>IF($M1001="En retard",$N1001+ROW()/100000,"")</f>
        <v/>
      </c>
      <c r="S1001">
        <f>IF(OR($F1001="",$I1001=""),"",$F1001+ROW()/100000)</f>
        <v/>
      </c>
      <c r="T1001">
        <f>IF($I1001="","",IFERROR(INDEX(LIV_Cat,MATCH($I1001,LIV_Code,0)),""))</f>
        <v/>
      </c>
    </row>
    <row r="1002" ht="21" customHeight="1">
      <c r="A1002" s="1" t="n"/>
      <c r="B1002" s="1" t="n"/>
      <c r="C1002" s="2" t="n"/>
      <c r="E1002" s="130">
        <f>IF($F1002="","","EMP-"&amp;TEXT(ROW()-6,"0000"))</f>
        <v/>
      </c>
      <c r="F1002" s="134" t="n"/>
      <c r="G1002" s="127" t="n"/>
      <c r="H1002" s="130">
        <f>IF($G1002="","",IFERROR(INDEX(MEM_Nom,MATCH($G1002,MEM_ID,0)),"⚠ ID inconnu"))</f>
        <v/>
      </c>
      <c r="I1002" s="127" t="n"/>
      <c r="J1002" s="130">
        <f>IF($I1002="","",IFERROR(INDEX(LIV_Titre,MATCH($I1002,LIV_Code,0)),"⚠ Code inconnu"))</f>
        <v/>
      </c>
      <c r="K1002" s="138">
        <f>IF($F1002="","",$F1002+P_Duree)</f>
        <v/>
      </c>
      <c r="L1002" s="134" t="n"/>
      <c r="M1002" s="130">
        <f>IF(OR($F1002="",$I1002=""),"",IF($L1002&lt;&gt;"",IF($L1002&gt;$K1002,"Rendu en retard","Rendu"),IF(TODAY()&gt;$K1002,"En retard","En cours")))</f>
        <v/>
      </c>
      <c r="N1002" s="139">
        <f>IF(OR($F1002="",$I1002=""),"",MAX(0,IF($L1002&lt;&gt;"",$L1002,TODAY())-$K1002))</f>
        <v/>
      </c>
      <c r="O1002" s="135">
        <f>IF(OR($F1002="",$I1002=""),"",$N1002*P_Amende)</f>
        <v/>
      </c>
      <c r="P1002" s="133" t="n"/>
      <c r="R1002">
        <f>IF($M1002="En retard",$N1002+ROW()/100000,"")</f>
        <v/>
      </c>
      <c r="S1002">
        <f>IF(OR($F1002="",$I1002=""),"",$F1002+ROW()/100000)</f>
        <v/>
      </c>
      <c r="T1002">
        <f>IF($I1002="","",IFERROR(INDEX(LIV_Cat,MATCH($I1002,LIV_Code,0)),""))</f>
        <v/>
      </c>
    </row>
    <row r="1003" ht="21" customHeight="1">
      <c r="A1003" s="1" t="n"/>
      <c r="B1003" s="1" t="n"/>
      <c r="C1003" s="2" t="n"/>
      <c r="E1003" s="130">
        <f>IF($F1003="","","EMP-"&amp;TEXT(ROW()-6,"0000"))</f>
        <v/>
      </c>
      <c r="F1003" s="134" t="n"/>
      <c r="G1003" s="127" t="n"/>
      <c r="H1003" s="130">
        <f>IF($G1003="","",IFERROR(INDEX(MEM_Nom,MATCH($G1003,MEM_ID,0)),"⚠ ID inconnu"))</f>
        <v/>
      </c>
      <c r="I1003" s="127" t="n"/>
      <c r="J1003" s="130">
        <f>IF($I1003="","",IFERROR(INDEX(LIV_Titre,MATCH($I1003,LIV_Code,0)),"⚠ Code inconnu"))</f>
        <v/>
      </c>
      <c r="K1003" s="138">
        <f>IF($F1003="","",$F1003+P_Duree)</f>
        <v/>
      </c>
      <c r="L1003" s="134" t="n"/>
      <c r="M1003" s="130">
        <f>IF(OR($F1003="",$I1003=""),"",IF($L1003&lt;&gt;"",IF($L1003&gt;$K1003,"Rendu en retard","Rendu"),IF(TODAY()&gt;$K1003,"En retard","En cours")))</f>
        <v/>
      </c>
      <c r="N1003" s="139">
        <f>IF(OR($F1003="",$I1003=""),"",MAX(0,IF($L1003&lt;&gt;"",$L1003,TODAY())-$K1003))</f>
        <v/>
      </c>
      <c r="O1003" s="135">
        <f>IF(OR($F1003="",$I1003=""),"",$N1003*P_Amende)</f>
        <v/>
      </c>
      <c r="P1003" s="133" t="n"/>
      <c r="R1003">
        <f>IF($M1003="En retard",$N1003+ROW()/100000,"")</f>
        <v/>
      </c>
      <c r="S1003">
        <f>IF(OR($F1003="",$I1003=""),"",$F1003+ROW()/100000)</f>
        <v/>
      </c>
      <c r="T1003">
        <f>IF($I1003="","",IFERROR(INDEX(LIV_Cat,MATCH($I1003,LIV_Code,0)),""))</f>
        <v/>
      </c>
    </row>
    <row r="1004" ht="21" customHeight="1">
      <c r="A1004" s="1" t="n"/>
      <c r="B1004" s="1" t="n"/>
      <c r="C1004" s="2" t="n"/>
      <c r="E1004" s="130">
        <f>IF($F1004="","","EMP-"&amp;TEXT(ROW()-6,"0000"))</f>
        <v/>
      </c>
      <c r="F1004" s="134" t="n"/>
      <c r="G1004" s="127" t="n"/>
      <c r="H1004" s="130">
        <f>IF($G1004="","",IFERROR(INDEX(MEM_Nom,MATCH($G1004,MEM_ID,0)),"⚠ ID inconnu"))</f>
        <v/>
      </c>
      <c r="I1004" s="127" t="n"/>
      <c r="J1004" s="130">
        <f>IF($I1004="","",IFERROR(INDEX(LIV_Titre,MATCH($I1004,LIV_Code,0)),"⚠ Code inconnu"))</f>
        <v/>
      </c>
      <c r="K1004" s="138">
        <f>IF($F1004="","",$F1004+P_Duree)</f>
        <v/>
      </c>
      <c r="L1004" s="134" t="n"/>
      <c r="M1004" s="130">
        <f>IF(OR($F1004="",$I1004=""),"",IF($L1004&lt;&gt;"",IF($L1004&gt;$K1004,"Rendu en retard","Rendu"),IF(TODAY()&gt;$K1004,"En retard","En cours")))</f>
        <v/>
      </c>
      <c r="N1004" s="139">
        <f>IF(OR($F1004="",$I1004=""),"",MAX(0,IF($L1004&lt;&gt;"",$L1004,TODAY())-$K1004))</f>
        <v/>
      </c>
      <c r="O1004" s="135">
        <f>IF(OR($F1004="",$I1004=""),"",$N1004*P_Amende)</f>
        <v/>
      </c>
      <c r="P1004" s="133" t="n"/>
      <c r="R1004">
        <f>IF($M1004="En retard",$N1004+ROW()/100000,"")</f>
        <v/>
      </c>
      <c r="S1004">
        <f>IF(OR($F1004="",$I1004=""),"",$F1004+ROW()/100000)</f>
        <v/>
      </c>
      <c r="T1004">
        <f>IF($I1004="","",IFERROR(INDEX(LIV_Cat,MATCH($I1004,LIV_Code,0)),""))</f>
        <v/>
      </c>
    </row>
    <row r="1005" ht="21" customHeight="1">
      <c r="A1005" s="1" t="n"/>
      <c r="B1005" s="1" t="n"/>
      <c r="C1005" s="2" t="n"/>
      <c r="E1005" s="130">
        <f>IF($F1005="","","EMP-"&amp;TEXT(ROW()-6,"0000"))</f>
        <v/>
      </c>
      <c r="F1005" s="134" t="n"/>
      <c r="G1005" s="127" t="n"/>
      <c r="H1005" s="130">
        <f>IF($G1005="","",IFERROR(INDEX(MEM_Nom,MATCH($G1005,MEM_ID,0)),"⚠ ID inconnu"))</f>
        <v/>
      </c>
      <c r="I1005" s="127" t="n"/>
      <c r="J1005" s="130">
        <f>IF($I1005="","",IFERROR(INDEX(LIV_Titre,MATCH($I1005,LIV_Code,0)),"⚠ Code inconnu"))</f>
        <v/>
      </c>
      <c r="K1005" s="138">
        <f>IF($F1005="","",$F1005+P_Duree)</f>
        <v/>
      </c>
      <c r="L1005" s="134" t="n"/>
      <c r="M1005" s="130">
        <f>IF(OR($F1005="",$I1005=""),"",IF($L1005&lt;&gt;"",IF($L1005&gt;$K1005,"Rendu en retard","Rendu"),IF(TODAY()&gt;$K1005,"En retard","En cours")))</f>
        <v/>
      </c>
      <c r="N1005" s="139">
        <f>IF(OR($F1005="",$I1005=""),"",MAX(0,IF($L1005&lt;&gt;"",$L1005,TODAY())-$K1005))</f>
        <v/>
      </c>
      <c r="O1005" s="135">
        <f>IF(OR($F1005="",$I1005=""),"",$N1005*P_Amende)</f>
        <v/>
      </c>
      <c r="P1005" s="133" t="n"/>
      <c r="R1005">
        <f>IF($M1005="En retard",$N1005+ROW()/100000,"")</f>
        <v/>
      </c>
      <c r="S1005">
        <f>IF(OR($F1005="",$I1005=""),"",$F1005+ROW()/100000)</f>
        <v/>
      </c>
      <c r="T1005">
        <f>IF($I1005="","",IFERROR(INDEX(LIV_Cat,MATCH($I1005,LIV_Code,0)),""))</f>
        <v/>
      </c>
    </row>
    <row r="1006" ht="21" customHeight="1">
      <c r="A1006" s="1" t="n"/>
      <c r="B1006" s="1" t="n"/>
      <c r="C1006" s="2" t="n"/>
      <c r="E1006" s="130">
        <f>IF($F1006="","","EMP-"&amp;TEXT(ROW()-6,"0000"))</f>
        <v/>
      </c>
      <c r="F1006" s="134" t="n"/>
      <c r="G1006" s="127" t="n"/>
      <c r="H1006" s="130">
        <f>IF($G1006="","",IFERROR(INDEX(MEM_Nom,MATCH($G1006,MEM_ID,0)),"⚠ ID inconnu"))</f>
        <v/>
      </c>
      <c r="I1006" s="127" t="n"/>
      <c r="J1006" s="130">
        <f>IF($I1006="","",IFERROR(INDEX(LIV_Titre,MATCH($I1006,LIV_Code,0)),"⚠ Code inconnu"))</f>
        <v/>
      </c>
      <c r="K1006" s="138">
        <f>IF($F1006="","",$F1006+P_Duree)</f>
        <v/>
      </c>
      <c r="L1006" s="134" t="n"/>
      <c r="M1006" s="130">
        <f>IF(OR($F1006="",$I1006=""),"",IF($L1006&lt;&gt;"",IF($L1006&gt;$K1006,"Rendu en retard","Rendu"),IF(TODAY()&gt;$K1006,"En retard","En cours")))</f>
        <v/>
      </c>
      <c r="N1006" s="139">
        <f>IF(OR($F1006="",$I1006=""),"",MAX(0,IF($L1006&lt;&gt;"",$L1006,TODAY())-$K1006))</f>
        <v/>
      </c>
      <c r="O1006" s="135">
        <f>IF(OR($F1006="",$I1006=""),"",$N1006*P_Amende)</f>
        <v/>
      </c>
      <c r="P1006" s="133" t="n"/>
      <c r="R1006">
        <f>IF($M1006="En retard",$N1006+ROW()/100000,"")</f>
        <v/>
      </c>
      <c r="S1006">
        <f>IF(OR($F1006="",$I1006=""),"",$F1006+ROW()/100000)</f>
        <v/>
      </c>
      <c r="T1006">
        <f>IF($I1006="","",IFERROR(INDEX(LIV_Cat,MATCH($I1006,LIV_Code,0)),""))</f>
        <v/>
      </c>
    </row>
    <row r="1007">
      <c r="A1007" s="1" t="n"/>
      <c r="B1007" s="1" t="n"/>
      <c r="C1007" s="2" t="n"/>
    </row>
    <row r="1008">
      <c r="A1008" s="1" t="n"/>
      <c r="B1008" s="1" t="n"/>
      <c r="C1008" s="2" t="n"/>
    </row>
  </sheetData>
  <autoFilter ref="E6:P1006"/>
  <mergeCells count="15">
    <mergeCell ref="B13:C13"/>
    <mergeCell ref="G4:H4"/>
    <mergeCell ref="O2:P2"/>
    <mergeCell ref="M2:N2"/>
    <mergeCell ref="B16:C16"/>
    <mergeCell ref="E4:F4"/>
    <mergeCell ref="B15:C15"/>
    <mergeCell ref="I4:J4"/>
    <mergeCell ref="B11:C11"/>
    <mergeCell ref="K4:L4"/>
    <mergeCell ref="B10:C10"/>
    <mergeCell ref="B14:C14"/>
    <mergeCell ref="B9:C9"/>
    <mergeCell ref="B8:C8"/>
    <mergeCell ref="B12:C12"/>
  </mergeCells>
  <conditionalFormatting sqref="M7:M1006">
    <cfRule type="expression" priority="1" dxfId="2" stopIfTrue="1">
      <formula>OR($M7="Disponible",$M7="Rendu",$M7="En stock",$M7="Actif",$M7="Entrée",$M7="Oui")</formula>
    </cfRule>
    <cfRule type="expression" priority="2" dxfId="3" stopIfTrue="1">
      <formula>OR($M7="En retard",$M7="Rupture",$M7="Indisponible",$M7="Non")</formula>
    </cfRule>
    <cfRule type="expression" priority="3" dxfId="4" stopIfTrue="1">
      <formula>OR($M7="Stock faible",$M7="Dernier exemplaire",$M7="Rendu en retard",$M7="Limite atteinte",$M7="Sortie")</formula>
    </cfRule>
    <cfRule type="expression" priority="4" dxfId="5" stopIfTrue="1">
      <formula>OR($M7="En cours")</formula>
    </cfRule>
  </conditionalFormatting>
  <conditionalFormatting sqref="P7:P1006">
    <cfRule type="expression" priority="5" dxfId="2" stopIfTrue="1">
      <formula>OR($P7="Disponible",$P7="Rendu",$P7="En stock",$P7="Actif",$P7="Entrée",$P7="Oui")</formula>
    </cfRule>
    <cfRule type="expression" priority="6" dxfId="3" stopIfTrue="1">
      <formula>OR($P7="En retard",$P7="Rupture",$P7="Indisponible",$P7="Non")</formula>
    </cfRule>
    <cfRule type="expression" priority="7" dxfId="4" stopIfTrue="1">
      <formula>OR($P7="Stock faible",$P7="Dernier exemplaire",$P7="Rendu en retard",$P7="Limite atteinte",$P7="Sortie")</formula>
    </cfRule>
    <cfRule type="expression" priority="8" dxfId="5" stopIfTrue="1">
      <formula>OR($P7="En cours")</formula>
    </cfRule>
  </conditionalFormatting>
  <conditionalFormatting sqref="N7:N1006">
    <cfRule type="expression" priority="9" dxfId="1">
      <formula>AND(ISNUMBER($N7),$N7&gt;0)</formula>
    </cfRule>
  </conditionalFormatting>
  <conditionalFormatting sqref="E7:P1006">
    <cfRule type="expression" priority="10" dxfId="6">
      <formula>AND($E7&lt;&gt;"",MOD(ROW(),2)=0)</formula>
    </cfRule>
  </conditionalFormatting>
  <dataValidations count="5">
    <dataValidation sqref="F7:F1006" showDropDown="0" showInputMessage="0" showErrorMessage="1" allowBlank="1" errorTitle="Date non valide" error="Saisissez une date au format jj/mm/aaaa." type="date" operator="greaterThan">
      <formula1>36526</formula1>
    </dataValidation>
    <dataValidation sqref="L7:L1006" showDropDown="0" showInputMessage="0" showErrorMessage="1" allowBlank="1" errorTitle="Date non valide" error="Saisissez une date au format jj/mm/aaaa." type="date" operator="greaterThan">
      <formula1>36526</formula1>
    </dataValidation>
    <dataValidation sqref="G7:G1006" showDropDown="0" showInputMessage="0" showErrorMessage="1" allowBlank="1" errorTitle="Valeur non valide" error="Cet ID n'existe pas dans la feuille Membres." type="list">
      <formula1>=MEM_ID</formula1>
    </dataValidation>
    <dataValidation sqref="I7:I1006" showDropDown="0" showInputMessage="0" showErrorMessage="1" allowBlank="1" errorTitle="Valeur non valide" error="Ce code n'existe pas dans la feuille Livres." type="list">
      <formula1>=LIV_Code</formula1>
    </dataValidation>
    <dataValidation sqref="P7:P1006" showDropDown="0" showInputMessage="0" showErrorMessage="1" allowBlank="1" errorTitle="Valeur non valide" error="Choisissez Oui ou Non." type="list">
      <formula1>=L_OuiNon</formula1>
    </dataValidation>
  </dataValidations>
  <pageMargins left="0.75" right="0.75" top="1" bottom="1" header="0.5" footer="0.5"/>
  <pageSetup orientation="landscape" fitToHeight="0" fitToWidth="1"/>
  <drawing xmlns:r="http://schemas.openxmlformats.org/officeDocument/2006/relationships" r:id="rId1"/>
</worksheet>
</file>

<file path=xl/worksheets/sheet5.xml><?xml version="1.0" encoding="utf-8"?>
<worksheet xmlns="http://schemas.openxmlformats.org/spreadsheetml/2006/main">
  <sheetPr>
    <tabColor rgb="00F59E0B"/>
    <outlinePr summaryBelow="1" summaryRight="1"/>
    <pageSetUpPr fitToPage="1"/>
  </sheetPr>
  <dimension ref="A1:S208"/>
  <sheetViews>
    <sheetView showGridLines="0" zoomScale="100" workbookViewId="0">
      <pane xSplit="4" ySplit="6" topLeftCell="E7" activePane="bottomRight" state="frozen"/>
      <selection pane="topRight"/>
      <selection pane="bottomLeft"/>
      <selection pane="bottomRight" activeCell="A1" sqref="A1"/>
    </sheetView>
  </sheetViews>
  <sheetFormatPr baseColWidth="8" defaultRowHeight="15"/>
  <cols>
    <col width="1" customWidth="1" min="1" max="1"/>
    <col width="23" customWidth="1" min="2" max="2"/>
    <col width="12" customWidth="1" min="3" max="3"/>
    <col width="3" customWidth="1" min="4" max="4"/>
    <col width="11" customWidth="1" min="5" max="5"/>
    <col width="28" customWidth="1" min="6" max="6"/>
    <col width="19" customWidth="1" min="7" max="7"/>
    <col width="10" customWidth="1" min="8" max="8"/>
    <col width="11" customWidth="1" min="9" max="9"/>
    <col width="11" customWidth="1" min="10" max="10"/>
    <col width="13" customWidth="1" min="11" max="11"/>
    <col width="21" customWidth="1" min="12" max="12"/>
    <col width="10" customWidth="1" min="13" max="13"/>
    <col width="10" customWidth="1" min="14" max="14"/>
    <col width="11" customWidth="1" min="15" max="15"/>
    <col width="15" customWidth="1" min="16" max="16"/>
    <col width="15" customWidth="1" min="17" max="17"/>
    <col width="3" customWidth="1" min="18" max="18"/>
    <col hidden="1" width="13" customWidth="1" min="19" max="19"/>
  </cols>
  <sheetData>
    <row r="1" ht="8" customHeight="1">
      <c r="A1" s="1" t="n"/>
      <c r="B1" s="1" t="n"/>
      <c r="C1" s="2" t="n"/>
    </row>
    <row r="2" ht="32" customHeight="1">
      <c r="A2" s="1" t="n"/>
      <c r="B2" s="1" t="n"/>
      <c r="C2" s="2" t="n"/>
      <c r="E2" s="113" t="inlineStr">
        <is>
          <t>📦  Fournitures &amp; stocks</t>
        </is>
      </c>
      <c r="N2" s="114">
        <f>HYPERLINK("#'Tableau de bord'!A1","⌂  Tableau de bord")</f>
        <v/>
      </c>
      <c r="O2" s="115" t="n"/>
      <c r="P2" s="116">
        <f>HYPERLINK("#'Fournitures'!E"&amp;(7+COUNTIF(FOU_Code,"?*")),"＋  Nouvel article")</f>
        <v/>
      </c>
      <c r="Q2" s="117" t="n"/>
    </row>
    <row r="3" ht="18" customHeight="1">
      <c r="A3" s="1" t="n"/>
      <c r="B3" s="1" t="n"/>
      <c r="C3" s="2" t="n"/>
      <c r="E3" s="118" t="inlineStr">
        <is>
          <t>Le stock actuel = stock initial + entrées − sorties (voir la feuille Mouvements).</t>
        </is>
      </c>
    </row>
    <row r="4" ht="26" customHeight="1">
      <c r="A4" s="1" t="n"/>
      <c r="B4" s="1" t="n"/>
      <c r="C4" s="2" t="n"/>
      <c r="E4" s="119">
        <f>COUNTIF(FOU_Code,"?*")&amp;" articles"</f>
        <v/>
      </c>
      <c r="F4" s="120" t="n"/>
      <c r="G4" s="121">
        <f>COUNTIF(FOU_Statut,"En stock")&amp;" en stock"</f>
        <v/>
      </c>
      <c r="H4" s="122" t="n"/>
      <c r="I4" s="136">
        <f>COUNTIF(FOU_Statut,"Stock faible")&amp;" stock faible"</f>
        <v/>
      </c>
      <c r="J4" s="137" t="n"/>
      <c r="K4" s="131">
        <f>COUNTIF(FOU_Statut,"Rupture")&amp;" en rupture"</f>
        <v/>
      </c>
      <c r="L4" s="132" t="n"/>
    </row>
    <row r="5" ht="10" customHeight="1">
      <c r="A5" s="1" t="n"/>
      <c r="B5" s="1" t="n"/>
      <c r="C5" s="2" t="n"/>
    </row>
    <row r="6" ht="30" customHeight="1">
      <c r="A6" s="1" t="n"/>
      <c r="B6" s="1" t="n"/>
      <c r="C6" s="2" t="n"/>
      <c r="E6" s="124" t="inlineStr">
        <is>
          <t>Code</t>
        </is>
      </c>
      <c r="F6" s="124" t="inlineStr">
        <is>
          <t>Article</t>
        </is>
      </c>
      <c r="G6" s="124" t="inlineStr">
        <is>
          <t>Catégorie</t>
        </is>
      </c>
      <c r="H6" s="124" t="inlineStr">
        <is>
          <t>Unité</t>
        </is>
      </c>
      <c r="I6" s="124" t="inlineStr">
        <is>
          <t>Stock initial</t>
        </is>
      </c>
      <c r="J6" s="124" t="inlineStr">
        <is>
          <t>Seuil minimum</t>
        </is>
      </c>
      <c r="K6" s="124" t="inlineStr">
        <is>
          <t>Prix unitaire</t>
        </is>
      </c>
      <c r="L6" s="124" t="inlineStr">
        <is>
          <t>Fournisseur</t>
        </is>
      </c>
      <c r="M6" s="126" t="inlineStr">
        <is>
          <t>Entrées</t>
        </is>
      </c>
      <c r="N6" s="126" t="inlineStr">
        <is>
          <t>Sorties</t>
        </is>
      </c>
      <c r="O6" s="126" t="inlineStr">
        <is>
          <t>Stock actuel</t>
        </is>
      </c>
      <c r="P6" s="126" t="inlineStr">
        <is>
          <t>Valeur du stock</t>
        </is>
      </c>
      <c r="Q6" s="126" t="inlineStr">
        <is>
          <t>Statut</t>
        </is>
      </c>
    </row>
    <row r="7" ht="21" customHeight="1">
      <c r="A7" s="1" t="n"/>
      <c r="B7" s="1" t="n"/>
      <c r="C7" s="2" t="n"/>
      <c r="E7" s="127" t="inlineStr">
        <is>
          <t>FOU-001</t>
        </is>
      </c>
      <c r="F7" s="127" t="inlineStr">
        <is>
          <t>Rame de papier A4</t>
        </is>
      </c>
      <c r="G7" s="127" t="inlineStr">
        <is>
          <t>Papeterie</t>
        </is>
      </c>
      <c r="H7" s="127" t="inlineStr">
        <is>
          <t>Rame</t>
        </is>
      </c>
      <c r="I7" s="128" t="n">
        <v>40</v>
      </c>
      <c r="J7" s="128" t="n">
        <v>10</v>
      </c>
      <c r="K7" s="140" t="n">
        <v>15000</v>
      </c>
      <c r="L7" s="127" t="inlineStr">
        <is>
          <t>Librairie Le Phare</t>
        </is>
      </c>
      <c r="M7" s="129">
        <f>IF($E7="","",SUMIFS(MOV_Qte,MOV_Code,$E7,MOV_Type,"Entrée"))</f>
        <v/>
      </c>
      <c r="N7" s="129">
        <f>IF($E7="","",SUMIFS(MOV_Qte,MOV_Code,$E7,MOV_Type,"Sortie"))</f>
        <v/>
      </c>
      <c r="O7" s="129">
        <f>IF($E7="","",$I7+$M7-$N7)</f>
        <v/>
      </c>
      <c r="P7" s="135">
        <f>IF($E7="","",$O7*$K7)</f>
        <v/>
      </c>
      <c r="Q7" s="130">
        <f>IF($E7="","",IF($O7&lt;=0,"Rupture",IF($O7&lt;=$J7,"Stock faible","En stock")))</f>
        <v/>
      </c>
      <c r="S7">
        <f>IF(OR($E7="",$Q7="En stock"),"",$O7/MAX($J7,1)+ROW()/100000)</f>
        <v/>
      </c>
    </row>
    <row r="8" ht="21" customHeight="1">
      <c r="A8" s="1" t="n"/>
      <c r="B8" s="53">
        <f>HYPERLINK("#'Tableau de bord'!A1","▦   Tableau de bord")</f>
        <v/>
      </c>
      <c r="C8" s="54" t="n"/>
      <c r="E8" s="127" t="inlineStr">
        <is>
          <t>FOU-002</t>
        </is>
      </c>
      <c r="F8" s="127" t="inlineStr">
        <is>
          <t>Cahier 48 pages</t>
        </is>
      </c>
      <c r="G8" s="127" t="inlineStr">
        <is>
          <t>Papeterie</t>
        </is>
      </c>
      <c r="H8" s="127" t="inlineStr">
        <is>
          <t>Paquet</t>
        </is>
      </c>
      <c r="I8" s="128" t="n">
        <v>30</v>
      </c>
      <c r="J8" s="128" t="n">
        <v>8</v>
      </c>
      <c r="K8" s="140" t="n">
        <v>12000</v>
      </c>
      <c r="L8" s="127" t="inlineStr">
        <is>
          <t>Librairie Le Phare</t>
        </is>
      </c>
      <c r="M8" s="129">
        <f>IF($E8="","",SUMIFS(MOV_Qte,MOV_Code,$E8,MOV_Type,"Entrée"))</f>
        <v/>
      </c>
      <c r="N8" s="129">
        <f>IF($E8="","",SUMIFS(MOV_Qte,MOV_Code,$E8,MOV_Type,"Sortie"))</f>
        <v/>
      </c>
      <c r="O8" s="129">
        <f>IF($E8="","",$I8+$M8-$N8)</f>
        <v/>
      </c>
      <c r="P8" s="135">
        <f>IF($E8="","",$O8*$K8)</f>
        <v/>
      </c>
      <c r="Q8" s="130">
        <f>IF($E8="","",IF($O8&lt;=0,"Rupture",IF($O8&lt;=$J8,"Stock faible","En stock")))</f>
        <v/>
      </c>
      <c r="S8">
        <f>IF(OR($E8="",$Q8="En stock"),"",$O8/MAX($J8,1)+ROW()/100000)</f>
        <v/>
      </c>
    </row>
    <row r="9" ht="21" customHeight="1">
      <c r="A9" s="1" t="n"/>
      <c r="B9" s="53">
        <f>HYPERLINK("#'Livres'!A1","📚   Livres")</f>
        <v/>
      </c>
      <c r="C9" s="54" t="n"/>
      <c r="E9" s="127" t="inlineStr">
        <is>
          <t>FOU-003</t>
        </is>
      </c>
      <c r="F9" s="127" t="inlineStr">
        <is>
          <t>Cahier 96 pages</t>
        </is>
      </c>
      <c r="G9" s="127" t="inlineStr">
        <is>
          <t>Papeterie</t>
        </is>
      </c>
      <c r="H9" s="127" t="inlineStr">
        <is>
          <t>Paquet</t>
        </is>
      </c>
      <c r="I9" s="128" t="n">
        <v>25</v>
      </c>
      <c r="J9" s="128" t="n">
        <v>8</v>
      </c>
      <c r="K9" s="140" t="n">
        <v>18000</v>
      </c>
      <c r="L9" s="127" t="inlineStr">
        <is>
          <t>Librairie Le Phare</t>
        </is>
      </c>
      <c r="M9" s="129">
        <f>IF($E9="","",SUMIFS(MOV_Qte,MOV_Code,$E9,MOV_Type,"Entrée"))</f>
        <v/>
      </c>
      <c r="N9" s="129">
        <f>IF($E9="","",SUMIFS(MOV_Qte,MOV_Code,$E9,MOV_Type,"Sortie"))</f>
        <v/>
      </c>
      <c r="O9" s="129">
        <f>IF($E9="","",$I9+$M9-$N9)</f>
        <v/>
      </c>
      <c r="P9" s="135">
        <f>IF($E9="","",$O9*$K9)</f>
        <v/>
      </c>
      <c r="Q9" s="130">
        <f>IF($E9="","",IF($O9&lt;=0,"Rupture",IF($O9&lt;=$J9,"Stock faible","En stock")))</f>
        <v/>
      </c>
      <c r="S9">
        <f>IF(OR($E9="",$Q9="En stock"),"",$O9/MAX($J9,1)+ROW()/100000)</f>
        <v/>
      </c>
    </row>
    <row r="10" ht="21" customHeight="1">
      <c r="A10" s="1" t="n"/>
      <c r="B10" s="53">
        <f>HYPERLINK("#'Membres'!A1","👥   Membres")</f>
        <v/>
      </c>
      <c r="C10" s="54" t="n"/>
      <c r="E10" s="127" t="inlineStr">
        <is>
          <t>FOU-004</t>
        </is>
      </c>
      <c r="F10" s="127" t="inlineStr">
        <is>
          <t>Chemise cartonnée</t>
        </is>
      </c>
      <c r="G10" s="127" t="inlineStr">
        <is>
          <t>Papeterie</t>
        </is>
      </c>
      <c r="H10" s="127" t="inlineStr">
        <is>
          <t>Paquet</t>
        </is>
      </c>
      <c r="I10" s="128" t="n">
        <v>15</v>
      </c>
      <c r="J10" s="128" t="n">
        <v>5</v>
      </c>
      <c r="K10" s="140" t="n">
        <v>9000</v>
      </c>
      <c r="L10" s="127" t="inlineStr">
        <is>
          <t>Papeterie Kivu</t>
        </is>
      </c>
      <c r="M10" s="129">
        <f>IF($E10="","",SUMIFS(MOV_Qte,MOV_Code,$E10,MOV_Type,"Entrée"))</f>
        <v/>
      </c>
      <c r="N10" s="129">
        <f>IF($E10="","",SUMIFS(MOV_Qte,MOV_Code,$E10,MOV_Type,"Sortie"))</f>
        <v/>
      </c>
      <c r="O10" s="129">
        <f>IF($E10="","",$I10+$M10-$N10)</f>
        <v/>
      </c>
      <c r="P10" s="135">
        <f>IF($E10="","",$O10*$K10)</f>
        <v/>
      </c>
      <c r="Q10" s="130">
        <f>IF($E10="","",IF($O10&lt;=0,"Rupture",IF($O10&lt;=$J10,"Stock faible","En stock")))</f>
        <v/>
      </c>
      <c r="S10">
        <f>IF(OR($E10="",$Q10="En stock"),"",$O10/MAX($J10,1)+ROW()/100000)</f>
        <v/>
      </c>
    </row>
    <row r="11" ht="21" customHeight="1">
      <c r="A11" s="1" t="n"/>
      <c r="B11" s="53">
        <f>HYPERLINK("#'Emprunts'!A1","🔄   Emprunts")</f>
        <v/>
      </c>
      <c r="C11" s="54" t="n"/>
      <c r="E11" s="127" t="inlineStr">
        <is>
          <t>FOU-005</t>
        </is>
      </c>
      <c r="F11" s="127" t="inlineStr">
        <is>
          <t>Classeur à levier</t>
        </is>
      </c>
      <c r="G11" s="127" t="inlineStr">
        <is>
          <t>Papeterie</t>
        </is>
      </c>
      <c r="H11" s="127" t="inlineStr">
        <is>
          <t>Pièce</t>
        </is>
      </c>
      <c r="I11" s="128" t="n">
        <v>30</v>
      </c>
      <c r="J11" s="128" t="n">
        <v>10</v>
      </c>
      <c r="K11" s="140" t="n">
        <v>6500</v>
      </c>
      <c r="L11" s="127" t="inlineStr">
        <is>
          <t>Papeterie Kivu</t>
        </is>
      </c>
      <c r="M11" s="129">
        <f>IF($E11="","",SUMIFS(MOV_Qte,MOV_Code,$E11,MOV_Type,"Entrée"))</f>
        <v/>
      </c>
      <c r="N11" s="129">
        <f>IF($E11="","",SUMIFS(MOV_Qte,MOV_Code,$E11,MOV_Type,"Sortie"))</f>
        <v/>
      </c>
      <c r="O11" s="129">
        <f>IF($E11="","",$I11+$M11-$N11)</f>
        <v/>
      </c>
      <c r="P11" s="135">
        <f>IF($E11="","",$O11*$K11)</f>
        <v/>
      </c>
      <c r="Q11" s="130">
        <f>IF($E11="","",IF($O11&lt;=0,"Rupture",IF($O11&lt;=$J11,"Stock faible","En stock")))</f>
        <v/>
      </c>
      <c r="S11">
        <f>IF(OR($E11="",$Q11="En stock"),"",$O11/MAX($J11,1)+ROW()/100000)</f>
        <v/>
      </c>
    </row>
    <row r="12" ht="21" customHeight="1">
      <c r="A12" s="45" t="n"/>
      <c r="B12" s="46">
        <f>HYPERLINK("#'Fournitures'!A1","📦   Fournitures")</f>
        <v/>
      </c>
      <c r="C12" s="47" t="n"/>
      <c r="E12" s="127" t="inlineStr">
        <is>
          <t>FOU-006</t>
        </is>
      </c>
      <c r="F12" s="127" t="inlineStr">
        <is>
          <t>Craie blanche</t>
        </is>
      </c>
      <c r="G12" s="127" t="inlineStr">
        <is>
          <t>Matériel didactique</t>
        </is>
      </c>
      <c r="H12" s="127" t="inlineStr">
        <is>
          <t>Boîte</t>
        </is>
      </c>
      <c r="I12" s="128" t="n">
        <v>60</v>
      </c>
      <c r="J12" s="128" t="n">
        <v>20</v>
      </c>
      <c r="K12" s="140" t="n">
        <v>4000</v>
      </c>
      <c r="L12" s="127" t="inlineStr">
        <is>
          <t>Papeterie Kivu</t>
        </is>
      </c>
      <c r="M12" s="129">
        <f>IF($E12="","",SUMIFS(MOV_Qte,MOV_Code,$E12,MOV_Type,"Entrée"))</f>
        <v/>
      </c>
      <c r="N12" s="129">
        <f>IF($E12="","",SUMIFS(MOV_Qte,MOV_Code,$E12,MOV_Type,"Sortie"))</f>
        <v/>
      </c>
      <c r="O12" s="129">
        <f>IF($E12="","",$I12+$M12-$N12)</f>
        <v/>
      </c>
      <c r="P12" s="135">
        <f>IF($E12="","",$O12*$K12)</f>
        <v/>
      </c>
      <c r="Q12" s="130">
        <f>IF($E12="","",IF($O12&lt;=0,"Rupture",IF($O12&lt;=$J12,"Stock faible","En stock")))</f>
        <v/>
      </c>
      <c r="S12">
        <f>IF(OR($E12="",$Q12="En stock"),"",$O12/MAX($J12,1)+ROW()/100000)</f>
        <v/>
      </c>
    </row>
    <row r="13" ht="21" customHeight="1">
      <c r="A13" s="1" t="n"/>
      <c r="B13" s="53">
        <f>HYPERLINK("#'Mouvements'!A1","↕   Mouvements de stock")</f>
        <v/>
      </c>
      <c r="C13" s="54" t="n"/>
      <c r="E13" s="127" t="inlineStr">
        <is>
          <t>FOU-007</t>
        </is>
      </c>
      <c r="F13" s="127" t="inlineStr">
        <is>
          <t>Craie de couleur</t>
        </is>
      </c>
      <c r="G13" s="127" t="inlineStr">
        <is>
          <t>Matériel didactique</t>
        </is>
      </c>
      <c r="H13" s="127" t="inlineStr">
        <is>
          <t>Boîte</t>
        </is>
      </c>
      <c r="I13" s="128" t="n">
        <v>20</v>
      </c>
      <c r="J13" s="128" t="n">
        <v>8</v>
      </c>
      <c r="K13" s="140" t="n">
        <v>6000</v>
      </c>
      <c r="L13" s="127" t="inlineStr">
        <is>
          <t>Papeterie Kivu</t>
        </is>
      </c>
      <c r="M13" s="129">
        <f>IF($E13="","",SUMIFS(MOV_Qte,MOV_Code,$E13,MOV_Type,"Entrée"))</f>
        <v/>
      </c>
      <c r="N13" s="129">
        <f>IF($E13="","",SUMIFS(MOV_Qte,MOV_Code,$E13,MOV_Type,"Sortie"))</f>
        <v/>
      </c>
      <c r="O13" s="129">
        <f>IF($E13="","",$I13+$M13-$N13)</f>
        <v/>
      </c>
      <c r="P13" s="135">
        <f>IF($E13="","",$O13*$K13)</f>
        <v/>
      </c>
      <c r="Q13" s="130">
        <f>IF($E13="","",IF($O13&lt;=0,"Rupture",IF($O13&lt;=$J13,"Stock faible","En stock")))</f>
        <v/>
      </c>
      <c r="S13">
        <f>IF(OR($E13="",$Q13="En stock"),"",$O13/MAX($J13,1)+ROW()/100000)</f>
        <v/>
      </c>
    </row>
    <row r="14" ht="21" customHeight="1">
      <c r="A14" s="1" t="n"/>
      <c r="B14" s="53">
        <f>HYPERLINK("#'Recherche'!A1","🔍   Recherche")</f>
        <v/>
      </c>
      <c r="C14" s="54" t="n"/>
      <c r="E14" s="127" t="inlineStr">
        <is>
          <t>FOU-008</t>
        </is>
      </c>
      <c r="F14" s="127" t="inlineStr">
        <is>
          <t>Marqueur tableau blanc</t>
        </is>
      </c>
      <c r="G14" s="127" t="inlineStr">
        <is>
          <t>Écriture</t>
        </is>
      </c>
      <c r="H14" s="127" t="inlineStr">
        <is>
          <t>Boîte</t>
        </is>
      </c>
      <c r="I14" s="128" t="n">
        <v>18</v>
      </c>
      <c r="J14" s="128" t="n">
        <v>6</v>
      </c>
      <c r="K14" s="140" t="n">
        <v>22000</v>
      </c>
      <c r="L14" s="127" t="inlineStr">
        <is>
          <t>Librairie Le Phare</t>
        </is>
      </c>
      <c r="M14" s="129">
        <f>IF($E14="","",SUMIFS(MOV_Qte,MOV_Code,$E14,MOV_Type,"Entrée"))</f>
        <v/>
      </c>
      <c r="N14" s="129">
        <f>IF($E14="","",SUMIFS(MOV_Qte,MOV_Code,$E14,MOV_Type,"Sortie"))</f>
        <v/>
      </c>
      <c r="O14" s="129">
        <f>IF($E14="","",$I14+$M14-$N14)</f>
        <v/>
      </c>
      <c r="P14" s="135">
        <f>IF($E14="","",$O14*$K14)</f>
        <v/>
      </c>
      <c r="Q14" s="130">
        <f>IF($E14="","",IF($O14&lt;=0,"Rupture",IF($O14&lt;=$J14,"Stock faible","En stock")))</f>
        <v/>
      </c>
      <c r="S14">
        <f>IF(OR($E14="",$Q14="En stock"),"",$O14/MAX($J14,1)+ROW()/100000)</f>
        <v/>
      </c>
    </row>
    <row r="15" ht="21" customHeight="1">
      <c r="A15" s="1" t="n"/>
      <c r="B15" s="53">
        <f>HYPERLINK("#'Rapport mensuel'!A1","🖨   Rapport mensuel")</f>
        <v/>
      </c>
      <c r="C15" s="54" t="n"/>
      <c r="E15" s="127" t="inlineStr">
        <is>
          <t>FOU-009</t>
        </is>
      </c>
      <c r="F15" s="127" t="inlineStr">
        <is>
          <t>Stylo à bille bleu</t>
        </is>
      </c>
      <c r="G15" s="127" t="inlineStr">
        <is>
          <t>Écriture</t>
        </is>
      </c>
      <c r="H15" s="127" t="inlineStr">
        <is>
          <t>Boîte</t>
        </is>
      </c>
      <c r="I15" s="128" t="n">
        <v>25</v>
      </c>
      <c r="J15" s="128" t="n">
        <v>6</v>
      </c>
      <c r="K15" s="140" t="n">
        <v>8000</v>
      </c>
      <c r="L15" s="127" t="inlineStr">
        <is>
          <t>Librairie Le Phare</t>
        </is>
      </c>
      <c r="M15" s="129">
        <f>IF($E15="","",SUMIFS(MOV_Qte,MOV_Code,$E15,MOV_Type,"Entrée"))</f>
        <v/>
      </c>
      <c r="N15" s="129">
        <f>IF($E15="","",SUMIFS(MOV_Qte,MOV_Code,$E15,MOV_Type,"Sortie"))</f>
        <v/>
      </c>
      <c r="O15" s="129">
        <f>IF($E15="","",$I15+$M15-$N15)</f>
        <v/>
      </c>
      <c r="P15" s="135">
        <f>IF($E15="","",$O15*$K15)</f>
        <v/>
      </c>
      <c r="Q15" s="130">
        <f>IF($E15="","",IF($O15&lt;=0,"Rupture",IF($O15&lt;=$J15,"Stock faible","En stock")))</f>
        <v/>
      </c>
      <c r="S15">
        <f>IF(OR($E15="",$Q15="En stock"),"",$O15/MAX($J15,1)+ROW()/100000)</f>
        <v/>
      </c>
    </row>
    <row r="16" ht="21" customHeight="1">
      <c r="A16" s="1" t="n"/>
      <c r="B16" s="53">
        <f>HYPERLINK("#'Paramètres'!A1","⚙   Paramètres")</f>
        <v/>
      </c>
      <c r="C16" s="54" t="n"/>
      <c r="E16" s="127" t="inlineStr">
        <is>
          <t>FOU-010</t>
        </is>
      </c>
      <c r="F16" s="127" t="inlineStr">
        <is>
          <t>Crayon HB</t>
        </is>
      </c>
      <c r="G16" s="127" t="inlineStr">
        <is>
          <t>Écriture</t>
        </is>
      </c>
      <c r="H16" s="127" t="inlineStr">
        <is>
          <t>Boîte</t>
        </is>
      </c>
      <c r="I16" s="128" t="n">
        <v>20</v>
      </c>
      <c r="J16" s="128" t="n">
        <v>5</v>
      </c>
      <c r="K16" s="140" t="n">
        <v>5000</v>
      </c>
      <c r="L16" s="127" t="inlineStr">
        <is>
          <t>Papeterie Kivu</t>
        </is>
      </c>
      <c r="M16" s="129">
        <f>IF($E16="","",SUMIFS(MOV_Qte,MOV_Code,$E16,MOV_Type,"Entrée"))</f>
        <v/>
      </c>
      <c r="N16" s="129">
        <f>IF($E16="","",SUMIFS(MOV_Qte,MOV_Code,$E16,MOV_Type,"Sortie"))</f>
        <v/>
      </c>
      <c r="O16" s="129">
        <f>IF($E16="","",$I16+$M16-$N16)</f>
        <v/>
      </c>
      <c r="P16" s="135">
        <f>IF($E16="","",$O16*$K16)</f>
        <v/>
      </c>
      <c r="Q16" s="130">
        <f>IF($E16="","",IF($O16&lt;=0,"Rupture",IF($O16&lt;=$J16,"Stock faible","En stock")))</f>
        <v/>
      </c>
      <c r="S16">
        <f>IF(OR($E16="",$Q16="En stock"),"",$O16/MAX($J16,1)+ROW()/100000)</f>
        <v/>
      </c>
    </row>
    <row r="17" ht="21" customHeight="1">
      <c r="A17" s="1" t="n"/>
      <c r="B17" s="1" t="n"/>
      <c r="C17" s="2" t="n"/>
      <c r="E17" s="127" t="inlineStr">
        <is>
          <t>FOU-011</t>
        </is>
      </c>
      <c r="F17" s="127" t="inlineStr">
        <is>
          <t>Gomme</t>
        </is>
      </c>
      <c r="G17" s="127" t="inlineStr">
        <is>
          <t>Écriture</t>
        </is>
      </c>
      <c r="H17" s="127" t="inlineStr">
        <is>
          <t>Boîte</t>
        </is>
      </c>
      <c r="I17" s="128" t="n">
        <v>12</v>
      </c>
      <c r="J17" s="128" t="n">
        <v>4</v>
      </c>
      <c r="K17" s="140" t="n">
        <v>4500</v>
      </c>
      <c r="L17" s="127" t="inlineStr">
        <is>
          <t>Papeterie Kivu</t>
        </is>
      </c>
      <c r="M17" s="129">
        <f>IF($E17="","",SUMIFS(MOV_Qte,MOV_Code,$E17,MOV_Type,"Entrée"))</f>
        <v/>
      </c>
      <c r="N17" s="129">
        <f>IF($E17="","",SUMIFS(MOV_Qte,MOV_Code,$E17,MOV_Type,"Sortie"))</f>
        <v/>
      </c>
      <c r="O17" s="129">
        <f>IF($E17="","",$I17+$M17-$N17)</f>
        <v/>
      </c>
      <c r="P17" s="135">
        <f>IF($E17="","",$O17*$K17)</f>
        <v/>
      </c>
      <c r="Q17" s="130">
        <f>IF($E17="","",IF($O17&lt;=0,"Rupture",IF($O17&lt;=$J17,"Stock faible","En stock")))</f>
        <v/>
      </c>
      <c r="S17">
        <f>IF(OR($E17="",$Q17="En stock"),"",$O17/MAX($J17,1)+ROW()/100000)</f>
        <v/>
      </c>
    </row>
    <row r="18" ht="21" customHeight="1">
      <c r="A18" s="1" t="n"/>
      <c r="B18" s="1" t="n"/>
      <c r="C18" s="2" t="n"/>
      <c r="E18" s="127" t="inlineStr">
        <is>
          <t>FOU-012</t>
        </is>
      </c>
      <c r="F18" s="127" t="inlineStr">
        <is>
          <t>Règle 30 cm</t>
        </is>
      </c>
      <c r="G18" s="127" t="inlineStr">
        <is>
          <t>Matériel didactique</t>
        </is>
      </c>
      <c r="H18" s="127" t="inlineStr">
        <is>
          <t>Pièce</t>
        </is>
      </c>
      <c r="I18" s="128" t="n">
        <v>50</v>
      </c>
      <c r="J18" s="128" t="n">
        <v>15</v>
      </c>
      <c r="K18" s="140" t="n">
        <v>1500</v>
      </c>
      <c r="L18" s="127" t="inlineStr">
        <is>
          <t>Papeterie Kivu</t>
        </is>
      </c>
      <c r="M18" s="129">
        <f>IF($E18="","",SUMIFS(MOV_Qte,MOV_Code,$E18,MOV_Type,"Entrée"))</f>
        <v/>
      </c>
      <c r="N18" s="129">
        <f>IF($E18="","",SUMIFS(MOV_Qte,MOV_Code,$E18,MOV_Type,"Sortie"))</f>
        <v/>
      </c>
      <c r="O18" s="129">
        <f>IF($E18="","",$I18+$M18-$N18)</f>
        <v/>
      </c>
      <c r="P18" s="135">
        <f>IF($E18="","",$O18*$K18)</f>
        <v/>
      </c>
      <c r="Q18" s="130">
        <f>IF($E18="","",IF($O18&lt;=0,"Rupture",IF($O18&lt;=$J18,"Stock faible","En stock")))</f>
        <v/>
      </c>
      <c r="S18">
        <f>IF(OR($E18="",$Q18="En stock"),"",$O18/MAX($J18,1)+ROW()/100000)</f>
        <v/>
      </c>
    </row>
    <row r="19" ht="21" customHeight="1">
      <c r="A19" s="1" t="n"/>
      <c r="B19" s="1" t="n"/>
      <c r="C19" s="2" t="n"/>
      <c r="E19" s="127" t="inlineStr">
        <is>
          <t>FOU-013</t>
        </is>
      </c>
      <c r="F19" s="127" t="inlineStr">
        <is>
          <t>Agrafes 24/6</t>
        </is>
      </c>
      <c r="G19" s="127" t="inlineStr">
        <is>
          <t>Papeterie</t>
        </is>
      </c>
      <c r="H19" s="127" t="inlineStr">
        <is>
          <t>Boîte</t>
        </is>
      </c>
      <c r="I19" s="128" t="n">
        <v>20</v>
      </c>
      <c r="J19" s="128" t="n">
        <v>5</v>
      </c>
      <c r="K19" s="140" t="n">
        <v>2500</v>
      </c>
      <c r="L19" s="127" t="inlineStr">
        <is>
          <t>Papeterie Kivu</t>
        </is>
      </c>
      <c r="M19" s="129">
        <f>IF($E19="","",SUMIFS(MOV_Qte,MOV_Code,$E19,MOV_Type,"Entrée"))</f>
        <v/>
      </c>
      <c r="N19" s="129">
        <f>IF($E19="","",SUMIFS(MOV_Qte,MOV_Code,$E19,MOV_Type,"Sortie"))</f>
        <v/>
      </c>
      <c r="O19" s="129">
        <f>IF($E19="","",$I19+$M19-$N19)</f>
        <v/>
      </c>
      <c r="P19" s="135">
        <f>IF($E19="","",$O19*$K19)</f>
        <v/>
      </c>
      <c r="Q19" s="130">
        <f>IF($E19="","",IF($O19&lt;=0,"Rupture",IF($O19&lt;=$J19,"Stock faible","En stock")))</f>
        <v/>
      </c>
      <c r="S19">
        <f>IF(OR($E19="",$Q19="En stock"),"",$O19/MAX($J19,1)+ROW()/100000)</f>
        <v/>
      </c>
    </row>
    <row r="20" ht="21" customHeight="1">
      <c r="A20" s="1" t="n"/>
      <c r="B20" s="1" t="n"/>
      <c r="C20" s="2" t="n"/>
      <c r="E20" s="127" t="inlineStr">
        <is>
          <t>FOU-014</t>
        </is>
      </c>
      <c r="F20" s="127" t="inlineStr">
        <is>
          <t>Colle bâton</t>
        </is>
      </c>
      <c r="G20" s="127" t="inlineStr">
        <is>
          <t>Papeterie</t>
        </is>
      </c>
      <c r="H20" s="127" t="inlineStr">
        <is>
          <t>Pièce</t>
        </is>
      </c>
      <c r="I20" s="128" t="n">
        <v>40</v>
      </c>
      <c r="J20" s="128" t="n">
        <v>10</v>
      </c>
      <c r="K20" s="140" t="n">
        <v>2000</v>
      </c>
      <c r="L20" s="127" t="inlineStr">
        <is>
          <t>Papeterie Kivu</t>
        </is>
      </c>
      <c r="M20" s="129">
        <f>IF($E20="","",SUMIFS(MOV_Qte,MOV_Code,$E20,MOV_Type,"Entrée"))</f>
        <v/>
      </c>
      <c r="N20" s="129">
        <f>IF($E20="","",SUMIFS(MOV_Qte,MOV_Code,$E20,MOV_Type,"Sortie"))</f>
        <v/>
      </c>
      <c r="O20" s="129">
        <f>IF($E20="","",$I20+$M20-$N20)</f>
        <v/>
      </c>
      <c r="P20" s="135">
        <f>IF($E20="","",$O20*$K20)</f>
        <v/>
      </c>
      <c r="Q20" s="130">
        <f>IF($E20="","",IF($O20&lt;=0,"Rupture",IF($O20&lt;=$J20,"Stock faible","En stock")))</f>
        <v/>
      </c>
      <c r="S20">
        <f>IF(OR($E20="",$Q20="En stock"),"",$O20/MAX($J20,1)+ROW()/100000)</f>
        <v/>
      </c>
    </row>
    <row r="21" ht="21" customHeight="1">
      <c r="A21" s="1" t="n"/>
      <c r="B21" s="1" t="n"/>
      <c r="C21" s="2" t="n"/>
      <c r="E21" s="127" t="inlineStr">
        <is>
          <t>FOU-015</t>
        </is>
      </c>
      <c r="F21" s="127" t="inlineStr">
        <is>
          <t>Cartouche d'encre HP</t>
        </is>
      </c>
      <c r="G21" s="127" t="inlineStr">
        <is>
          <t>Informatique</t>
        </is>
      </c>
      <c r="H21" s="127" t="inlineStr">
        <is>
          <t>Pièce</t>
        </is>
      </c>
      <c r="I21" s="128" t="n">
        <v>8</v>
      </c>
      <c r="J21" s="128" t="n">
        <v>3</v>
      </c>
      <c r="K21" s="140" t="n">
        <v>65000</v>
      </c>
      <c r="L21" s="127" t="inlineStr">
        <is>
          <t>Goma Informatique</t>
        </is>
      </c>
      <c r="M21" s="129">
        <f>IF($E21="","",SUMIFS(MOV_Qte,MOV_Code,$E21,MOV_Type,"Entrée"))</f>
        <v/>
      </c>
      <c r="N21" s="129">
        <f>IF($E21="","",SUMIFS(MOV_Qte,MOV_Code,$E21,MOV_Type,"Sortie"))</f>
        <v/>
      </c>
      <c r="O21" s="129">
        <f>IF($E21="","",$I21+$M21-$N21)</f>
        <v/>
      </c>
      <c r="P21" s="135">
        <f>IF($E21="","",$O21*$K21)</f>
        <v/>
      </c>
      <c r="Q21" s="130">
        <f>IF($E21="","",IF($O21&lt;=0,"Rupture",IF($O21&lt;=$J21,"Stock faible","En stock")))</f>
        <v/>
      </c>
      <c r="S21">
        <f>IF(OR($E21="",$Q21="En stock"),"",$O21/MAX($J21,1)+ROW()/100000)</f>
        <v/>
      </c>
    </row>
    <row r="22" ht="21" customHeight="1">
      <c r="A22" s="1" t="n"/>
      <c r="B22" s="1" t="n"/>
      <c r="C22" s="2" t="n"/>
      <c r="E22" s="127" t="inlineStr">
        <is>
          <t>FOU-016</t>
        </is>
      </c>
      <c r="F22" s="127" t="inlineStr">
        <is>
          <t>Clé USB 32 Go</t>
        </is>
      </c>
      <c r="G22" s="127" t="inlineStr">
        <is>
          <t>Informatique</t>
        </is>
      </c>
      <c r="H22" s="127" t="inlineStr">
        <is>
          <t>Pièce</t>
        </is>
      </c>
      <c r="I22" s="128" t="n">
        <v>10</v>
      </c>
      <c r="J22" s="128" t="n">
        <v>3</v>
      </c>
      <c r="K22" s="140" t="n">
        <v>25000</v>
      </c>
      <c r="L22" s="127" t="inlineStr">
        <is>
          <t>Goma Informatique</t>
        </is>
      </c>
      <c r="M22" s="129">
        <f>IF($E22="","",SUMIFS(MOV_Qte,MOV_Code,$E22,MOV_Type,"Entrée"))</f>
        <v/>
      </c>
      <c r="N22" s="129">
        <f>IF($E22="","",SUMIFS(MOV_Qte,MOV_Code,$E22,MOV_Type,"Sortie"))</f>
        <v/>
      </c>
      <c r="O22" s="129">
        <f>IF($E22="","",$I22+$M22-$N22)</f>
        <v/>
      </c>
      <c r="P22" s="135">
        <f>IF($E22="","",$O22*$K22)</f>
        <v/>
      </c>
      <c r="Q22" s="130">
        <f>IF($E22="","",IF($O22&lt;=0,"Rupture",IF($O22&lt;=$J22,"Stock faible","En stock")))</f>
        <v/>
      </c>
      <c r="S22">
        <f>IF(OR($E22="",$Q22="En stock"),"",$O22/MAX($J22,1)+ROW()/100000)</f>
        <v/>
      </c>
    </row>
    <row r="23" ht="21" customHeight="1">
      <c r="A23" s="1" t="n"/>
      <c r="B23" s="1" t="n"/>
      <c r="C23" s="2" t="n"/>
      <c r="E23" s="127" t="inlineStr">
        <is>
          <t>FOU-017</t>
        </is>
      </c>
      <c r="F23" s="127" t="inlineStr">
        <is>
          <t>Savon liquide</t>
        </is>
      </c>
      <c r="G23" s="127" t="inlineStr">
        <is>
          <t>Entretien</t>
        </is>
      </c>
      <c r="H23" s="127" t="inlineStr">
        <is>
          <t>Flacon</t>
        </is>
      </c>
      <c r="I23" s="128" t="n">
        <v>24</v>
      </c>
      <c r="J23" s="128" t="n">
        <v>8</v>
      </c>
      <c r="K23" s="140" t="n">
        <v>7000</v>
      </c>
      <c r="L23" s="127" t="inlineStr">
        <is>
          <t>Supermarché Kivu</t>
        </is>
      </c>
      <c r="M23" s="129">
        <f>IF($E23="","",SUMIFS(MOV_Qte,MOV_Code,$E23,MOV_Type,"Entrée"))</f>
        <v/>
      </c>
      <c r="N23" s="129">
        <f>IF($E23="","",SUMIFS(MOV_Qte,MOV_Code,$E23,MOV_Type,"Sortie"))</f>
        <v/>
      </c>
      <c r="O23" s="129">
        <f>IF($E23="","",$I23+$M23-$N23)</f>
        <v/>
      </c>
      <c r="P23" s="135">
        <f>IF($E23="","",$O23*$K23)</f>
        <v/>
      </c>
      <c r="Q23" s="130">
        <f>IF($E23="","",IF($O23&lt;=0,"Rupture",IF($O23&lt;=$J23,"Stock faible","En stock")))</f>
        <v/>
      </c>
      <c r="S23">
        <f>IF(OR($E23="",$Q23="En stock"),"",$O23/MAX($J23,1)+ROW()/100000)</f>
        <v/>
      </c>
    </row>
    <row r="24" ht="21" customHeight="1">
      <c r="A24" s="1" t="n"/>
      <c r="B24" s="1" t="n"/>
      <c r="C24" s="2" t="n"/>
      <c r="E24" s="127" t="inlineStr">
        <is>
          <t>FOU-018</t>
        </is>
      </c>
      <c r="F24" s="127" t="inlineStr">
        <is>
          <t>Papier hygiénique</t>
        </is>
      </c>
      <c r="G24" s="127" t="inlineStr">
        <is>
          <t>Entretien</t>
        </is>
      </c>
      <c r="H24" s="127" t="inlineStr">
        <is>
          <t>Paquet</t>
        </is>
      </c>
      <c r="I24" s="128" t="n">
        <v>30</v>
      </c>
      <c r="J24" s="128" t="n">
        <v>10</v>
      </c>
      <c r="K24" s="140" t="n">
        <v>11000</v>
      </c>
      <c r="L24" s="127" t="inlineStr">
        <is>
          <t>Supermarché Kivu</t>
        </is>
      </c>
      <c r="M24" s="129">
        <f>IF($E24="","",SUMIFS(MOV_Qte,MOV_Code,$E24,MOV_Type,"Entrée"))</f>
        <v/>
      </c>
      <c r="N24" s="129">
        <f>IF($E24="","",SUMIFS(MOV_Qte,MOV_Code,$E24,MOV_Type,"Sortie"))</f>
        <v/>
      </c>
      <c r="O24" s="129">
        <f>IF($E24="","",$I24+$M24-$N24)</f>
        <v/>
      </c>
      <c r="P24" s="135">
        <f>IF($E24="","",$O24*$K24)</f>
        <v/>
      </c>
      <c r="Q24" s="130">
        <f>IF($E24="","",IF($O24&lt;=0,"Rupture",IF($O24&lt;=$J24,"Stock faible","En stock")))</f>
        <v/>
      </c>
      <c r="S24">
        <f>IF(OR($E24="",$Q24="En stock"),"",$O24/MAX($J24,1)+ROW()/100000)</f>
        <v/>
      </c>
    </row>
    <row r="25" ht="21" customHeight="1">
      <c r="A25" s="1" t="n"/>
      <c r="B25" s="1" t="n"/>
      <c r="C25" s="2" t="n"/>
      <c r="E25" s="127" t="inlineStr">
        <is>
          <t>FOU-019</t>
        </is>
      </c>
      <c r="F25" s="127" t="inlineStr">
        <is>
          <t>Balai</t>
        </is>
      </c>
      <c r="G25" s="127" t="inlineStr">
        <is>
          <t>Entretien</t>
        </is>
      </c>
      <c r="H25" s="127" t="inlineStr">
        <is>
          <t>Pièce</t>
        </is>
      </c>
      <c r="I25" s="128" t="n">
        <v>10</v>
      </c>
      <c r="J25" s="128" t="n">
        <v>3</v>
      </c>
      <c r="K25" s="140" t="n">
        <v>5000</v>
      </c>
      <c r="L25" s="127" t="inlineStr">
        <is>
          <t>Supermarché Kivu</t>
        </is>
      </c>
      <c r="M25" s="129">
        <f>IF($E25="","",SUMIFS(MOV_Qte,MOV_Code,$E25,MOV_Type,"Entrée"))</f>
        <v/>
      </c>
      <c r="N25" s="129">
        <f>IF($E25="","",SUMIFS(MOV_Qte,MOV_Code,$E25,MOV_Type,"Sortie"))</f>
        <v/>
      </c>
      <c r="O25" s="129">
        <f>IF($E25="","",$I25+$M25-$N25)</f>
        <v/>
      </c>
      <c r="P25" s="135">
        <f>IF($E25="","",$O25*$K25)</f>
        <v/>
      </c>
      <c r="Q25" s="130">
        <f>IF($E25="","",IF($O25&lt;=0,"Rupture",IF($O25&lt;=$J25,"Stock faible","En stock")))</f>
        <v/>
      </c>
      <c r="S25">
        <f>IF(OR($E25="",$Q25="En stock"),"",$O25/MAX($J25,1)+ROW()/100000)</f>
        <v/>
      </c>
    </row>
    <row r="26" ht="21" customHeight="1">
      <c r="A26" s="1" t="n"/>
      <c r="B26" s="1" t="n"/>
      <c r="C26" s="2" t="n"/>
      <c r="E26" s="127" t="inlineStr">
        <is>
          <t>FOU-020</t>
        </is>
      </c>
      <c r="F26" s="127" t="inlineStr">
        <is>
          <t>Film plastique couverture</t>
        </is>
      </c>
      <c r="G26" s="127" t="inlineStr">
        <is>
          <t>Papeterie</t>
        </is>
      </c>
      <c r="H26" s="127" t="inlineStr">
        <is>
          <t>Rouleau</t>
        </is>
      </c>
      <c r="I26" s="128" t="n">
        <v>12</v>
      </c>
      <c r="J26" s="128" t="n">
        <v>4</v>
      </c>
      <c r="K26" s="140" t="n">
        <v>8500</v>
      </c>
      <c r="L26" s="127" t="inlineStr">
        <is>
          <t>Librairie Le Phare</t>
        </is>
      </c>
      <c r="M26" s="129">
        <f>IF($E26="","",SUMIFS(MOV_Qte,MOV_Code,$E26,MOV_Type,"Entrée"))</f>
        <v/>
      </c>
      <c r="N26" s="129">
        <f>IF($E26="","",SUMIFS(MOV_Qte,MOV_Code,$E26,MOV_Type,"Sortie"))</f>
        <v/>
      </c>
      <c r="O26" s="129">
        <f>IF($E26="","",$I26+$M26-$N26)</f>
        <v/>
      </c>
      <c r="P26" s="135">
        <f>IF($E26="","",$O26*$K26)</f>
        <v/>
      </c>
      <c r="Q26" s="130">
        <f>IF($E26="","",IF($O26&lt;=0,"Rupture",IF($O26&lt;=$J26,"Stock faible","En stock")))</f>
        <v/>
      </c>
      <c r="S26">
        <f>IF(OR($E26="",$Q26="En stock"),"",$O26/MAX($J26,1)+ROW()/100000)</f>
        <v/>
      </c>
    </row>
    <row r="27" ht="21" customHeight="1">
      <c r="A27" s="1" t="n"/>
      <c r="B27" s="1" t="n"/>
      <c r="C27" s="2" t="n"/>
      <c r="E27" s="127" t="n"/>
      <c r="F27" s="127" t="n"/>
      <c r="G27" s="127" t="n"/>
      <c r="H27" s="127" t="n"/>
      <c r="I27" s="128" t="n"/>
      <c r="J27" s="128" t="n"/>
      <c r="K27" s="140" t="n"/>
      <c r="L27" s="127" t="n"/>
      <c r="M27" s="129">
        <f>IF($E27="","",SUMIFS(MOV_Qte,MOV_Code,$E27,MOV_Type,"Entrée"))</f>
        <v/>
      </c>
      <c r="N27" s="129">
        <f>IF($E27="","",SUMIFS(MOV_Qte,MOV_Code,$E27,MOV_Type,"Sortie"))</f>
        <v/>
      </c>
      <c r="O27" s="129">
        <f>IF($E27="","",$I27+$M27-$N27)</f>
        <v/>
      </c>
      <c r="P27" s="135">
        <f>IF($E27="","",$O27*$K27)</f>
        <v/>
      </c>
      <c r="Q27" s="130">
        <f>IF($E27="","",IF($O27&lt;=0,"Rupture",IF($O27&lt;=$J27,"Stock faible","En stock")))</f>
        <v/>
      </c>
      <c r="S27">
        <f>IF(OR($E27="",$Q27="En stock"),"",$O27/MAX($J27,1)+ROW()/100000)</f>
        <v/>
      </c>
    </row>
    <row r="28" ht="21" customHeight="1">
      <c r="A28" s="1" t="n"/>
      <c r="B28" s="1" t="n"/>
      <c r="C28" s="2" t="n"/>
      <c r="E28" s="127" t="n"/>
      <c r="F28" s="127" t="n"/>
      <c r="G28" s="127" t="n"/>
      <c r="H28" s="127" t="n"/>
      <c r="I28" s="128" t="n"/>
      <c r="J28" s="128" t="n"/>
      <c r="K28" s="140" t="n"/>
      <c r="L28" s="127" t="n"/>
      <c r="M28" s="129">
        <f>IF($E28="","",SUMIFS(MOV_Qte,MOV_Code,$E28,MOV_Type,"Entrée"))</f>
        <v/>
      </c>
      <c r="N28" s="129">
        <f>IF($E28="","",SUMIFS(MOV_Qte,MOV_Code,$E28,MOV_Type,"Sortie"))</f>
        <v/>
      </c>
      <c r="O28" s="129">
        <f>IF($E28="","",$I28+$M28-$N28)</f>
        <v/>
      </c>
      <c r="P28" s="135">
        <f>IF($E28="","",$O28*$K28)</f>
        <v/>
      </c>
      <c r="Q28" s="130">
        <f>IF($E28="","",IF($O28&lt;=0,"Rupture",IF($O28&lt;=$J28,"Stock faible","En stock")))</f>
        <v/>
      </c>
      <c r="S28">
        <f>IF(OR($E28="",$Q28="En stock"),"",$O28/MAX($J28,1)+ROW()/100000)</f>
        <v/>
      </c>
    </row>
    <row r="29" ht="21" customHeight="1">
      <c r="A29" s="1" t="n"/>
      <c r="B29" s="1" t="n"/>
      <c r="C29" s="2" t="n"/>
      <c r="E29" s="127" t="n"/>
      <c r="F29" s="127" t="n"/>
      <c r="G29" s="127" t="n"/>
      <c r="H29" s="127" t="n"/>
      <c r="I29" s="128" t="n"/>
      <c r="J29" s="128" t="n"/>
      <c r="K29" s="140" t="n"/>
      <c r="L29" s="127" t="n"/>
      <c r="M29" s="129">
        <f>IF($E29="","",SUMIFS(MOV_Qte,MOV_Code,$E29,MOV_Type,"Entrée"))</f>
        <v/>
      </c>
      <c r="N29" s="129">
        <f>IF($E29="","",SUMIFS(MOV_Qte,MOV_Code,$E29,MOV_Type,"Sortie"))</f>
        <v/>
      </c>
      <c r="O29" s="129">
        <f>IF($E29="","",$I29+$M29-$N29)</f>
        <v/>
      </c>
      <c r="P29" s="135">
        <f>IF($E29="","",$O29*$K29)</f>
        <v/>
      </c>
      <c r="Q29" s="130">
        <f>IF($E29="","",IF($O29&lt;=0,"Rupture",IF($O29&lt;=$J29,"Stock faible","En stock")))</f>
        <v/>
      </c>
      <c r="S29">
        <f>IF(OR($E29="",$Q29="En stock"),"",$O29/MAX($J29,1)+ROW()/100000)</f>
        <v/>
      </c>
    </row>
    <row r="30" ht="21" customHeight="1">
      <c r="A30" s="1" t="n"/>
      <c r="B30" s="1" t="n"/>
      <c r="C30" s="2" t="n"/>
      <c r="E30" s="127" t="n"/>
      <c r="F30" s="127" t="n"/>
      <c r="G30" s="127" t="n"/>
      <c r="H30" s="127" t="n"/>
      <c r="I30" s="128" t="n"/>
      <c r="J30" s="128" t="n"/>
      <c r="K30" s="140" t="n"/>
      <c r="L30" s="127" t="n"/>
      <c r="M30" s="129">
        <f>IF($E30="","",SUMIFS(MOV_Qte,MOV_Code,$E30,MOV_Type,"Entrée"))</f>
        <v/>
      </c>
      <c r="N30" s="129">
        <f>IF($E30="","",SUMIFS(MOV_Qte,MOV_Code,$E30,MOV_Type,"Sortie"))</f>
        <v/>
      </c>
      <c r="O30" s="129">
        <f>IF($E30="","",$I30+$M30-$N30)</f>
        <v/>
      </c>
      <c r="P30" s="135">
        <f>IF($E30="","",$O30*$K30)</f>
        <v/>
      </c>
      <c r="Q30" s="130">
        <f>IF($E30="","",IF($O30&lt;=0,"Rupture",IF($O30&lt;=$J30,"Stock faible","En stock")))</f>
        <v/>
      </c>
      <c r="S30">
        <f>IF(OR($E30="",$Q30="En stock"),"",$O30/MAX($J30,1)+ROW()/100000)</f>
        <v/>
      </c>
    </row>
    <row r="31" ht="21" customHeight="1">
      <c r="A31" s="1" t="n"/>
      <c r="B31" s="1" t="n"/>
      <c r="C31" s="2" t="n"/>
      <c r="E31" s="127" t="n"/>
      <c r="F31" s="127" t="n"/>
      <c r="G31" s="127" t="n"/>
      <c r="H31" s="127" t="n"/>
      <c r="I31" s="128" t="n"/>
      <c r="J31" s="128" t="n"/>
      <c r="K31" s="140" t="n"/>
      <c r="L31" s="127" t="n"/>
      <c r="M31" s="129">
        <f>IF($E31="","",SUMIFS(MOV_Qte,MOV_Code,$E31,MOV_Type,"Entrée"))</f>
        <v/>
      </c>
      <c r="N31" s="129">
        <f>IF($E31="","",SUMIFS(MOV_Qte,MOV_Code,$E31,MOV_Type,"Sortie"))</f>
        <v/>
      </c>
      <c r="O31" s="129">
        <f>IF($E31="","",$I31+$M31-$N31)</f>
        <v/>
      </c>
      <c r="P31" s="135">
        <f>IF($E31="","",$O31*$K31)</f>
        <v/>
      </c>
      <c r="Q31" s="130">
        <f>IF($E31="","",IF($O31&lt;=0,"Rupture",IF($O31&lt;=$J31,"Stock faible","En stock")))</f>
        <v/>
      </c>
      <c r="S31">
        <f>IF(OR($E31="",$Q31="En stock"),"",$O31/MAX($J31,1)+ROW()/100000)</f>
        <v/>
      </c>
    </row>
    <row r="32" ht="21" customHeight="1">
      <c r="A32" s="1" t="n"/>
      <c r="B32" s="1" t="n"/>
      <c r="C32" s="2" t="n"/>
      <c r="E32" s="127" t="n"/>
      <c r="F32" s="127" t="n"/>
      <c r="G32" s="127" t="n"/>
      <c r="H32" s="127" t="n"/>
      <c r="I32" s="128" t="n"/>
      <c r="J32" s="128" t="n"/>
      <c r="K32" s="140" t="n"/>
      <c r="L32" s="127" t="n"/>
      <c r="M32" s="129">
        <f>IF($E32="","",SUMIFS(MOV_Qte,MOV_Code,$E32,MOV_Type,"Entrée"))</f>
        <v/>
      </c>
      <c r="N32" s="129">
        <f>IF($E32="","",SUMIFS(MOV_Qte,MOV_Code,$E32,MOV_Type,"Sortie"))</f>
        <v/>
      </c>
      <c r="O32" s="129">
        <f>IF($E32="","",$I32+$M32-$N32)</f>
        <v/>
      </c>
      <c r="P32" s="135">
        <f>IF($E32="","",$O32*$K32)</f>
        <v/>
      </c>
      <c r="Q32" s="130">
        <f>IF($E32="","",IF($O32&lt;=0,"Rupture",IF($O32&lt;=$J32,"Stock faible","En stock")))</f>
        <v/>
      </c>
      <c r="S32">
        <f>IF(OR($E32="",$Q32="En stock"),"",$O32/MAX($J32,1)+ROW()/100000)</f>
        <v/>
      </c>
    </row>
    <row r="33" ht="21" customHeight="1">
      <c r="A33" s="1" t="n"/>
      <c r="B33" s="1" t="n"/>
      <c r="C33" s="2" t="n"/>
      <c r="E33" s="127" t="n"/>
      <c r="F33" s="127" t="n"/>
      <c r="G33" s="127" t="n"/>
      <c r="H33" s="127" t="n"/>
      <c r="I33" s="128" t="n"/>
      <c r="J33" s="128" t="n"/>
      <c r="K33" s="140" t="n"/>
      <c r="L33" s="127" t="n"/>
      <c r="M33" s="129">
        <f>IF($E33="","",SUMIFS(MOV_Qte,MOV_Code,$E33,MOV_Type,"Entrée"))</f>
        <v/>
      </c>
      <c r="N33" s="129">
        <f>IF($E33="","",SUMIFS(MOV_Qte,MOV_Code,$E33,MOV_Type,"Sortie"))</f>
        <v/>
      </c>
      <c r="O33" s="129">
        <f>IF($E33="","",$I33+$M33-$N33)</f>
        <v/>
      </c>
      <c r="P33" s="135">
        <f>IF($E33="","",$O33*$K33)</f>
        <v/>
      </c>
      <c r="Q33" s="130">
        <f>IF($E33="","",IF($O33&lt;=0,"Rupture",IF($O33&lt;=$J33,"Stock faible","En stock")))</f>
        <v/>
      </c>
      <c r="S33">
        <f>IF(OR($E33="",$Q33="En stock"),"",$O33/MAX($J33,1)+ROW()/100000)</f>
        <v/>
      </c>
    </row>
    <row r="34" ht="21" customHeight="1">
      <c r="A34" s="1" t="n"/>
      <c r="B34" s="1" t="n"/>
      <c r="C34" s="2" t="n"/>
      <c r="E34" s="127" t="n"/>
      <c r="F34" s="127" t="n"/>
      <c r="G34" s="127" t="n"/>
      <c r="H34" s="127" t="n"/>
      <c r="I34" s="128" t="n"/>
      <c r="J34" s="128" t="n"/>
      <c r="K34" s="140" t="n"/>
      <c r="L34" s="127" t="n"/>
      <c r="M34" s="129">
        <f>IF($E34="","",SUMIFS(MOV_Qte,MOV_Code,$E34,MOV_Type,"Entrée"))</f>
        <v/>
      </c>
      <c r="N34" s="129">
        <f>IF($E34="","",SUMIFS(MOV_Qte,MOV_Code,$E34,MOV_Type,"Sortie"))</f>
        <v/>
      </c>
      <c r="O34" s="129">
        <f>IF($E34="","",$I34+$M34-$N34)</f>
        <v/>
      </c>
      <c r="P34" s="135">
        <f>IF($E34="","",$O34*$K34)</f>
        <v/>
      </c>
      <c r="Q34" s="130">
        <f>IF($E34="","",IF($O34&lt;=0,"Rupture",IF($O34&lt;=$J34,"Stock faible","En stock")))</f>
        <v/>
      </c>
      <c r="S34">
        <f>IF(OR($E34="",$Q34="En stock"),"",$O34/MAX($J34,1)+ROW()/100000)</f>
        <v/>
      </c>
    </row>
    <row r="35" ht="21" customHeight="1">
      <c r="A35" s="1" t="n"/>
      <c r="B35" s="1" t="n"/>
      <c r="C35" s="2" t="n"/>
      <c r="E35" s="127" t="n"/>
      <c r="F35" s="127" t="n"/>
      <c r="G35" s="127" t="n"/>
      <c r="H35" s="127" t="n"/>
      <c r="I35" s="128" t="n"/>
      <c r="J35" s="128" t="n"/>
      <c r="K35" s="140" t="n"/>
      <c r="L35" s="127" t="n"/>
      <c r="M35" s="129">
        <f>IF($E35="","",SUMIFS(MOV_Qte,MOV_Code,$E35,MOV_Type,"Entrée"))</f>
        <v/>
      </c>
      <c r="N35" s="129">
        <f>IF($E35="","",SUMIFS(MOV_Qte,MOV_Code,$E35,MOV_Type,"Sortie"))</f>
        <v/>
      </c>
      <c r="O35" s="129">
        <f>IF($E35="","",$I35+$M35-$N35)</f>
        <v/>
      </c>
      <c r="P35" s="135">
        <f>IF($E35="","",$O35*$K35)</f>
        <v/>
      </c>
      <c r="Q35" s="130">
        <f>IF($E35="","",IF($O35&lt;=0,"Rupture",IF($O35&lt;=$J35,"Stock faible","En stock")))</f>
        <v/>
      </c>
      <c r="S35">
        <f>IF(OR($E35="",$Q35="En stock"),"",$O35/MAX($J35,1)+ROW()/100000)</f>
        <v/>
      </c>
    </row>
    <row r="36" ht="21" customHeight="1">
      <c r="A36" s="1" t="n"/>
      <c r="B36" s="1" t="n"/>
      <c r="C36" s="2" t="n"/>
      <c r="E36" s="127" t="n"/>
      <c r="F36" s="127" t="n"/>
      <c r="G36" s="127" t="n"/>
      <c r="H36" s="127" t="n"/>
      <c r="I36" s="128" t="n"/>
      <c r="J36" s="128" t="n"/>
      <c r="K36" s="140" t="n"/>
      <c r="L36" s="127" t="n"/>
      <c r="M36" s="129">
        <f>IF($E36="","",SUMIFS(MOV_Qte,MOV_Code,$E36,MOV_Type,"Entrée"))</f>
        <v/>
      </c>
      <c r="N36" s="129">
        <f>IF($E36="","",SUMIFS(MOV_Qte,MOV_Code,$E36,MOV_Type,"Sortie"))</f>
        <v/>
      </c>
      <c r="O36" s="129">
        <f>IF($E36="","",$I36+$M36-$N36)</f>
        <v/>
      </c>
      <c r="P36" s="135">
        <f>IF($E36="","",$O36*$K36)</f>
        <v/>
      </c>
      <c r="Q36" s="130">
        <f>IF($E36="","",IF($O36&lt;=0,"Rupture",IF($O36&lt;=$J36,"Stock faible","En stock")))</f>
        <v/>
      </c>
      <c r="S36">
        <f>IF(OR($E36="",$Q36="En stock"),"",$O36/MAX($J36,1)+ROW()/100000)</f>
        <v/>
      </c>
    </row>
    <row r="37" ht="21" customHeight="1">
      <c r="A37" s="1" t="n"/>
      <c r="B37" s="1" t="n"/>
      <c r="C37" s="2" t="n"/>
      <c r="E37" s="127" t="n"/>
      <c r="F37" s="127" t="n"/>
      <c r="G37" s="127" t="n"/>
      <c r="H37" s="127" t="n"/>
      <c r="I37" s="128" t="n"/>
      <c r="J37" s="128" t="n"/>
      <c r="K37" s="140" t="n"/>
      <c r="L37" s="127" t="n"/>
      <c r="M37" s="129">
        <f>IF($E37="","",SUMIFS(MOV_Qte,MOV_Code,$E37,MOV_Type,"Entrée"))</f>
        <v/>
      </c>
      <c r="N37" s="129">
        <f>IF($E37="","",SUMIFS(MOV_Qte,MOV_Code,$E37,MOV_Type,"Sortie"))</f>
        <v/>
      </c>
      <c r="O37" s="129">
        <f>IF($E37="","",$I37+$M37-$N37)</f>
        <v/>
      </c>
      <c r="P37" s="135">
        <f>IF($E37="","",$O37*$K37)</f>
        <v/>
      </c>
      <c r="Q37" s="130">
        <f>IF($E37="","",IF($O37&lt;=0,"Rupture",IF($O37&lt;=$J37,"Stock faible","En stock")))</f>
        <v/>
      </c>
      <c r="S37">
        <f>IF(OR($E37="",$Q37="En stock"),"",$O37/MAX($J37,1)+ROW()/100000)</f>
        <v/>
      </c>
    </row>
    <row r="38" ht="21" customHeight="1">
      <c r="A38" s="1" t="n"/>
      <c r="B38" s="1" t="n"/>
      <c r="C38" s="2" t="n"/>
      <c r="E38" s="127" t="n"/>
      <c r="F38" s="127" t="n"/>
      <c r="G38" s="127" t="n"/>
      <c r="H38" s="127" t="n"/>
      <c r="I38" s="128" t="n"/>
      <c r="J38" s="128" t="n"/>
      <c r="K38" s="140" t="n"/>
      <c r="L38" s="127" t="n"/>
      <c r="M38" s="129">
        <f>IF($E38="","",SUMIFS(MOV_Qte,MOV_Code,$E38,MOV_Type,"Entrée"))</f>
        <v/>
      </c>
      <c r="N38" s="129">
        <f>IF($E38="","",SUMIFS(MOV_Qte,MOV_Code,$E38,MOV_Type,"Sortie"))</f>
        <v/>
      </c>
      <c r="O38" s="129">
        <f>IF($E38="","",$I38+$M38-$N38)</f>
        <v/>
      </c>
      <c r="P38" s="135">
        <f>IF($E38="","",$O38*$K38)</f>
        <v/>
      </c>
      <c r="Q38" s="130">
        <f>IF($E38="","",IF($O38&lt;=0,"Rupture",IF($O38&lt;=$J38,"Stock faible","En stock")))</f>
        <v/>
      </c>
      <c r="S38">
        <f>IF(OR($E38="",$Q38="En stock"),"",$O38/MAX($J38,1)+ROW()/100000)</f>
        <v/>
      </c>
    </row>
    <row r="39" ht="21" customHeight="1">
      <c r="A39" s="1" t="n"/>
      <c r="B39" s="1" t="n"/>
      <c r="C39" s="2" t="n"/>
      <c r="E39" s="127" t="n"/>
      <c r="F39" s="127" t="n"/>
      <c r="G39" s="127" t="n"/>
      <c r="H39" s="127" t="n"/>
      <c r="I39" s="128" t="n"/>
      <c r="J39" s="128" t="n"/>
      <c r="K39" s="140" t="n"/>
      <c r="L39" s="127" t="n"/>
      <c r="M39" s="129">
        <f>IF($E39="","",SUMIFS(MOV_Qte,MOV_Code,$E39,MOV_Type,"Entrée"))</f>
        <v/>
      </c>
      <c r="N39" s="129">
        <f>IF($E39="","",SUMIFS(MOV_Qte,MOV_Code,$E39,MOV_Type,"Sortie"))</f>
        <v/>
      </c>
      <c r="O39" s="129">
        <f>IF($E39="","",$I39+$M39-$N39)</f>
        <v/>
      </c>
      <c r="P39" s="135">
        <f>IF($E39="","",$O39*$K39)</f>
        <v/>
      </c>
      <c r="Q39" s="130">
        <f>IF($E39="","",IF($O39&lt;=0,"Rupture",IF($O39&lt;=$J39,"Stock faible","En stock")))</f>
        <v/>
      </c>
      <c r="S39">
        <f>IF(OR($E39="",$Q39="En stock"),"",$O39/MAX($J39,1)+ROW()/100000)</f>
        <v/>
      </c>
    </row>
    <row r="40" ht="21" customHeight="1">
      <c r="A40" s="1" t="n"/>
      <c r="B40" s="1" t="n"/>
      <c r="C40" s="2" t="n"/>
      <c r="E40" s="127" t="n"/>
      <c r="F40" s="127" t="n"/>
      <c r="G40" s="127" t="n"/>
      <c r="H40" s="127" t="n"/>
      <c r="I40" s="128" t="n"/>
      <c r="J40" s="128" t="n"/>
      <c r="K40" s="140" t="n"/>
      <c r="L40" s="127" t="n"/>
      <c r="M40" s="129">
        <f>IF($E40="","",SUMIFS(MOV_Qte,MOV_Code,$E40,MOV_Type,"Entrée"))</f>
        <v/>
      </c>
      <c r="N40" s="129">
        <f>IF($E40="","",SUMIFS(MOV_Qte,MOV_Code,$E40,MOV_Type,"Sortie"))</f>
        <v/>
      </c>
      <c r="O40" s="129">
        <f>IF($E40="","",$I40+$M40-$N40)</f>
        <v/>
      </c>
      <c r="P40" s="135">
        <f>IF($E40="","",$O40*$K40)</f>
        <v/>
      </c>
      <c r="Q40" s="130">
        <f>IF($E40="","",IF($O40&lt;=0,"Rupture",IF($O40&lt;=$J40,"Stock faible","En stock")))</f>
        <v/>
      </c>
      <c r="S40">
        <f>IF(OR($E40="",$Q40="En stock"),"",$O40/MAX($J40,1)+ROW()/100000)</f>
        <v/>
      </c>
    </row>
    <row r="41" ht="21" customHeight="1">
      <c r="A41" s="1" t="n"/>
      <c r="B41" s="1" t="n"/>
      <c r="C41" s="2" t="n"/>
      <c r="E41" s="127" t="n"/>
      <c r="F41" s="127" t="n"/>
      <c r="G41" s="127" t="n"/>
      <c r="H41" s="127" t="n"/>
      <c r="I41" s="128" t="n"/>
      <c r="J41" s="128" t="n"/>
      <c r="K41" s="140" t="n"/>
      <c r="L41" s="127" t="n"/>
      <c r="M41" s="129">
        <f>IF($E41="","",SUMIFS(MOV_Qte,MOV_Code,$E41,MOV_Type,"Entrée"))</f>
        <v/>
      </c>
      <c r="N41" s="129">
        <f>IF($E41="","",SUMIFS(MOV_Qte,MOV_Code,$E41,MOV_Type,"Sortie"))</f>
        <v/>
      </c>
      <c r="O41" s="129">
        <f>IF($E41="","",$I41+$M41-$N41)</f>
        <v/>
      </c>
      <c r="P41" s="135">
        <f>IF($E41="","",$O41*$K41)</f>
        <v/>
      </c>
      <c r="Q41" s="130">
        <f>IF($E41="","",IF($O41&lt;=0,"Rupture",IF($O41&lt;=$J41,"Stock faible","En stock")))</f>
        <v/>
      </c>
      <c r="S41">
        <f>IF(OR($E41="",$Q41="En stock"),"",$O41/MAX($J41,1)+ROW()/100000)</f>
        <v/>
      </c>
    </row>
    <row r="42" ht="21" customHeight="1">
      <c r="A42" s="1" t="n"/>
      <c r="B42" s="1" t="n"/>
      <c r="C42" s="2" t="n"/>
      <c r="E42" s="127" t="n"/>
      <c r="F42" s="127" t="n"/>
      <c r="G42" s="127" t="n"/>
      <c r="H42" s="127" t="n"/>
      <c r="I42" s="128" t="n"/>
      <c r="J42" s="128" t="n"/>
      <c r="K42" s="140" t="n"/>
      <c r="L42" s="127" t="n"/>
      <c r="M42" s="129">
        <f>IF($E42="","",SUMIFS(MOV_Qte,MOV_Code,$E42,MOV_Type,"Entrée"))</f>
        <v/>
      </c>
      <c r="N42" s="129">
        <f>IF($E42="","",SUMIFS(MOV_Qte,MOV_Code,$E42,MOV_Type,"Sortie"))</f>
        <v/>
      </c>
      <c r="O42" s="129">
        <f>IF($E42="","",$I42+$M42-$N42)</f>
        <v/>
      </c>
      <c r="P42" s="135">
        <f>IF($E42="","",$O42*$K42)</f>
        <v/>
      </c>
      <c r="Q42" s="130">
        <f>IF($E42="","",IF($O42&lt;=0,"Rupture",IF($O42&lt;=$J42,"Stock faible","En stock")))</f>
        <v/>
      </c>
      <c r="S42">
        <f>IF(OR($E42="",$Q42="En stock"),"",$O42/MAX($J42,1)+ROW()/100000)</f>
        <v/>
      </c>
    </row>
    <row r="43" ht="21" customHeight="1">
      <c r="A43" s="1" t="n"/>
      <c r="B43" s="1" t="n"/>
      <c r="C43" s="2" t="n"/>
      <c r="E43" s="127" t="n"/>
      <c r="F43" s="127" t="n"/>
      <c r="G43" s="127" t="n"/>
      <c r="H43" s="127" t="n"/>
      <c r="I43" s="128" t="n"/>
      <c r="J43" s="128" t="n"/>
      <c r="K43" s="140" t="n"/>
      <c r="L43" s="127" t="n"/>
      <c r="M43" s="129">
        <f>IF($E43="","",SUMIFS(MOV_Qte,MOV_Code,$E43,MOV_Type,"Entrée"))</f>
        <v/>
      </c>
      <c r="N43" s="129">
        <f>IF($E43="","",SUMIFS(MOV_Qte,MOV_Code,$E43,MOV_Type,"Sortie"))</f>
        <v/>
      </c>
      <c r="O43" s="129">
        <f>IF($E43="","",$I43+$M43-$N43)</f>
        <v/>
      </c>
      <c r="P43" s="135">
        <f>IF($E43="","",$O43*$K43)</f>
        <v/>
      </c>
      <c r="Q43" s="130">
        <f>IF($E43="","",IF($O43&lt;=0,"Rupture",IF($O43&lt;=$J43,"Stock faible","En stock")))</f>
        <v/>
      </c>
      <c r="S43">
        <f>IF(OR($E43="",$Q43="En stock"),"",$O43/MAX($J43,1)+ROW()/100000)</f>
        <v/>
      </c>
    </row>
    <row r="44" ht="21" customHeight="1">
      <c r="A44" s="1" t="n"/>
      <c r="B44" s="1" t="n"/>
      <c r="C44" s="2" t="n"/>
      <c r="E44" s="127" t="n"/>
      <c r="F44" s="127" t="n"/>
      <c r="G44" s="127" t="n"/>
      <c r="H44" s="127" t="n"/>
      <c r="I44" s="128" t="n"/>
      <c r="J44" s="128" t="n"/>
      <c r="K44" s="140" t="n"/>
      <c r="L44" s="127" t="n"/>
      <c r="M44" s="129">
        <f>IF($E44="","",SUMIFS(MOV_Qte,MOV_Code,$E44,MOV_Type,"Entrée"))</f>
        <v/>
      </c>
      <c r="N44" s="129">
        <f>IF($E44="","",SUMIFS(MOV_Qte,MOV_Code,$E44,MOV_Type,"Sortie"))</f>
        <v/>
      </c>
      <c r="O44" s="129">
        <f>IF($E44="","",$I44+$M44-$N44)</f>
        <v/>
      </c>
      <c r="P44" s="135">
        <f>IF($E44="","",$O44*$K44)</f>
        <v/>
      </c>
      <c r="Q44" s="130">
        <f>IF($E44="","",IF($O44&lt;=0,"Rupture",IF($O44&lt;=$J44,"Stock faible","En stock")))</f>
        <v/>
      </c>
      <c r="S44">
        <f>IF(OR($E44="",$Q44="En stock"),"",$O44/MAX($J44,1)+ROW()/100000)</f>
        <v/>
      </c>
    </row>
    <row r="45" ht="21" customHeight="1">
      <c r="A45" s="1" t="n"/>
      <c r="B45" s="1" t="n"/>
      <c r="C45" s="2" t="n"/>
      <c r="E45" s="127" t="n"/>
      <c r="F45" s="127" t="n"/>
      <c r="G45" s="127" t="n"/>
      <c r="H45" s="127" t="n"/>
      <c r="I45" s="128" t="n"/>
      <c r="J45" s="128" t="n"/>
      <c r="K45" s="140" t="n"/>
      <c r="L45" s="127" t="n"/>
      <c r="M45" s="129">
        <f>IF($E45="","",SUMIFS(MOV_Qte,MOV_Code,$E45,MOV_Type,"Entrée"))</f>
        <v/>
      </c>
      <c r="N45" s="129">
        <f>IF($E45="","",SUMIFS(MOV_Qte,MOV_Code,$E45,MOV_Type,"Sortie"))</f>
        <v/>
      </c>
      <c r="O45" s="129">
        <f>IF($E45="","",$I45+$M45-$N45)</f>
        <v/>
      </c>
      <c r="P45" s="135">
        <f>IF($E45="","",$O45*$K45)</f>
        <v/>
      </c>
      <c r="Q45" s="130">
        <f>IF($E45="","",IF($O45&lt;=0,"Rupture",IF($O45&lt;=$J45,"Stock faible","En stock")))</f>
        <v/>
      </c>
      <c r="S45">
        <f>IF(OR($E45="",$Q45="En stock"),"",$O45/MAX($J45,1)+ROW()/100000)</f>
        <v/>
      </c>
    </row>
    <row r="46" ht="21" customHeight="1">
      <c r="A46" s="1" t="n"/>
      <c r="B46" s="1" t="n"/>
      <c r="C46" s="2" t="n"/>
      <c r="E46" s="127" t="n"/>
      <c r="F46" s="127" t="n"/>
      <c r="G46" s="127" t="n"/>
      <c r="H46" s="127" t="n"/>
      <c r="I46" s="128" t="n"/>
      <c r="J46" s="128" t="n"/>
      <c r="K46" s="140" t="n"/>
      <c r="L46" s="127" t="n"/>
      <c r="M46" s="129">
        <f>IF($E46="","",SUMIFS(MOV_Qte,MOV_Code,$E46,MOV_Type,"Entrée"))</f>
        <v/>
      </c>
      <c r="N46" s="129">
        <f>IF($E46="","",SUMIFS(MOV_Qte,MOV_Code,$E46,MOV_Type,"Sortie"))</f>
        <v/>
      </c>
      <c r="O46" s="129">
        <f>IF($E46="","",$I46+$M46-$N46)</f>
        <v/>
      </c>
      <c r="P46" s="135">
        <f>IF($E46="","",$O46*$K46)</f>
        <v/>
      </c>
      <c r="Q46" s="130">
        <f>IF($E46="","",IF($O46&lt;=0,"Rupture",IF($O46&lt;=$J46,"Stock faible","En stock")))</f>
        <v/>
      </c>
      <c r="S46">
        <f>IF(OR($E46="",$Q46="En stock"),"",$O46/MAX($J46,1)+ROW()/100000)</f>
        <v/>
      </c>
    </row>
    <row r="47" ht="21" customHeight="1">
      <c r="A47" s="1" t="n"/>
      <c r="B47" s="1" t="n"/>
      <c r="C47" s="2" t="n"/>
      <c r="E47" s="127" t="n"/>
      <c r="F47" s="127" t="n"/>
      <c r="G47" s="127" t="n"/>
      <c r="H47" s="127" t="n"/>
      <c r="I47" s="128" t="n"/>
      <c r="J47" s="128" t="n"/>
      <c r="K47" s="140" t="n"/>
      <c r="L47" s="127" t="n"/>
      <c r="M47" s="129">
        <f>IF($E47="","",SUMIFS(MOV_Qte,MOV_Code,$E47,MOV_Type,"Entrée"))</f>
        <v/>
      </c>
      <c r="N47" s="129">
        <f>IF($E47="","",SUMIFS(MOV_Qte,MOV_Code,$E47,MOV_Type,"Sortie"))</f>
        <v/>
      </c>
      <c r="O47" s="129">
        <f>IF($E47="","",$I47+$M47-$N47)</f>
        <v/>
      </c>
      <c r="P47" s="135">
        <f>IF($E47="","",$O47*$K47)</f>
        <v/>
      </c>
      <c r="Q47" s="130">
        <f>IF($E47="","",IF($O47&lt;=0,"Rupture",IF($O47&lt;=$J47,"Stock faible","En stock")))</f>
        <v/>
      </c>
      <c r="S47">
        <f>IF(OR($E47="",$Q47="En stock"),"",$O47/MAX($J47,1)+ROW()/100000)</f>
        <v/>
      </c>
    </row>
    <row r="48" ht="21" customHeight="1">
      <c r="A48" s="1" t="n"/>
      <c r="B48" s="1" t="n"/>
      <c r="C48" s="2" t="n"/>
      <c r="E48" s="127" t="n"/>
      <c r="F48" s="127" t="n"/>
      <c r="G48" s="127" t="n"/>
      <c r="H48" s="127" t="n"/>
      <c r="I48" s="128" t="n"/>
      <c r="J48" s="128" t="n"/>
      <c r="K48" s="140" t="n"/>
      <c r="L48" s="127" t="n"/>
      <c r="M48" s="129">
        <f>IF($E48="","",SUMIFS(MOV_Qte,MOV_Code,$E48,MOV_Type,"Entrée"))</f>
        <v/>
      </c>
      <c r="N48" s="129">
        <f>IF($E48="","",SUMIFS(MOV_Qte,MOV_Code,$E48,MOV_Type,"Sortie"))</f>
        <v/>
      </c>
      <c r="O48" s="129">
        <f>IF($E48="","",$I48+$M48-$N48)</f>
        <v/>
      </c>
      <c r="P48" s="135">
        <f>IF($E48="","",$O48*$K48)</f>
        <v/>
      </c>
      <c r="Q48" s="130">
        <f>IF($E48="","",IF($O48&lt;=0,"Rupture",IF($O48&lt;=$J48,"Stock faible","En stock")))</f>
        <v/>
      </c>
      <c r="S48">
        <f>IF(OR($E48="",$Q48="En stock"),"",$O48/MAX($J48,1)+ROW()/100000)</f>
        <v/>
      </c>
    </row>
    <row r="49" ht="21" customHeight="1">
      <c r="A49" s="1" t="n"/>
      <c r="B49" s="1" t="n"/>
      <c r="C49" s="2" t="n"/>
      <c r="E49" s="127" t="n"/>
      <c r="F49" s="127" t="n"/>
      <c r="G49" s="127" t="n"/>
      <c r="H49" s="127" t="n"/>
      <c r="I49" s="128" t="n"/>
      <c r="J49" s="128" t="n"/>
      <c r="K49" s="140" t="n"/>
      <c r="L49" s="127" t="n"/>
      <c r="M49" s="129">
        <f>IF($E49="","",SUMIFS(MOV_Qte,MOV_Code,$E49,MOV_Type,"Entrée"))</f>
        <v/>
      </c>
      <c r="N49" s="129">
        <f>IF($E49="","",SUMIFS(MOV_Qte,MOV_Code,$E49,MOV_Type,"Sortie"))</f>
        <v/>
      </c>
      <c r="O49" s="129">
        <f>IF($E49="","",$I49+$M49-$N49)</f>
        <v/>
      </c>
      <c r="P49" s="135">
        <f>IF($E49="","",$O49*$K49)</f>
        <v/>
      </c>
      <c r="Q49" s="130">
        <f>IF($E49="","",IF($O49&lt;=0,"Rupture",IF($O49&lt;=$J49,"Stock faible","En stock")))</f>
        <v/>
      </c>
      <c r="S49">
        <f>IF(OR($E49="",$Q49="En stock"),"",$O49/MAX($J49,1)+ROW()/100000)</f>
        <v/>
      </c>
    </row>
    <row r="50" ht="21" customHeight="1">
      <c r="A50" s="1" t="n"/>
      <c r="B50" s="1" t="n"/>
      <c r="C50" s="2" t="n"/>
      <c r="E50" s="127" t="n"/>
      <c r="F50" s="127" t="n"/>
      <c r="G50" s="127" t="n"/>
      <c r="H50" s="127" t="n"/>
      <c r="I50" s="128" t="n"/>
      <c r="J50" s="128" t="n"/>
      <c r="K50" s="140" t="n"/>
      <c r="L50" s="127" t="n"/>
      <c r="M50" s="129">
        <f>IF($E50="","",SUMIFS(MOV_Qte,MOV_Code,$E50,MOV_Type,"Entrée"))</f>
        <v/>
      </c>
      <c r="N50" s="129">
        <f>IF($E50="","",SUMIFS(MOV_Qte,MOV_Code,$E50,MOV_Type,"Sortie"))</f>
        <v/>
      </c>
      <c r="O50" s="129">
        <f>IF($E50="","",$I50+$M50-$N50)</f>
        <v/>
      </c>
      <c r="P50" s="135">
        <f>IF($E50="","",$O50*$K50)</f>
        <v/>
      </c>
      <c r="Q50" s="130">
        <f>IF($E50="","",IF($O50&lt;=0,"Rupture",IF($O50&lt;=$J50,"Stock faible","En stock")))</f>
        <v/>
      </c>
      <c r="S50">
        <f>IF(OR($E50="",$Q50="En stock"),"",$O50/MAX($J50,1)+ROW()/100000)</f>
        <v/>
      </c>
    </row>
    <row r="51" ht="21" customHeight="1">
      <c r="A51" s="1" t="n"/>
      <c r="B51" s="1" t="n"/>
      <c r="C51" s="2" t="n"/>
      <c r="E51" s="127" t="n"/>
      <c r="F51" s="127" t="n"/>
      <c r="G51" s="127" t="n"/>
      <c r="H51" s="127" t="n"/>
      <c r="I51" s="128" t="n"/>
      <c r="J51" s="128" t="n"/>
      <c r="K51" s="140" t="n"/>
      <c r="L51" s="127" t="n"/>
      <c r="M51" s="129">
        <f>IF($E51="","",SUMIFS(MOV_Qte,MOV_Code,$E51,MOV_Type,"Entrée"))</f>
        <v/>
      </c>
      <c r="N51" s="129">
        <f>IF($E51="","",SUMIFS(MOV_Qte,MOV_Code,$E51,MOV_Type,"Sortie"))</f>
        <v/>
      </c>
      <c r="O51" s="129">
        <f>IF($E51="","",$I51+$M51-$N51)</f>
        <v/>
      </c>
      <c r="P51" s="135">
        <f>IF($E51="","",$O51*$K51)</f>
        <v/>
      </c>
      <c r="Q51" s="130">
        <f>IF($E51="","",IF($O51&lt;=0,"Rupture",IF($O51&lt;=$J51,"Stock faible","En stock")))</f>
        <v/>
      </c>
      <c r="S51">
        <f>IF(OR($E51="",$Q51="En stock"),"",$O51/MAX($J51,1)+ROW()/100000)</f>
        <v/>
      </c>
    </row>
    <row r="52" ht="21" customHeight="1">
      <c r="A52" s="1" t="n"/>
      <c r="B52" s="1" t="n"/>
      <c r="C52" s="2" t="n"/>
      <c r="E52" s="127" t="n"/>
      <c r="F52" s="127" t="n"/>
      <c r="G52" s="127" t="n"/>
      <c r="H52" s="127" t="n"/>
      <c r="I52" s="128" t="n"/>
      <c r="J52" s="128" t="n"/>
      <c r="K52" s="140" t="n"/>
      <c r="L52" s="127" t="n"/>
      <c r="M52" s="129">
        <f>IF($E52="","",SUMIFS(MOV_Qte,MOV_Code,$E52,MOV_Type,"Entrée"))</f>
        <v/>
      </c>
      <c r="N52" s="129">
        <f>IF($E52="","",SUMIFS(MOV_Qte,MOV_Code,$E52,MOV_Type,"Sortie"))</f>
        <v/>
      </c>
      <c r="O52" s="129">
        <f>IF($E52="","",$I52+$M52-$N52)</f>
        <v/>
      </c>
      <c r="P52" s="135">
        <f>IF($E52="","",$O52*$K52)</f>
        <v/>
      </c>
      <c r="Q52" s="130">
        <f>IF($E52="","",IF($O52&lt;=0,"Rupture",IF($O52&lt;=$J52,"Stock faible","En stock")))</f>
        <v/>
      </c>
      <c r="S52">
        <f>IF(OR($E52="",$Q52="En stock"),"",$O52/MAX($J52,1)+ROW()/100000)</f>
        <v/>
      </c>
    </row>
    <row r="53" ht="21" customHeight="1">
      <c r="A53" s="1" t="n"/>
      <c r="B53" s="1" t="n"/>
      <c r="C53" s="2" t="n"/>
      <c r="E53" s="127" t="n"/>
      <c r="F53" s="127" t="n"/>
      <c r="G53" s="127" t="n"/>
      <c r="H53" s="127" t="n"/>
      <c r="I53" s="128" t="n"/>
      <c r="J53" s="128" t="n"/>
      <c r="K53" s="140" t="n"/>
      <c r="L53" s="127" t="n"/>
      <c r="M53" s="129">
        <f>IF($E53="","",SUMIFS(MOV_Qte,MOV_Code,$E53,MOV_Type,"Entrée"))</f>
        <v/>
      </c>
      <c r="N53" s="129">
        <f>IF($E53="","",SUMIFS(MOV_Qte,MOV_Code,$E53,MOV_Type,"Sortie"))</f>
        <v/>
      </c>
      <c r="O53" s="129">
        <f>IF($E53="","",$I53+$M53-$N53)</f>
        <v/>
      </c>
      <c r="P53" s="135">
        <f>IF($E53="","",$O53*$K53)</f>
        <v/>
      </c>
      <c r="Q53" s="130">
        <f>IF($E53="","",IF($O53&lt;=0,"Rupture",IF($O53&lt;=$J53,"Stock faible","En stock")))</f>
        <v/>
      </c>
      <c r="S53">
        <f>IF(OR($E53="",$Q53="En stock"),"",$O53/MAX($J53,1)+ROW()/100000)</f>
        <v/>
      </c>
    </row>
    <row r="54" ht="21" customHeight="1">
      <c r="A54" s="1" t="n"/>
      <c r="B54" s="1" t="n"/>
      <c r="C54" s="2" t="n"/>
      <c r="E54" s="127" t="n"/>
      <c r="F54" s="127" t="n"/>
      <c r="G54" s="127" t="n"/>
      <c r="H54" s="127" t="n"/>
      <c r="I54" s="128" t="n"/>
      <c r="J54" s="128" t="n"/>
      <c r="K54" s="140" t="n"/>
      <c r="L54" s="127" t="n"/>
      <c r="M54" s="129">
        <f>IF($E54="","",SUMIFS(MOV_Qte,MOV_Code,$E54,MOV_Type,"Entrée"))</f>
        <v/>
      </c>
      <c r="N54" s="129">
        <f>IF($E54="","",SUMIFS(MOV_Qte,MOV_Code,$E54,MOV_Type,"Sortie"))</f>
        <v/>
      </c>
      <c r="O54" s="129">
        <f>IF($E54="","",$I54+$M54-$N54)</f>
        <v/>
      </c>
      <c r="P54" s="135">
        <f>IF($E54="","",$O54*$K54)</f>
        <v/>
      </c>
      <c r="Q54" s="130">
        <f>IF($E54="","",IF($O54&lt;=0,"Rupture",IF($O54&lt;=$J54,"Stock faible","En stock")))</f>
        <v/>
      </c>
      <c r="S54">
        <f>IF(OR($E54="",$Q54="En stock"),"",$O54/MAX($J54,1)+ROW()/100000)</f>
        <v/>
      </c>
    </row>
    <row r="55" ht="21" customHeight="1">
      <c r="A55" s="1" t="n"/>
      <c r="B55" s="1" t="n"/>
      <c r="C55" s="2" t="n"/>
      <c r="E55" s="127" t="n"/>
      <c r="F55" s="127" t="n"/>
      <c r="G55" s="127" t="n"/>
      <c r="H55" s="127" t="n"/>
      <c r="I55" s="128" t="n"/>
      <c r="J55" s="128" t="n"/>
      <c r="K55" s="140" t="n"/>
      <c r="L55" s="127" t="n"/>
      <c r="M55" s="129">
        <f>IF($E55="","",SUMIFS(MOV_Qte,MOV_Code,$E55,MOV_Type,"Entrée"))</f>
        <v/>
      </c>
      <c r="N55" s="129">
        <f>IF($E55="","",SUMIFS(MOV_Qte,MOV_Code,$E55,MOV_Type,"Sortie"))</f>
        <v/>
      </c>
      <c r="O55" s="129">
        <f>IF($E55="","",$I55+$M55-$N55)</f>
        <v/>
      </c>
      <c r="P55" s="135">
        <f>IF($E55="","",$O55*$K55)</f>
        <v/>
      </c>
      <c r="Q55" s="130">
        <f>IF($E55="","",IF($O55&lt;=0,"Rupture",IF($O55&lt;=$J55,"Stock faible","En stock")))</f>
        <v/>
      </c>
      <c r="S55">
        <f>IF(OR($E55="",$Q55="En stock"),"",$O55/MAX($J55,1)+ROW()/100000)</f>
        <v/>
      </c>
    </row>
    <row r="56" ht="21" customHeight="1">
      <c r="A56" s="1" t="n"/>
      <c r="B56" s="1" t="n"/>
      <c r="C56" s="2" t="n"/>
      <c r="E56" s="127" t="n"/>
      <c r="F56" s="127" t="n"/>
      <c r="G56" s="127" t="n"/>
      <c r="H56" s="127" t="n"/>
      <c r="I56" s="128" t="n"/>
      <c r="J56" s="128" t="n"/>
      <c r="K56" s="140" t="n"/>
      <c r="L56" s="127" t="n"/>
      <c r="M56" s="129">
        <f>IF($E56="","",SUMIFS(MOV_Qte,MOV_Code,$E56,MOV_Type,"Entrée"))</f>
        <v/>
      </c>
      <c r="N56" s="129">
        <f>IF($E56="","",SUMIFS(MOV_Qte,MOV_Code,$E56,MOV_Type,"Sortie"))</f>
        <v/>
      </c>
      <c r="O56" s="129">
        <f>IF($E56="","",$I56+$M56-$N56)</f>
        <v/>
      </c>
      <c r="P56" s="135">
        <f>IF($E56="","",$O56*$K56)</f>
        <v/>
      </c>
      <c r="Q56" s="130">
        <f>IF($E56="","",IF($O56&lt;=0,"Rupture",IF($O56&lt;=$J56,"Stock faible","En stock")))</f>
        <v/>
      </c>
      <c r="S56">
        <f>IF(OR($E56="",$Q56="En stock"),"",$O56/MAX($J56,1)+ROW()/100000)</f>
        <v/>
      </c>
    </row>
    <row r="57" ht="21" customHeight="1">
      <c r="A57" s="1" t="n"/>
      <c r="B57" s="1" t="n"/>
      <c r="C57" s="2" t="n"/>
      <c r="E57" s="127" t="n"/>
      <c r="F57" s="127" t="n"/>
      <c r="G57" s="127" t="n"/>
      <c r="H57" s="127" t="n"/>
      <c r="I57" s="128" t="n"/>
      <c r="J57" s="128" t="n"/>
      <c r="K57" s="140" t="n"/>
      <c r="L57" s="127" t="n"/>
      <c r="M57" s="129">
        <f>IF($E57="","",SUMIFS(MOV_Qte,MOV_Code,$E57,MOV_Type,"Entrée"))</f>
        <v/>
      </c>
      <c r="N57" s="129">
        <f>IF($E57="","",SUMIFS(MOV_Qte,MOV_Code,$E57,MOV_Type,"Sortie"))</f>
        <v/>
      </c>
      <c r="O57" s="129">
        <f>IF($E57="","",$I57+$M57-$N57)</f>
        <v/>
      </c>
      <c r="P57" s="135">
        <f>IF($E57="","",$O57*$K57)</f>
        <v/>
      </c>
      <c r="Q57" s="130">
        <f>IF($E57="","",IF($O57&lt;=0,"Rupture",IF($O57&lt;=$J57,"Stock faible","En stock")))</f>
        <v/>
      </c>
      <c r="S57">
        <f>IF(OR($E57="",$Q57="En stock"),"",$O57/MAX($J57,1)+ROW()/100000)</f>
        <v/>
      </c>
    </row>
    <row r="58" ht="21" customHeight="1">
      <c r="A58" s="1" t="n"/>
      <c r="B58" s="1" t="n"/>
      <c r="C58" s="2" t="n"/>
      <c r="E58" s="127" t="n"/>
      <c r="F58" s="127" t="n"/>
      <c r="G58" s="127" t="n"/>
      <c r="H58" s="127" t="n"/>
      <c r="I58" s="128" t="n"/>
      <c r="J58" s="128" t="n"/>
      <c r="K58" s="140" t="n"/>
      <c r="L58" s="127" t="n"/>
      <c r="M58" s="129">
        <f>IF($E58="","",SUMIFS(MOV_Qte,MOV_Code,$E58,MOV_Type,"Entrée"))</f>
        <v/>
      </c>
      <c r="N58" s="129">
        <f>IF($E58="","",SUMIFS(MOV_Qte,MOV_Code,$E58,MOV_Type,"Sortie"))</f>
        <v/>
      </c>
      <c r="O58" s="129">
        <f>IF($E58="","",$I58+$M58-$N58)</f>
        <v/>
      </c>
      <c r="P58" s="135">
        <f>IF($E58="","",$O58*$K58)</f>
        <v/>
      </c>
      <c r="Q58" s="130">
        <f>IF($E58="","",IF($O58&lt;=0,"Rupture",IF($O58&lt;=$J58,"Stock faible","En stock")))</f>
        <v/>
      </c>
      <c r="S58">
        <f>IF(OR($E58="",$Q58="En stock"),"",$O58/MAX($J58,1)+ROW()/100000)</f>
        <v/>
      </c>
    </row>
    <row r="59" ht="21" customHeight="1">
      <c r="A59" s="1" t="n"/>
      <c r="B59" s="1" t="n"/>
      <c r="C59" s="2" t="n"/>
      <c r="E59" s="127" t="n"/>
      <c r="F59" s="127" t="n"/>
      <c r="G59" s="127" t="n"/>
      <c r="H59" s="127" t="n"/>
      <c r="I59" s="128" t="n"/>
      <c r="J59" s="128" t="n"/>
      <c r="K59" s="140" t="n"/>
      <c r="L59" s="127" t="n"/>
      <c r="M59" s="129">
        <f>IF($E59="","",SUMIFS(MOV_Qte,MOV_Code,$E59,MOV_Type,"Entrée"))</f>
        <v/>
      </c>
      <c r="N59" s="129">
        <f>IF($E59="","",SUMIFS(MOV_Qte,MOV_Code,$E59,MOV_Type,"Sortie"))</f>
        <v/>
      </c>
      <c r="O59" s="129">
        <f>IF($E59="","",$I59+$M59-$N59)</f>
        <v/>
      </c>
      <c r="P59" s="135">
        <f>IF($E59="","",$O59*$K59)</f>
        <v/>
      </c>
      <c r="Q59" s="130">
        <f>IF($E59="","",IF($O59&lt;=0,"Rupture",IF($O59&lt;=$J59,"Stock faible","En stock")))</f>
        <v/>
      </c>
      <c r="S59">
        <f>IF(OR($E59="",$Q59="En stock"),"",$O59/MAX($J59,1)+ROW()/100000)</f>
        <v/>
      </c>
    </row>
    <row r="60" ht="21" customHeight="1">
      <c r="A60" s="1" t="n"/>
      <c r="B60" s="1" t="n"/>
      <c r="C60" s="2" t="n"/>
      <c r="E60" s="127" t="n"/>
      <c r="F60" s="127" t="n"/>
      <c r="G60" s="127" t="n"/>
      <c r="H60" s="127" t="n"/>
      <c r="I60" s="128" t="n"/>
      <c r="J60" s="128" t="n"/>
      <c r="K60" s="140" t="n"/>
      <c r="L60" s="127" t="n"/>
      <c r="M60" s="129">
        <f>IF($E60="","",SUMIFS(MOV_Qte,MOV_Code,$E60,MOV_Type,"Entrée"))</f>
        <v/>
      </c>
      <c r="N60" s="129">
        <f>IF($E60="","",SUMIFS(MOV_Qte,MOV_Code,$E60,MOV_Type,"Sortie"))</f>
        <v/>
      </c>
      <c r="O60" s="129">
        <f>IF($E60="","",$I60+$M60-$N60)</f>
        <v/>
      </c>
      <c r="P60" s="135">
        <f>IF($E60="","",$O60*$K60)</f>
        <v/>
      </c>
      <c r="Q60" s="130">
        <f>IF($E60="","",IF($O60&lt;=0,"Rupture",IF($O60&lt;=$J60,"Stock faible","En stock")))</f>
        <v/>
      </c>
      <c r="S60">
        <f>IF(OR($E60="",$Q60="En stock"),"",$O60/MAX($J60,1)+ROW()/100000)</f>
        <v/>
      </c>
    </row>
    <row r="61" ht="21" customHeight="1">
      <c r="A61" s="1" t="n"/>
      <c r="B61" s="1" t="n"/>
      <c r="C61" s="2" t="n"/>
      <c r="E61" s="127" t="n"/>
      <c r="F61" s="127" t="n"/>
      <c r="G61" s="127" t="n"/>
      <c r="H61" s="127" t="n"/>
      <c r="I61" s="128" t="n"/>
      <c r="J61" s="128" t="n"/>
      <c r="K61" s="140" t="n"/>
      <c r="L61" s="127" t="n"/>
      <c r="M61" s="129">
        <f>IF($E61="","",SUMIFS(MOV_Qte,MOV_Code,$E61,MOV_Type,"Entrée"))</f>
        <v/>
      </c>
      <c r="N61" s="129">
        <f>IF($E61="","",SUMIFS(MOV_Qte,MOV_Code,$E61,MOV_Type,"Sortie"))</f>
        <v/>
      </c>
      <c r="O61" s="129">
        <f>IF($E61="","",$I61+$M61-$N61)</f>
        <v/>
      </c>
      <c r="P61" s="135">
        <f>IF($E61="","",$O61*$K61)</f>
        <v/>
      </c>
      <c r="Q61" s="130">
        <f>IF($E61="","",IF($O61&lt;=0,"Rupture",IF($O61&lt;=$J61,"Stock faible","En stock")))</f>
        <v/>
      </c>
      <c r="S61">
        <f>IF(OR($E61="",$Q61="En stock"),"",$O61/MAX($J61,1)+ROW()/100000)</f>
        <v/>
      </c>
    </row>
    <row r="62" ht="21" customHeight="1">
      <c r="A62" s="1" t="n"/>
      <c r="B62" s="1" t="n"/>
      <c r="C62" s="2" t="n"/>
      <c r="E62" s="127" t="n"/>
      <c r="F62" s="127" t="n"/>
      <c r="G62" s="127" t="n"/>
      <c r="H62" s="127" t="n"/>
      <c r="I62" s="128" t="n"/>
      <c r="J62" s="128" t="n"/>
      <c r="K62" s="140" t="n"/>
      <c r="L62" s="127" t="n"/>
      <c r="M62" s="129">
        <f>IF($E62="","",SUMIFS(MOV_Qte,MOV_Code,$E62,MOV_Type,"Entrée"))</f>
        <v/>
      </c>
      <c r="N62" s="129">
        <f>IF($E62="","",SUMIFS(MOV_Qte,MOV_Code,$E62,MOV_Type,"Sortie"))</f>
        <v/>
      </c>
      <c r="O62" s="129">
        <f>IF($E62="","",$I62+$M62-$N62)</f>
        <v/>
      </c>
      <c r="P62" s="135">
        <f>IF($E62="","",$O62*$K62)</f>
        <v/>
      </c>
      <c r="Q62" s="130">
        <f>IF($E62="","",IF($O62&lt;=0,"Rupture",IF($O62&lt;=$J62,"Stock faible","En stock")))</f>
        <v/>
      </c>
      <c r="S62">
        <f>IF(OR($E62="",$Q62="En stock"),"",$O62/MAX($J62,1)+ROW()/100000)</f>
        <v/>
      </c>
    </row>
    <row r="63" ht="21" customHeight="1">
      <c r="A63" s="1" t="n"/>
      <c r="B63" s="1" t="n"/>
      <c r="C63" s="2" t="n"/>
      <c r="E63" s="127" t="n"/>
      <c r="F63" s="127" t="n"/>
      <c r="G63" s="127" t="n"/>
      <c r="H63" s="127" t="n"/>
      <c r="I63" s="128" t="n"/>
      <c r="J63" s="128" t="n"/>
      <c r="K63" s="140" t="n"/>
      <c r="L63" s="127" t="n"/>
      <c r="M63" s="129">
        <f>IF($E63="","",SUMIFS(MOV_Qte,MOV_Code,$E63,MOV_Type,"Entrée"))</f>
        <v/>
      </c>
      <c r="N63" s="129">
        <f>IF($E63="","",SUMIFS(MOV_Qte,MOV_Code,$E63,MOV_Type,"Sortie"))</f>
        <v/>
      </c>
      <c r="O63" s="129">
        <f>IF($E63="","",$I63+$M63-$N63)</f>
        <v/>
      </c>
      <c r="P63" s="135">
        <f>IF($E63="","",$O63*$K63)</f>
        <v/>
      </c>
      <c r="Q63" s="130">
        <f>IF($E63="","",IF($O63&lt;=0,"Rupture",IF($O63&lt;=$J63,"Stock faible","En stock")))</f>
        <v/>
      </c>
      <c r="S63">
        <f>IF(OR($E63="",$Q63="En stock"),"",$O63/MAX($J63,1)+ROW()/100000)</f>
        <v/>
      </c>
    </row>
    <row r="64" ht="21" customHeight="1">
      <c r="A64" s="1" t="n"/>
      <c r="B64" s="1" t="n"/>
      <c r="C64" s="2" t="n"/>
      <c r="E64" s="127" t="n"/>
      <c r="F64" s="127" t="n"/>
      <c r="G64" s="127" t="n"/>
      <c r="H64" s="127" t="n"/>
      <c r="I64" s="128" t="n"/>
      <c r="J64" s="128" t="n"/>
      <c r="K64" s="140" t="n"/>
      <c r="L64" s="127" t="n"/>
      <c r="M64" s="129">
        <f>IF($E64="","",SUMIFS(MOV_Qte,MOV_Code,$E64,MOV_Type,"Entrée"))</f>
        <v/>
      </c>
      <c r="N64" s="129">
        <f>IF($E64="","",SUMIFS(MOV_Qte,MOV_Code,$E64,MOV_Type,"Sortie"))</f>
        <v/>
      </c>
      <c r="O64" s="129">
        <f>IF($E64="","",$I64+$M64-$N64)</f>
        <v/>
      </c>
      <c r="P64" s="135">
        <f>IF($E64="","",$O64*$K64)</f>
        <v/>
      </c>
      <c r="Q64" s="130">
        <f>IF($E64="","",IF($O64&lt;=0,"Rupture",IF($O64&lt;=$J64,"Stock faible","En stock")))</f>
        <v/>
      </c>
      <c r="S64">
        <f>IF(OR($E64="",$Q64="En stock"),"",$O64/MAX($J64,1)+ROW()/100000)</f>
        <v/>
      </c>
    </row>
    <row r="65" ht="21" customHeight="1">
      <c r="A65" s="1" t="n"/>
      <c r="B65" s="1" t="n"/>
      <c r="C65" s="2" t="n"/>
      <c r="E65" s="127" t="n"/>
      <c r="F65" s="127" t="n"/>
      <c r="G65" s="127" t="n"/>
      <c r="H65" s="127" t="n"/>
      <c r="I65" s="128" t="n"/>
      <c r="J65" s="128" t="n"/>
      <c r="K65" s="140" t="n"/>
      <c r="L65" s="127" t="n"/>
      <c r="M65" s="129">
        <f>IF($E65="","",SUMIFS(MOV_Qte,MOV_Code,$E65,MOV_Type,"Entrée"))</f>
        <v/>
      </c>
      <c r="N65" s="129">
        <f>IF($E65="","",SUMIFS(MOV_Qte,MOV_Code,$E65,MOV_Type,"Sortie"))</f>
        <v/>
      </c>
      <c r="O65" s="129">
        <f>IF($E65="","",$I65+$M65-$N65)</f>
        <v/>
      </c>
      <c r="P65" s="135">
        <f>IF($E65="","",$O65*$K65)</f>
        <v/>
      </c>
      <c r="Q65" s="130">
        <f>IF($E65="","",IF($O65&lt;=0,"Rupture",IF($O65&lt;=$J65,"Stock faible","En stock")))</f>
        <v/>
      </c>
      <c r="S65">
        <f>IF(OR($E65="",$Q65="En stock"),"",$O65/MAX($J65,1)+ROW()/100000)</f>
        <v/>
      </c>
    </row>
    <row r="66" ht="21" customHeight="1">
      <c r="A66" s="1" t="n"/>
      <c r="B66" s="1" t="n"/>
      <c r="C66" s="2" t="n"/>
      <c r="E66" s="127" t="n"/>
      <c r="F66" s="127" t="n"/>
      <c r="G66" s="127" t="n"/>
      <c r="H66" s="127" t="n"/>
      <c r="I66" s="128" t="n"/>
      <c r="J66" s="128" t="n"/>
      <c r="K66" s="140" t="n"/>
      <c r="L66" s="127" t="n"/>
      <c r="M66" s="129">
        <f>IF($E66="","",SUMIFS(MOV_Qte,MOV_Code,$E66,MOV_Type,"Entrée"))</f>
        <v/>
      </c>
      <c r="N66" s="129">
        <f>IF($E66="","",SUMIFS(MOV_Qte,MOV_Code,$E66,MOV_Type,"Sortie"))</f>
        <v/>
      </c>
      <c r="O66" s="129">
        <f>IF($E66="","",$I66+$M66-$N66)</f>
        <v/>
      </c>
      <c r="P66" s="135">
        <f>IF($E66="","",$O66*$K66)</f>
        <v/>
      </c>
      <c r="Q66" s="130">
        <f>IF($E66="","",IF($O66&lt;=0,"Rupture",IF($O66&lt;=$J66,"Stock faible","En stock")))</f>
        <v/>
      </c>
      <c r="S66">
        <f>IF(OR($E66="",$Q66="En stock"),"",$O66/MAX($J66,1)+ROW()/100000)</f>
        <v/>
      </c>
    </row>
    <row r="67" ht="21" customHeight="1">
      <c r="A67" s="1" t="n"/>
      <c r="B67" s="1" t="n"/>
      <c r="C67" s="2" t="n"/>
      <c r="E67" s="127" t="n"/>
      <c r="F67" s="127" t="n"/>
      <c r="G67" s="127" t="n"/>
      <c r="H67" s="127" t="n"/>
      <c r="I67" s="128" t="n"/>
      <c r="J67" s="128" t="n"/>
      <c r="K67" s="140" t="n"/>
      <c r="L67" s="127" t="n"/>
      <c r="M67" s="129">
        <f>IF($E67="","",SUMIFS(MOV_Qte,MOV_Code,$E67,MOV_Type,"Entrée"))</f>
        <v/>
      </c>
      <c r="N67" s="129">
        <f>IF($E67="","",SUMIFS(MOV_Qte,MOV_Code,$E67,MOV_Type,"Sortie"))</f>
        <v/>
      </c>
      <c r="O67" s="129">
        <f>IF($E67="","",$I67+$M67-$N67)</f>
        <v/>
      </c>
      <c r="P67" s="135">
        <f>IF($E67="","",$O67*$K67)</f>
        <v/>
      </c>
      <c r="Q67" s="130">
        <f>IF($E67="","",IF($O67&lt;=0,"Rupture",IF($O67&lt;=$J67,"Stock faible","En stock")))</f>
        <v/>
      </c>
      <c r="S67">
        <f>IF(OR($E67="",$Q67="En stock"),"",$O67/MAX($J67,1)+ROW()/100000)</f>
        <v/>
      </c>
    </row>
    <row r="68" ht="21" customHeight="1">
      <c r="A68" s="1" t="n"/>
      <c r="B68" s="1" t="n"/>
      <c r="C68" s="2" t="n"/>
      <c r="E68" s="127" t="n"/>
      <c r="F68" s="127" t="n"/>
      <c r="G68" s="127" t="n"/>
      <c r="H68" s="127" t="n"/>
      <c r="I68" s="128" t="n"/>
      <c r="J68" s="128" t="n"/>
      <c r="K68" s="140" t="n"/>
      <c r="L68" s="127" t="n"/>
      <c r="M68" s="129">
        <f>IF($E68="","",SUMIFS(MOV_Qte,MOV_Code,$E68,MOV_Type,"Entrée"))</f>
        <v/>
      </c>
      <c r="N68" s="129">
        <f>IF($E68="","",SUMIFS(MOV_Qte,MOV_Code,$E68,MOV_Type,"Sortie"))</f>
        <v/>
      </c>
      <c r="O68" s="129">
        <f>IF($E68="","",$I68+$M68-$N68)</f>
        <v/>
      </c>
      <c r="P68" s="135">
        <f>IF($E68="","",$O68*$K68)</f>
        <v/>
      </c>
      <c r="Q68" s="130">
        <f>IF($E68="","",IF($O68&lt;=0,"Rupture",IF($O68&lt;=$J68,"Stock faible","En stock")))</f>
        <v/>
      </c>
      <c r="S68">
        <f>IF(OR($E68="",$Q68="En stock"),"",$O68/MAX($J68,1)+ROW()/100000)</f>
        <v/>
      </c>
    </row>
    <row r="69" ht="21" customHeight="1">
      <c r="A69" s="1" t="n"/>
      <c r="B69" s="1" t="n"/>
      <c r="C69" s="2" t="n"/>
      <c r="E69" s="127" t="n"/>
      <c r="F69" s="127" t="n"/>
      <c r="G69" s="127" t="n"/>
      <c r="H69" s="127" t="n"/>
      <c r="I69" s="128" t="n"/>
      <c r="J69" s="128" t="n"/>
      <c r="K69" s="140" t="n"/>
      <c r="L69" s="127" t="n"/>
      <c r="M69" s="129">
        <f>IF($E69="","",SUMIFS(MOV_Qte,MOV_Code,$E69,MOV_Type,"Entrée"))</f>
        <v/>
      </c>
      <c r="N69" s="129">
        <f>IF($E69="","",SUMIFS(MOV_Qte,MOV_Code,$E69,MOV_Type,"Sortie"))</f>
        <v/>
      </c>
      <c r="O69" s="129">
        <f>IF($E69="","",$I69+$M69-$N69)</f>
        <v/>
      </c>
      <c r="P69" s="135">
        <f>IF($E69="","",$O69*$K69)</f>
        <v/>
      </c>
      <c r="Q69" s="130">
        <f>IF($E69="","",IF($O69&lt;=0,"Rupture",IF($O69&lt;=$J69,"Stock faible","En stock")))</f>
        <v/>
      </c>
      <c r="S69">
        <f>IF(OR($E69="",$Q69="En stock"),"",$O69/MAX($J69,1)+ROW()/100000)</f>
        <v/>
      </c>
    </row>
    <row r="70" ht="21" customHeight="1">
      <c r="A70" s="1" t="n"/>
      <c r="B70" s="1" t="n"/>
      <c r="C70" s="2" t="n"/>
      <c r="E70" s="127" t="n"/>
      <c r="F70" s="127" t="n"/>
      <c r="G70" s="127" t="n"/>
      <c r="H70" s="127" t="n"/>
      <c r="I70" s="128" t="n"/>
      <c r="J70" s="128" t="n"/>
      <c r="K70" s="140" t="n"/>
      <c r="L70" s="127" t="n"/>
      <c r="M70" s="129">
        <f>IF($E70="","",SUMIFS(MOV_Qte,MOV_Code,$E70,MOV_Type,"Entrée"))</f>
        <v/>
      </c>
      <c r="N70" s="129">
        <f>IF($E70="","",SUMIFS(MOV_Qte,MOV_Code,$E70,MOV_Type,"Sortie"))</f>
        <v/>
      </c>
      <c r="O70" s="129">
        <f>IF($E70="","",$I70+$M70-$N70)</f>
        <v/>
      </c>
      <c r="P70" s="135">
        <f>IF($E70="","",$O70*$K70)</f>
        <v/>
      </c>
      <c r="Q70" s="130">
        <f>IF($E70="","",IF($O70&lt;=0,"Rupture",IF($O70&lt;=$J70,"Stock faible","En stock")))</f>
        <v/>
      </c>
      <c r="S70">
        <f>IF(OR($E70="",$Q70="En stock"),"",$O70/MAX($J70,1)+ROW()/100000)</f>
        <v/>
      </c>
    </row>
    <row r="71" ht="21" customHeight="1">
      <c r="A71" s="1" t="n"/>
      <c r="B71" s="1" t="n"/>
      <c r="C71" s="2" t="n"/>
      <c r="E71" s="127" t="n"/>
      <c r="F71" s="127" t="n"/>
      <c r="G71" s="127" t="n"/>
      <c r="H71" s="127" t="n"/>
      <c r="I71" s="128" t="n"/>
      <c r="J71" s="128" t="n"/>
      <c r="K71" s="140" t="n"/>
      <c r="L71" s="127" t="n"/>
      <c r="M71" s="129">
        <f>IF($E71="","",SUMIFS(MOV_Qte,MOV_Code,$E71,MOV_Type,"Entrée"))</f>
        <v/>
      </c>
      <c r="N71" s="129">
        <f>IF($E71="","",SUMIFS(MOV_Qte,MOV_Code,$E71,MOV_Type,"Sortie"))</f>
        <v/>
      </c>
      <c r="O71" s="129">
        <f>IF($E71="","",$I71+$M71-$N71)</f>
        <v/>
      </c>
      <c r="P71" s="135">
        <f>IF($E71="","",$O71*$K71)</f>
        <v/>
      </c>
      <c r="Q71" s="130">
        <f>IF($E71="","",IF($O71&lt;=0,"Rupture",IF($O71&lt;=$J71,"Stock faible","En stock")))</f>
        <v/>
      </c>
      <c r="S71">
        <f>IF(OR($E71="",$Q71="En stock"),"",$O71/MAX($J71,1)+ROW()/100000)</f>
        <v/>
      </c>
    </row>
    <row r="72" ht="21" customHeight="1">
      <c r="A72" s="1" t="n"/>
      <c r="B72" s="1" t="n"/>
      <c r="C72" s="2" t="n"/>
      <c r="E72" s="127" t="n"/>
      <c r="F72" s="127" t="n"/>
      <c r="G72" s="127" t="n"/>
      <c r="H72" s="127" t="n"/>
      <c r="I72" s="128" t="n"/>
      <c r="J72" s="128" t="n"/>
      <c r="K72" s="140" t="n"/>
      <c r="L72" s="127" t="n"/>
      <c r="M72" s="129">
        <f>IF($E72="","",SUMIFS(MOV_Qte,MOV_Code,$E72,MOV_Type,"Entrée"))</f>
        <v/>
      </c>
      <c r="N72" s="129">
        <f>IF($E72="","",SUMIFS(MOV_Qte,MOV_Code,$E72,MOV_Type,"Sortie"))</f>
        <v/>
      </c>
      <c r="O72" s="129">
        <f>IF($E72="","",$I72+$M72-$N72)</f>
        <v/>
      </c>
      <c r="P72" s="135">
        <f>IF($E72="","",$O72*$K72)</f>
        <v/>
      </c>
      <c r="Q72" s="130">
        <f>IF($E72="","",IF($O72&lt;=0,"Rupture",IF($O72&lt;=$J72,"Stock faible","En stock")))</f>
        <v/>
      </c>
      <c r="S72">
        <f>IF(OR($E72="",$Q72="En stock"),"",$O72/MAX($J72,1)+ROW()/100000)</f>
        <v/>
      </c>
    </row>
    <row r="73" ht="21" customHeight="1">
      <c r="A73" s="1" t="n"/>
      <c r="B73" s="1" t="n"/>
      <c r="C73" s="2" t="n"/>
      <c r="E73" s="127" t="n"/>
      <c r="F73" s="127" t="n"/>
      <c r="G73" s="127" t="n"/>
      <c r="H73" s="127" t="n"/>
      <c r="I73" s="128" t="n"/>
      <c r="J73" s="128" t="n"/>
      <c r="K73" s="140" t="n"/>
      <c r="L73" s="127" t="n"/>
      <c r="M73" s="129">
        <f>IF($E73="","",SUMIFS(MOV_Qte,MOV_Code,$E73,MOV_Type,"Entrée"))</f>
        <v/>
      </c>
      <c r="N73" s="129">
        <f>IF($E73="","",SUMIFS(MOV_Qte,MOV_Code,$E73,MOV_Type,"Sortie"))</f>
        <v/>
      </c>
      <c r="O73" s="129">
        <f>IF($E73="","",$I73+$M73-$N73)</f>
        <v/>
      </c>
      <c r="P73" s="135">
        <f>IF($E73="","",$O73*$K73)</f>
        <v/>
      </c>
      <c r="Q73" s="130">
        <f>IF($E73="","",IF($O73&lt;=0,"Rupture",IF($O73&lt;=$J73,"Stock faible","En stock")))</f>
        <v/>
      </c>
      <c r="S73">
        <f>IF(OR($E73="",$Q73="En stock"),"",$O73/MAX($J73,1)+ROW()/100000)</f>
        <v/>
      </c>
    </row>
    <row r="74" ht="21" customHeight="1">
      <c r="A74" s="1" t="n"/>
      <c r="B74" s="1" t="n"/>
      <c r="C74" s="2" t="n"/>
      <c r="E74" s="127" t="n"/>
      <c r="F74" s="127" t="n"/>
      <c r="G74" s="127" t="n"/>
      <c r="H74" s="127" t="n"/>
      <c r="I74" s="128" t="n"/>
      <c r="J74" s="128" t="n"/>
      <c r="K74" s="140" t="n"/>
      <c r="L74" s="127" t="n"/>
      <c r="M74" s="129">
        <f>IF($E74="","",SUMIFS(MOV_Qte,MOV_Code,$E74,MOV_Type,"Entrée"))</f>
        <v/>
      </c>
      <c r="N74" s="129">
        <f>IF($E74="","",SUMIFS(MOV_Qte,MOV_Code,$E74,MOV_Type,"Sortie"))</f>
        <v/>
      </c>
      <c r="O74" s="129">
        <f>IF($E74="","",$I74+$M74-$N74)</f>
        <v/>
      </c>
      <c r="P74" s="135">
        <f>IF($E74="","",$O74*$K74)</f>
        <v/>
      </c>
      <c r="Q74" s="130">
        <f>IF($E74="","",IF($O74&lt;=0,"Rupture",IF($O74&lt;=$J74,"Stock faible","En stock")))</f>
        <v/>
      </c>
      <c r="S74">
        <f>IF(OR($E74="",$Q74="En stock"),"",$O74/MAX($J74,1)+ROW()/100000)</f>
        <v/>
      </c>
    </row>
    <row r="75" ht="21" customHeight="1">
      <c r="A75" s="1" t="n"/>
      <c r="B75" s="1" t="n"/>
      <c r="C75" s="2" t="n"/>
      <c r="E75" s="127" t="n"/>
      <c r="F75" s="127" t="n"/>
      <c r="G75" s="127" t="n"/>
      <c r="H75" s="127" t="n"/>
      <c r="I75" s="128" t="n"/>
      <c r="J75" s="128" t="n"/>
      <c r="K75" s="140" t="n"/>
      <c r="L75" s="127" t="n"/>
      <c r="M75" s="129">
        <f>IF($E75="","",SUMIFS(MOV_Qte,MOV_Code,$E75,MOV_Type,"Entrée"))</f>
        <v/>
      </c>
      <c r="N75" s="129">
        <f>IF($E75="","",SUMIFS(MOV_Qte,MOV_Code,$E75,MOV_Type,"Sortie"))</f>
        <v/>
      </c>
      <c r="O75" s="129">
        <f>IF($E75="","",$I75+$M75-$N75)</f>
        <v/>
      </c>
      <c r="P75" s="135">
        <f>IF($E75="","",$O75*$K75)</f>
        <v/>
      </c>
      <c r="Q75" s="130">
        <f>IF($E75="","",IF($O75&lt;=0,"Rupture",IF($O75&lt;=$J75,"Stock faible","En stock")))</f>
        <v/>
      </c>
      <c r="S75">
        <f>IF(OR($E75="",$Q75="En stock"),"",$O75/MAX($J75,1)+ROW()/100000)</f>
        <v/>
      </c>
    </row>
    <row r="76" ht="21" customHeight="1">
      <c r="A76" s="1" t="n"/>
      <c r="B76" s="1" t="n"/>
      <c r="C76" s="2" t="n"/>
      <c r="E76" s="127" t="n"/>
      <c r="F76" s="127" t="n"/>
      <c r="G76" s="127" t="n"/>
      <c r="H76" s="127" t="n"/>
      <c r="I76" s="128" t="n"/>
      <c r="J76" s="128" t="n"/>
      <c r="K76" s="140" t="n"/>
      <c r="L76" s="127" t="n"/>
      <c r="M76" s="129">
        <f>IF($E76="","",SUMIFS(MOV_Qte,MOV_Code,$E76,MOV_Type,"Entrée"))</f>
        <v/>
      </c>
      <c r="N76" s="129">
        <f>IF($E76="","",SUMIFS(MOV_Qte,MOV_Code,$E76,MOV_Type,"Sortie"))</f>
        <v/>
      </c>
      <c r="O76" s="129">
        <f>IF($E76="","",$I76+$M76-$N76)</f>
        <v/>
      </c>
      <c r="P76" s="135">
        <f>IF($E76="","",$O76*$K76)</f>
        <v/>
      </c>
      <c r="Q76" s="130">
        <f>IF($E76="","",IF($O76&lt;=0,"Rupture",IF($O76&lt;=$J76,"Stock faible","En stock")))</f>
        <v/>
      </c>
      <c r="S76">
        <f>IF(OR($E76="",$Q76="En stock"),"",$O76/MAX($J76,1)+ROW()/100000)</f>
        <v/>
      </c>
    </row>
    <row r="77" ht="21" customHeight="1">
      <c r="A77" s="1" t="n"/>
      <c r="B77" s="1" t="n"/>
      <c r="C77" s="2" t="n"/>
      <c r="E77" s="127" t="n"/>
      <c r="F77" s="127" t="n"/>
      <c r="G77" s="127" t="n"/>
      <c r="H77" s="127" t="n"/>
      <c r="I77" s="128" t="n"/>
      <c r="J77" s="128" t="n"/>
      <c r="K77" s="140" t="n"/>
      <c r="L77" s="127" t="n"/>
      <c r="M77" s="129">
        <f>IF($E77="","",SUMIFS(MOV_Qte,MOV_Code,$E77,MOV_Type,"Entrée"))</f>
        <v/>
      </c>
      <c r="N77" s="129">
        <f>IF($E77="","",SUMIFS(MOV_Qte,MOV_Code,$E77,MOV_Type,"Sortie"))</f>
        <v/>
      </c>
      <c r="O77" s="129">
        <f>IF($E77="","",$I77+$M77-$N77)</f>
        <v/>
      </c>
      <c r="P77" s="135">
        <f>IF($E77="","",$O77*$K77)</f>
        <v/>
      </c>
      <c r="Q77" s="130">
        <f>IF($E77="","",IF($O77&lt;=0,"Rupture",IF($O77&lt;=$J77,"Stock faible","En stock")))</f>
        <v/>
      </c>
      <c r="S77">
        <f>IF(OR($E77="",$Q77="En stock"),"",$O77/MAX($J77,1)+ROW()/100000)</f>
        <v/>
      </c>
    </row>
    <row r="78" ht="21" customHeight="1">
      <c r="A78" s="1" t="n"/>
      <c r="B78" s="1" t="n"/>
      <c r="C78" s="2" t="n"/>
      <c r="E78" s="127" t="n"/>
      <c r="F78" s="127" t="n"/>
      <c r="G78" s="127" t="n"/>
      <c r="H78" s="127" t="n"/>
      <c r="I78" s="128" t="n"/>
      <c r="J78" s="128" t="n"/>
      <c r="K78" s="140" t="n"/>
      <c r="L78" s="127" t="n"/>
      <c r="M78" s="129">
        <f>IF($E78="","",SUMIFS(MOV_Qte,MOV_Code,$E78,MOV_Type,"Entrée"))</f>
        <v/>
      </c>
      <c r="N78" s="129">
        <f>IF($E78="","",SUMIFS(MOV_Qte,MOV_Code,$E78,MOV_Type,"Sortie"))</f>
        <v/>
      </c>
      <c r="O78" s="129">
        <f>IF($E78="","",$I78+$M78-$N78)</f>
        <v/>
      </c>
      <c r="P78" s="135">
        <f>IF($E78="","",$O78*$K78)</f>
        <v/>
      </c>
      <c r="Q78" s="130">
        <f>IF($E78="","",IF($O78&lt;=0,"Rupture",IF($O78&lt;=$J78,"Stock faible","En stock")))</f>
        <v/>
      </c>
      <c r="S78">
        <f>IF(OR($E78="",$Q78="En stock"),"",$O78/MAX($J78,1)+ROW()/100000)</f>
        <v/>
      </c>
    </row>
    <row r="79" ht="21" customHeight="1">
      <c r="A79" s="1" t="n"/>
      <c r="B79" s="1" t="n"/>
      <c r="C79" s="2" t="n"/>
      <c r="E79" s="127" t="n"/>
      <c r="F79" s="127" t="n"/>
      <c r="G79" s="127" t="n"/>
      <c r="H79" s="127" t="n"/>
      <c r="I79" s="128" t="n"/>
      <c r="J79" s="128" t="n"/>
      <c r="K79" s="140" t="n"/>
      <c r="L79" s="127" t="n"/>
      <c r="M79" s="129">
        <f>IF($E79="","",SUMIFS(MOV_Qte,MOV_Code,$E79,MOV_Type,"Entrée"))</f>
        <v/>
      </c>
      <c r="N79" s="129">
        <f>IF($E79="","",SUMIFS(MOV_Qte,MOV_Code,$E79,MOV_Type,"Sortie"))</f>
        <v/>
      </c>
      <c r="O79" s="129">
        <f>IF($E79="","",$I79+$M79-$N79)</f>
        <v/>
      </c>
      <c r="P79" s="135">
        <f>IF($E79="","",$O79*$K79)</f>
        <v/>
      </c>
      <c r="Q79" s="130">
        <f>IF($E79="","",IF($O79&lt;=0,"Rupture",IF($O79&lt;=$J79,"Stock faible","En stock")))</f>
        <v/>
      </c>
      <c r="S79">
        <f>IF(OR($E79="",$Q79="En stock"),"",$O79/MAX($J79,1)+ROW()/100000)</f>
        <v/>
      </c>
    </row>
    <row r="80" ht="21" customHeight="1">
      <c r="A80" s="1" t="n"/>
      <c r="B80" s="1" t="n"/>
      <c r="C80" s="2" t="n"/>
      <c r="E80" s="127" t="n"/>
      <c r="F80" s="127" t="n"/>
      <c r="G80" s="127" t="n"/>
      <c r="H80" s="127" t="n"/>
      <c r="I80" s="128" t="n"/>
      <c r="J80" s="128" t="n"/>
      <c r="K80" s="140" t="n"/>
      <c r="L80" s="127" t="n"/>
      <c r="M80" s="129">
        <f>IF($E80="","",SUMIFS(MOV_Qte,MOV_Code,$E80,MOV_Type,"Entrée"))</f>
        <v/>
      </c>
      <c r="N80" s="129">
        <f>IF($E80="","",SUMIFS(MOV_Qte,MOV_Code,$E80,MOV_Type,"Sortie"))</f>
        <v/>
      </c>
      <c r="O80" s="129">
        <f>IF($E80="","",$I80+$M80-$N80)</f>
        <v/>
      </c>
      <c r="P80" s="135">
        <f>IF($E80="","",$O80*$K80)</f>
        <v/>
      </c>
      <c r="Q80" s="130">
        <f>IF($E80="","",IF($O80&lt;=0,"Rupture",IF($O80&lt;=$J80,"Stock faible","En stock")))</f>
        <v/>
      </c>
      <c r="S80">
        <f>IF(OR($E80="",$Q80="En stock"),"",$O80/MAX($J80,1)+ROW()/100000)</f>
        <v/>
      </c>
    </row>
    <row r="81" ht="21" customHeight="1">
      <c r="A81" s="1" t="n"/>
      <c r="B81" s="1" t="n"/>
      <c r="C81" s="2" t="n"/>
      <c r="E81" s="127" t="n"/>
      <c r="F81" s="127" t="n"/>
      <c r="G81" s="127" t="n"/>
      <c r="H81" s="127" t="n"/>
      <c r="I81" s="128" t="n"/>
      <c r="J81" s="128" t="n"/>
      <c r="K81" s="140" t="n"/>
      <c r="L81" s="127" t="n"/>
      <c r="M81" s="129">
        <f>IF($E81="","",SUMIFS(MOV_Qte,MOV_Code,$E81,MOV_Type,"Entrée"))</f>
        <v/>
      </c>
      <c r="N81" s="129">
        <f>IF($E81="","",SUMIFS(MOV_Qte,MOV_Code,$E81,MOV_Type,"Sortie"))</f>
        <v/>
      </c>
      <c r="O81" s="129">
        <f>IF($E81="","",$I81+$M81-$N81)</f>
        <v/>
      </c>
      <c r="P81" s="135">
        <f>IF($E81="","",$O81*$K81)</f>
        <v/>
      </c>
      <c r="Q81" s="130">
        <f>IF($E81="","",IF($O81&lt;=0,"Rupture",IF($O81&lt;=$J81,"Stock faible","En stock")))</f>
        <v/>
      </c>
      <c r="S81">
        <f>IF(OR($E81="",$Q81="En stock"),"",$O81/MAX($J81,1)+ROW()/100000)</f>
        <v/>
      </c>
    </row>
    <row r="82" ht="21" customHeight="1">
      <c r="A82" s="1" t="n"/>
      <c r="B82" s="1" t="n"/>
      <c r="C82" s="2" t="n"/>
      <c r="E82" s="127" t="n"/>
      <c r="F82" s="127" t="n"/>
      <c r="G82" s="127" t="n"/>
      <c r="H82" s="127" t="n"/>
      <c r="I82" s="128" t="n"/>
      <c r="J82" s="128" t="n"/>
      <c r="K82" s="140" t="n"/>
      <c r="L82" s="127" t="n"/>
      <c r="M82" s="129">
        <f>IF($E82="","",SUMIFS(MOV_Qte,MOV_Code,$E82,MOV_Type,"Entrée"))</f>
        <v/>
      </c>
      <c r="N82" s="129">
        <f>IF($E82="","",SUMIFS(MOV_Qte,MOV_Code,$E82,MOV_Type,"Sortie"))</f>
        <v/>
      </c>
      <c r="O82" s="129">
        <f>IF($E82="","",$I82+$M82-$N82)</f>
        <v/>
      </c>
      <c r="P82" s="135">
        <f>IF($E82="","",$O82*$K82)</f>
        <v/>
      </c>
      <c r="Q82" s="130">
        <f>IF($E82="","",IF($O82&lt;=0,"Rupture",IF($O82&lt;=$J82,"Stock faible","En stock")))</f>
        <v/>
      </c>
      <c r="S82">
        <f>IF(OR($E82="",$Q82="En stock"),"",$O82/MAX($J82,1)+ROW()/100000)</f>
        <v/>
      </c>
    </row>
    <row r="83" ht="21" customHeight="1">
      <c r="A83" s="1" t="n"/>
      <c r="B83" s="1" t="n"/>
      <c r="C83" s="2" t="n"/>
      <c r="E83" s="127" t="n"/>
      <c r="F83" s="127" t="n"/>
      <c r="G83" s="127" t="n"/>
      <c r="H83" s="127" t="n"/>
      <c r="I83" s="128" t="n"/>
      <c r="J83" s="128" t="n"/>
      <c r="K83" s="140" t="n"/>
      <c r="L83" s="127" t="n"/>
      <c r="M83" s="129">
        <f>IF($E83="","",SUMIFS(MOV_Qte,MOV_Code,$E83,MOV_Type,"Entrée"))</f>
        <v/>
      </c>
      <c r="N83" s="129">
        <f>IF($E83="","",SUMIFS(MOV_Qte,MOV_Code,$E83,MOV_Type,"Sortie"))</f>
        <v/>
      </c>
      <c r="O83" s="129">
        <f>IF($E83="","",$I83+$M83-$N83)</f>
        <v/>
      </c>
      <c r="P83" s="135">
        <f>IF($E83="","",$O83*$K83)</f>
        <v/>
      </c>
      <c r="Q83" s="130">
        <f>IF($E83="","",IF($O83&lt;=0,"Rupture",IF($O83&lt;=$J83,"Stock faible","En stock")))</f>
        <v/>
      </c>
      <c r="S83">
        <f>IF(OR($E83="",$Q83="En stock"),"",$O83/MAX($J83,1)+ROW()/100000)</f>
        <v/>
      </c>
    </row>
    <row r="84" ht="21" customHeight="1">
      <c r="A84" s="1" t="n"/>
      <c r="B84" s="1" t="n"/>
      <c r="C84" s="2" t="n"/>
      <c r="E84" s="127" t="n"/>
      <c r="F84" s="127" t="n"/>
      <c r="G84" s="127" t="n"/>
      <c r="H84" s="127" t="n"/>
      <c r="I84" s="128" t="n"/>
      <c r="J84" s="128" t="n"/>
      <c r="K84" s="140" t="n"/>
      <c r="L84" s="127" t="n"/>
      <c r="M84" s="129">
        <f>IF($E84="","",SUMIFS(MOV_Qte,MOV_Code,$E84,MOV_Type,"Entrée"))</f>
        <v/>
      </c>
      <c r="N84" s="129">
        <f>IF($E84="","",SUMIFS(MOV_Qte,MOV_Code,$E84,MOV_Type,"Sortie"))</f>
        <v/>
      </c>
      <c r="O84" s="129">
        <f>IF($E84="","",$I84+$M84-$N84)</f>
        <v/>
      </c>
      <c r="P84" s="135">
        <f>IF($E84="","",$O84*$K84)</f>
        <v/>
      </c>
      <c r="Q84" s="130">
        <f>IF($E84="","",IF($O84&lt;=0,"Rupture",IF($O84&lt;=$J84,"Stock faible","En stock")))</f>
        <v/>
      </c>
      <c r="S84">
        <f>IF(OR($E84="",$Q84="En stock"),"",$O84/MAX($J84,1)+ROW()/100000)</f>
        <v/>
      </c>
    </row>
    <row r="85" ht="21" customHeight="1">
      <c r="A85" s="1" t="n"/>
      <c r="B85" s="1" t="n"/>
      <c r="C85" s="2" t="n"/>
      <c r="E85" s="127" t="n"/>
      <c r="F85" s="127" t="n"/>
      <c r="G85" s="127" t="n"/>
      <c r="H85" s="127" t="n"/>
      <c r="I85" s="128" t="n"/>
      <c r="J85" s="128" t="n"/>
      <c r="K85" s="140" t="n"/>
      <c r="L85" s="127" t="n"/>
      <c r="M85" s="129">
        <f>IF($E85="","",SUMIFS(MOV_Qte,MOV_Code,$E85,MOV_Type,"Entrée"))</f>
        <v/>
      </c>
      <c r="N85" s="129">
        <f>IF($E85="","",SUMIFS(MOV_Qte,MOV_Code,$E85,MOV_Type,"Sortie"))</f>
        <v/>
      </c>
      <c r="O85" s="129">
        <f>IF($E85="","",$I85+$M85-$N85)</f>
        <v/>
      </c>
      <c r="P85" s="135">
        <f>IF($E85="","",$O85*$K85)</f>
        <v/>
      </c>
      <c r="Q85" s="130">
        <f>IF($E85="","",IF($O85&lt;=0,"Rupture",IF($O85&lt;=$J85,"Stock faible","En stock")))</f>
        <v/>
      </c>
      <c r="S85">
        <f>IF(OR($E85="",$Q85="En stock"),"",$O85/MAX($J85,1)+ROW()/100000)</f>
        <v/>
      </c>
    </row>
    <row r="86" ht="21" customHeight="1">
      <c r="A86" s="1" t="n"/>
      <c r="B86" s="1" t="n"/>
      <c r="C86" s="2" t="n"/>
      <c r="E86" s="127" t="n"/>
      <c r="F86" s="127" t="n"/>
      <c r="G86" s="127" t="n"/>
      <c r="H86" s="127" t="n"/>
      <c r="I86" s="128" t="n"/>
      <c r="J86" s="128" t="n"/>
      <c r="K86" s="140" t="n"/>
      <c r="L86" s="127" t="n"/>
      <c r="M86" s="129">
        <f>IF($E86="","",SUMIFS(MOV_Qte,MOV_Code,$E86,MOV_Type,"Entrée"))</f>
        <v/>
      </c>
      <c r="N86" s="129">
        <f>IF($E86="","",SUMIFS(MOV_Qte,MOV_Code,$E86,MOV_Type,"Sortie"))</f>
        <v/>
      </c>
      <c r="O86" s="129">
        <f>IF($E86="","",$I86+$M86-$N86)</f>
        <v/>
      </c>
      <c r="P86" s="135">
        <f>IF($E86="","",$O86*$K86)</f>
        <v/>
      </c>
      <c r="Q86" s="130">
        <f>IF($E86="","",IF($O86&lt;=0,"Rupture",IF($O86&lt;=$J86,"Stock faible","En stock")))</f>
        <v/>
      </c>
      <c r="S86">
        <f>IF(OR($E86="",$Q86="En stock"),"",$O86/MAX($J86,1)+ROW()/100000)</f>
        <v/>
      </c>
    </row>
    <row r="87" ht="21" customHeight="1">
      <c r="A87" s="1" t="n"/>
      <c r="B87" s="1" t="n"/>
      <c r="C87" s="2" t="n"/>
      <c r="E87" s="127" t="n"/>
      <c r="F87" s="127" t="n"/>
      <c r="G87" s="127" t="n"/>
      <c r="H87" s="127" t="n"/>
      <c r="I87" s="128" t="n"/>
      <c r="J87" s="128" t="n"/>
      <c r="K87" s="140" t="n"/>
      <c r="L87" s="127" t="n"/>
      <c r="M87" s="129">
        <f>IF($E87="","",SUMIFS(MOV_Qte,MOV_Code,$E87,MOV_Type,"Entrée"))</f>
        <v/>
      </c>
      <c r="N87" s="129">
        <f>IF($E87="","",SUMIFS(MOV_Qte,MOV_Code,$E87,MOV_Type,"Sortie"))</f>
        <v/>
      </c>
      <c r="O87" s="129">
        <f>IF($E87="","",$I87+$M87-$N87)</f>
        <v/>
      </c>
      <c r="P87" s="135">
        <f>IF($E87="","",$O87*$K87)</f>
        <v/>
      </c>
      <c r="Q87" s="130">
        <f>IF($E87="","",IF($O87&lt;=0,"Rupture",IF($O87&lt;=$J87,"Stock faible","En stock")))</f>
        <v/>
      </c>
      <c r="S87">
        <f>IF(OR($E87="",$Q87="En stock"),"",$O87/MAX($J87,1)+ROW()/100000)</f>
        <v/>
      </c>
    </row>
    <row r="88" ht="21" customHeight="1">
      <c r="A88" s="1" t="n"/>
      <c r="B88" s="1" t="n"/>
      <c r="C88" s="2" t="n"/>
      <c r="E88" s="127" t="n"/>
      <c r="F88" s="127" t="n"/>
      <c r="G88" s="127" t="n"/>
      <c r="H88" s="127" t="n"/>
      <c r="I88" s="128" t="n"/>
      <c r="J88" s="128" t="n"/>
      <c r="K88" s="140" t="n"/>
      <c r="L88" s="127" t="n"/>
      <c r="M88" s="129">
        <f>IF($E88="","",SUMIFS(MOV_Qte,MOV_Code,$E88,MOV_Type,"Entrée"))</f>
        <v/>
      </c>
      <c r="N88" s="129">
        <f>IF($E88="","",SUMIFS(MOV_Qte,MOV_Code,$E88,MOV_Type,"Sortie"))</f>
        <v/>
      </c>
      <c r="O88" s="129">
        <f>IF($E88="","",$I88+$M88-$N88)</f>
        <v/>
      </c>
      <c r="P88" s="135">
        <f>IF($E88="","",$O88*$K88)</f>
        <v/>
      </c>
      <c r="Q88" s="130">
        <f>IF($E88="","",IF($O88&lt;=0,"Rupture",IF($O88&lt;=$J88,"Stock faible","En stock")))</f>
        <v/>
      </c>
      <c r="S88">
        <f>IF(OR($E88="",$Q88="En stock"),"",$O88/MAX($J88,1)+ROW()/100000)</f>
        <v/>
      </c>
    </row>
    <row r="89" ht="21" customHeight="1">
      <c r="A89" s="1" t="n"/>
      <c r="B89" s="1" t="n"/>
      <c r="C89" s="2" t="n"/>
      <c r="E89" s="127" t="n"/>
      <c r="F89" s="127" t="n"/>
      <c r="G89" s="127" t="n"/>
      <c r="H89" s="127" t="n"/>
      <c r="I89" s="128" t="n"/>
      <c r="J89" s="128" t="n"/>
      <c r="K89" s="140" t="n"/>
      <c r="L89" s="127" t="n"/>
      <c r="M89" s="129">
        <f>IF($E89="","",SUMIFS(MOV_Qte,MOV_Code,$E89,MOV_Type,"Entrée"))</f>
        <v/>
      </c>
      <c r="N89" s="129">
        <f>IF($E89="","",SUMIFS(MOV_Qte,MOV_Code,$E89,MOV_Type,"Sortie"))</f>
        <v/>
      </c>
      <c r="O89" s="129">
        <f>IF($E89="","",$I89+$M89-$N89)</f>
        <v/>
      </c>
      <c r="P89" s="135">
        <f>IF($E89="","",$O89*$K89)</f>
        <v/>
      </c>
      <c r="Q89" s="130">
        <f>IF($E89="","",IF($O89&lt;=0,"Rupture",IF($O89&lt;=$J89,"Stock faible","En stock")))</f>
        <v/>
      </c>
      <c r="S89">
        <f>IF(OR($E89="",$Q89="En stock"),"",$O89/MAX($J89,1)+ROW()/100000)</f>
        <v/>
      </c>
    </row>
    <row r="90" ht="21" customHeight="1">
      <c r="A90" s="1" t="n"/>
      <c r="B90" s="1" t="n"/>
      <c r="C90" s="2" t="n"/>
      <c r="E90" s="127" t="n"/>
      <c r="F90" s="127" t="n"/>
      <c r="G90" s="127" t="n"/>
      <c r="H90" s="127" t="n"/>
      <c r="I90" s="128" t="n"/>
      <c r="J90" s="128" t="n"/>
      <c r="K90" s="140" t="n"/>
      <c r="L90" s="127" t="n"/>
      <c r="M90" s="129">
        <f>IF($E90="","",SUMIFS(MOV_Qte,MOV_Code,$E90,MOV_Type,"Entrée"))</f>
        <v/>
      </c>
      <c r="N90" s="129">
        <f>IF($E90="","",SUMIFS(MOV_Qte,MOV_Code,$E90,MOV_Type,"Sortie"))</f>
        <v/>
      </c>
      <c r="O90" s="129">
        <f>IF($E90="","",$I90+$M90-$N90)</f>
        <v/>
      </c>
      <c r="P90" s="135">
        <f>IF($E90="","",$O90*$K90)</f>
        <v/>
      </c>
      <c r="Q90" s="130">
        <f>IF($E90="","",IF($O90&lt;=0,"Rupture",IF($O90&lt;=$J90,"Stock faible","En stock")))</f>
        <v/>
      </c>
      <c r="S90">
        <f>IF(OR($E90="",$Q90="En stock"),"",$O90/MAX($J90,1)+ROW()/100000)</f>
        <v/>
      </c>
    </row>
    <row r="91" ht="21" customHeight="1">
      <c r="A91" s="1" t="n"/>
      <c r="B91" s="1" t="n"/>
      <c r="C91" s="2" t="n"/>
      <c r="E91" s="127" t="n"/>
      <c r="F91" s="127" t="n"/>
      <c r="G91" s="127" t="n"/>
      <c r="H91" s="127" t="n"/>
      <c r="I91" s="128" t="n"/>
      <c r="J91" s="128" t="n"/>
      <c r="K91" s="140" t="n"/>
      <c r="L91" s="127" t="n"/>
      <c r="M91" s="129">
        <f>IF($E91="","",SUMIFS(MOV_Qte,MOV_Code,$E91,MOV_Type,"Entrée"))</f>
        <v/>
      </c>
      <c r="N91" s="129">
        <f>IF($E91="","",SUMIFS(MOV_Qte,MOV_Code,$E91,MOV_Type,"Sortie"))</f>
        <v/>
      </c>
      <c r="O91" s="129">
        <f>IF($E91="","",$I91+$M91-$N91)</f>
        <v/>
      </c>
      <c r="P91" s="135">
        <f>IF($E91="","",$O91*$K91)</f>
        <v/>
      </c>
      <c r="Q91" s="130">
        <f>IF($E91="","",IF($O91&lt;=0,"Rupture",IF($O91&lt;=$J91,"Stock faible","En stock")))</f>
        <v/>
      </c>
      <c r="S91">
        <f>IF(OR($E91="",$Q91="En stock"),"",$O91/MAX($J91,1)+ROW()/100000)</f>
        <v/>
      </c>
    </row>
    <row r="92" ht="21" customHeight="1">
      <c r="A92" s="1" t="n"/>
      <c r="B92" s="1" t="n"/>
      <c r="C92" s="2" t="n"/>
      <c r="E92" s="127" t="n"/>
      <c r="F92" s="127" t="n"/>
      <c r="G92" s="127" t="n"/>
      <c r="H92" s="127" t="n"/>
      <c r="I92" s="128" t="n"/>
      <c r="J92" s="128" t="n"/>
      <c r="K92" s="140" t="n"/>
      <c r="L92" s="127" t="n"/>
      <c r="M92" s="129">
        <f>IF($E92="","",SUMIFS(MOV_Qte,MOV_Code,$E92,MOV_Type,"Entrée"))</f>
        <v/>
      </c>
      <c r="N92" s="129">
        <f>IF($E92="","",SUMIFS(MOV_Qte,MOV_Code,$E92,MOV_Type,"Sortie"))</f>
        <v/>
      </c>
      <c r="O92" s="129">
        <f>IF($E92="","",$I92+$M92-$N92)</f>
        <v/>
      </c>
      <c r="P92" s="135">
        <f>IF($E92="","",$O92*$K92)</f>
        <v/>
      </c>
      <c r="Q92" s="130">
        <f>IF($E92="","",IF($O92&lt;=0,"Rupture",IF($O92&lt;=$J92,"Stock faible","En stock")))</f>
        <v/>
      </c>
      <c r="S92">
        <f>IF(OR($E92="",$Q92="En stock"),"",$O92/MAX($J92,1)+ROW()/100000)</f>
        <v/>
      </c>
    </row>
    <row r="93" ht="21" customHeight="1">
      <c r="A93" s="1" t="n"/>
      <c r="B93" s="1" t="n"/>
      <c r="C93" s="2" t="n"/>
      <c r="E93" s="127" t="n"/>
      <c r="F93" s="127" t="n"/>
      <c r="G93" s="127" t="n"/>
      <c r="H93" s="127" t="n"/>
      <c r="I93" s="128" t="n"/>
      <c r="J93" s="128" t="n"/>
      <c r="K93" s="140" t="n"/>
      <c r="L93" s="127" t="n"/>
      <c r="M93" s="129">
        <f>IF($E93="","",SUMIFS(MOV_Qte,MOV_Code,$E93,MOV_Type,"Entrée"))</f>
        <v/>
      </c>
      <c r="N93" s="129">
        <f>IF($E93="","",SUMIFS(MOV_Qte,MOV_Code,$E93,MOV_Type,"Sortie"))</f>
        <v/>
      </c>
      <c r="O93" s="129">
        <f>IF($E93="","",$I93+$M93-$N93)</f>
        <v/>
      </c>
      <c r="P93" s="135">
        <f>IF($E93="","",$O93*$K93)</f>
        <v/>
      </c>
      <c r="Q93" s="130">
        <f>IF($E93="","",IF($O93&lt;=0,"Rupture",IF($O93&lt;=$J93,"Stock faible","En stock")))</f>
        <v/>
      </c>
      <c r="S93">
        <f>IF(OR($E93="",$Q93="En stock"),"",$O93/MAX($J93,1)+ROW()/100000)</f>
        <v/>
      </c>
    </row>
    <row r="94" ht="21" customHeight="1">
      <c r="A94" s="1" t="n"/>
      <c r="B94" s="1" t="n"/>
      <c r="C94" s="2" t="n"/>
      <c r="E94" s="127" t="n"/>
      <c r="F94" s="127" t="n"/>
      <c r="G94" s="127" t="n"/>
      <c r="H94" s="127" t="n"/>
      <c r="I94" s="128" t="n"/>
      <c r="J94" s="128" t="n"/>
      <c r="K94" s="140" t="n"/>
      <c r="L94" s="127" t="n"/>
      <c r="M94" s="129">
        <f>IF($E94="","",SUMIFS(MOV_Qte,MOV_Code,$E94,MOV_Type,"Entrée"))</f>
        <v/>
      </c>
      <c r="N94" s="129">
        <f>IF($E94="","",SUMIFS(MOV_Qte,MOV_Code,$E94,MOV_Type,"Sortie"))</f>
        <v/>
      </c>
      <c r="O94" s="129">
        <f>IF($E94="","",$I94+$M94-$N94)</f>
        <v/>
      </c>
      <c r="P94" s="135">
        <f>IF($E94="","",$O94*$K94)</f>
        <v/>
      </c>
      <c r="Q94" s="130">
        <f>IF($E94="","",IF($O94&lt;=0,"Rupture",IF($O94&lt;=$J94,"Stock faible","En stock")))</f>
        <v/>
      </c>
      <c r="S94">
        <f>IF(OR($E94="",$Q94="En stock"),"",$O94/MAX($J94,1)+ROW()/100000)</f>
        <v/>
      </c>
    </row>
    <row r="95" ht="21" customHeight="1">
      <c r="A95" s="1" t="n"/>
      <c r="B95" s="1" t="n"/>
      <c r="C95" s="2" t="n"/>
      <c r="E95" s="127" t="n"/>
      <c r="F95" s="127" t="n"/>
      <c r="G95" s="127" t="n"/>
      <c r="H95" s="127" t="n"/>
      <c r="I95" s="128" t="n"/>
      <c r="J95" s="128" t="n"/>
      <c r="K95" s="140" t="n"/>
      <c r="L95" s="127" t="n"/>
      <c r="M95" s="129">
        <f>IF($E95="","",SUMIFS(MOV_Qte,MOV_Code,$E95,MOV_Type,"Entrée"))</f>
        <v/>
      </c>
      <c r="N95" s="129">
        <f>IF($E95="","",SUMIFS(MOV_Qte,MOV_Code,$E95,MOV_Type,"Sortie"))</f>
        <v/>
      </c>
      <c r="O95" s="129">
        <f>IF($E95="","",$I95+$M95-$N95)</f>
        <v/>
      </c>
      <c r="P95" s="135">
        <f>IF($E95="","",$O95*$K95)</f>
        <v/>
      </c>
      <c r="Q95" s="130">
        <f>IF($E95="","",IF($O95&lt;=0,"Rupture",IF($O95&lt;=$J95,"Stock faible","En stock")))</f>
        <v/>
      </c>
      <c r="S95">
        <f>IF(OR($E95="",$Q95="En stock"),"",$O95/MAX($J95,1)+ROW()/100000)</f>
        <v/>
      </c>
    </row>
    <row r="96" ht="21" customHeight="1">
      <c r="A96" s="1" t="n"/>
      <c r="B96" s="1" t="n"/>
      <c r="C96" s="2" t="n"/>
      <c r="E96" s="127" t="n"/>
      <c r="F96" s="127" t="n"/>
      <c r="G96" s="127" t="n"/>
      <c r="H96" s="127" t="n"/>
      <c r="I96" s="128" t="n"/>
      <c r="J96" s="128" t="n"/>
      <c r="K96" s="140" t="n"/>
      <c r="L96" s="127" t="n"/>
      <c r="M96" s="129">
        <f>IF($E96="","",SUMIFS(MOV_Qte,MOV_Code,$E96,MOV_Type,"Entrée"))</f>
        <v/>
      </c>
      <c r="N96" s="129">
        <f>IF($E96="","",SUMIFS(MOV_Qte,MOV_Code,$E96,MOV_Type,"Sortie"))</f>
        <v/>
      </c>
      <c r="O96" s="129">
        <f>IF($E96="","",$I96+$M96-$N96)</f>
        <v/>
      </c>
      <c r="P96" s="135">
        <f>IF($E96="","",$O96*$K96)</f>
        <v/>
      </c>
      <c r="Q96" s="130">
        <f>IF($E96="","",IF($O96&lt;=0,"Rupture",IF($O96&lt;=$J96,"Stock faible","En stock")))</f>
        <v/>
      </c>
      <c r="S96">
        <f>IF(OR($E96="",$Q96="En stock"),"",$O96/MAX($J96,1)+ROW()/100000)</f>
        <v/>
      </c>
    </row>
    <row r="97" ht="21" customHeight="1">
      <c r="A97" s="1" t="n"/>
      <c r="B97" s="1" t="n"/>
      <c r="C97" s="2" t="n"/>
      <c r="E97" s="127" t="n"/>
      <c r="F97" s="127" t="n"/>
      <c r="G97" s="127" t="n"/>
      <c r="H97" s="127" t="n"/>
      <c r="I97" s="128" t="n"/>
      <c r="J97" s="128" t="n"/>
      <c r="K97" s="140" t="n"/>
      <c r="L97" s="127" t="n"/>
      <c r="M97" s="129">
        <f>IF($E97="","",SUMIFS(MOV_Qte,MOV_Code,$E97,MOV_Type,"Entrée"))</f>
        <v/>
      </c>
      <c r="N97" s="129">
        <f>IF($E97="","",SUMIFS(MOV_Qte,MOV_Code,$E97,MOV_Type,"Sortie"))</f>
        <v/>
      </c>
      <c r="O97" s="129">
        <f>IF($E97="","",$I97+$M97-$N97)</f>
        <v/>
      </c>
      <c r="P97" s="135">
        <f>IF($E97="","",$O97*$K97)</f>
        <v/>
      </c>
      <c r="Q97" s="130">
        <f>IF($E97="","",IF($O97&lt;=0,"Rupture",IF($O97&lt;=$J97,"Stock faible","En stock")))</f>
        <v/>
      </c>
      <c r="S97">
        <f>IF(OR($E97="",$Q97="En stock"),"",$O97/MAX($J97,1)+ROW()/100000)</f>
        <v/>
      </c>
    </row>
    <row r="98" ht="21" customHeight="1">
      <c r="A98" s="1" t="n"/>
      <c r="B98" s="1" t="n"/>
      <c r="C98" s="2" t="n"/>
      <c r="E98" s="127" t="n"/>
      <c r="F98" s="127" t="n"/>
      <c r="G98" s="127" t="n"/>
      <c r="H98" s="127" t="n"/>
      <c r="I98" s="128" t="n"/>
      <c r="J98" s="128" t="n"/>
      <c r="K98" s="140" t="n"/>
      <c r="L98" s="127" t="n"/>
      <c r="M98" s="129">
        <f>IF($E98="","",SUMIFS(MOV_Qte,MOV_Code,$E98,MOV_Type,"Entrée"))</f>
        <v/>
      </c>
      <c r="N98" s="129">
        <f>IF($E98="","",SUMIFS(MOV_Qte,MOV_Code,$E98,MOV_Type,"Sortie"))</f>
        <v/>
      </c>
      <c r="O98" s="129">
        <f>IF($E98="","",$I98+$M98-$N98)</f>
        <v/>
      </c>
      <c r="P98" s="135">
        <f>IF($E98="","",$O98*$K98)</f>
        <v/>
      </c>
      <c r="Q98" s="130">
        <f>IF($E98="","",IF($O98&lt;=0,"Rupture",IF($O98&lt;=$J98,"Stock faible","En stock")))</f>
        <v/>
      </c>
      <c r="S98">
        <f>IF(OR($E98="",$Q98="En stock"),"",$O98/MAX($J98,1)+ROW()/100000)</f>
        <v/>
      </c>
    </row>
    <row r="99" ht="21" customHeight="1">
      <c r="A99" s="1" t="n"/>
      <c r="B99" s="1" t="n"/>
      <c r="C99" s="2" t="n"/>
      <c r="E99" s="127" t="n"/>
      <c r="F99" s="127" t="n"/>
      <c r="G99" s="127" t="n"/>
      <c r="H99" s="127" t="n"/>
      <c r="I99" s="128" t="n"/>
      <c r="J99" s="128" t="n"/>
      <c r="K99" s="140" t="n"/>
      <c r="L99" s="127" t="n"/>
      <c r="M99" s="129">
        <f>IF($E99="","",SUMIFS(MOV_Qte,MOV_Code,$E99,MOV_Type,"Entrée"))</f>
        <v/>
      </c>
      <c r="N99" s="129">
        <f>IF($E99="","",SUMIFS(MOV_Qte,MOV_Code,$E99,MOV_Type,"Sortie"))</f>
        <v/>
      </c>
      <c r="O99" s="129">
        <f>IF($E99="","",$I99+$M99-$N99)</f>
        <v/>
      </c>
      <c r="P99" s="135">
        <f>IF($E99="","",$O99*$K99)</f>
        <v/>
      </c>
      <c r="Q99" s="130">
        <f>IF($E99="","",IF($O99&lt;=0,"Rupture",IF($O99&lt;=$J99,"Stock faible","En stock")))</f>
        <v/>
      </c>
      <c r="S99">
        <f>IF(OR($E99="",$Q99="En stock"),"",$O99/MAX($J99,1)+ROW()/100000)</f>
        <v/>
      </c>
    </row>
    <row r="100" ht="21" customHeight="1">
      <c r="A100" s="1" t="n"/>
      <c r="B100" s="1" t="n"/>
      <c r="C100" s="2" t="n"/>
      <c r="E100" s="127" t="n"/>
      <c r="F100" s="127" t="n"/>
      <c r="G100" s="127" t="n"/>
      <c r="H100" s="127" t="n"/>
      <c r="I100" s="128" t="n"/>
      <c r="J100" s="128" t="n"/>
      <c r="K100" s="140" t="n"/>
      <c r="L100" s="127" t="n"/>
      <c r="M100" s="129">
        <f>IF($E100="","",SUMIFS(MOV_Qte,MOV_Code,$E100,MOV_Type,"Entrée"))</f>
        <v/>
      </c>
      <c r="N100" s="129">
        <f>IF($E100="","",SUMIFS(MOV_Qte,MOV_Code,$E100,MOV_Type,"Sortie"))</f>
        <v/>
      </c>
      <c r="O100" s="129">
        <f>IF($E100="","",$I100+$M100-$N100)</f>
        <v/>
      </c>
      <c r="P100" s="135">
        <f>IF($E100="","",$O100*$K100)</f>
        <v/>
      </c>
      <c r="Q100" s="130">
        <f>IF($E100="","",IF($O100&lt;=0,"Rupture",IF($O100&lt;=$J100,"Stock faible","En stock")))</f>
        <v/>
      </c>
      <c r="S100">
        <f>IF(OR($E100="",$Q100="En stock"),"",$O100/MAX($J100,1)+ROW()/100000)</f>
        <v/>
      </c>
    </row>
    <row r="101" ht="21" customHeight="1">
      <c r="A101" s="1" t="n"/>
      <c r="B101" s="1" t="n"/>
      <c r="C101" s="2" t="n"/>
      <c r="E101" s="127" t="n"/>
      <c r="F101" s="127" t="n"/>
      <c r="G101" s="127" t="n"/>
      <c r="H101" s="127" t="n"/>
      <c r="I101" s="128" t="n"/>
      <c r="J101" s="128" t="n"/>
      <c r="K101" s="140" t="n"/>
      <c r="L101" s="127" t="n"/>
      <c r="M101" s="129">
        <f>IF($E101="","",SUMIFS(MOV_Qte,MOV_Code,$E101,MOV_Type,"Entrée"))</f>
        <v/>
      </c>
      <c r="N101" s="129">
        <f>IF($E101="","",SUMIFS(MOV_Qte,MOV_Code,$E101,MOV_Type,"Sortie"))</f>
        <v/>
      </c>
      <c r="O101" s="129">
        <f>IF($E101="","",$I101+$M101-$N101)</f>
        <v/>
      </c>
      <c r="P101" s="135">
        <f>IF($E101="","",$O101*$K101)</f>
        <v/>
      </c>
      <c r="Q101" s="130">
        <f>IF($E101="","",IF($O101&lt;=0,"Rupture",IF($O101&lt;=$J101,"Stock faible","En stock")))</f>
        <v/>
      </c>
      <c r="S101">
        <f>IF(OR($E101="",$Q101="En stock"),"",$O101/MAX($J101,1)+ROW()/100000)</f>
        <v/>
      </c>
    </row>
    <row r="102" ht="21" customHeight="1">
      <c r="A102" s="1" t="n"/>
      <c r="B102" s="1" t="n"/>
      <c r="C102" s="2" t="n"/>
      <c r="E102" s="127" t="n"/>
      <c r="F102" s="127" t="n"/>
      <c r="G102" s="127" t="n"/>
      <c r="H102" s="127" t="n"/>
      <c r="I102" s="128" t="n"/>
      <c r="J102" s="128" t="n"/>
      <c r="K102" s="140" t="n"/>
      <c r="L102" s="127" t="n"/>
      <c r="M102" s="129">
        <f>IF($E102="","",SUMIFS(MOV_Qte,MOV_Code,$E102,MOV_Type,"Entrée"))</f>
        <v/>
      </c>
      <c r="N102" s="129">
        <f>IF($E102="","",SUMIFS(MOV_Qte,MOV_Code,$E102,MOV_Type,"Sortie"))</f>
        <v/>
      </c>
      <c r="O102" s="129">
        <f>IF($E102="","",$I102+$M102-$N102)</f>
        <v/>
      </c>
      <c r="P102" s="135">
        <f>IF($E102="","",$O102*$K102)</f>
        <v/>
      </c>
      <c r="Q102" s="130">
        <f>IF($E102="","",IF($O102&lt;=0,"Rupture",IF($O102&lt;=$J102,"Stock faible","En stock")))</f>
        <v/>
      </c>
      <c r="S102">
        <f>IF(OR($E102="",$Q102="En stock"),"",$O102/MAX($J102,1)+ROW()/100000)</f>
        <v/>
      </c>
    </row>
    <row r="103" ht="21" customHeight="1">
      <c r="A103" s="1" t="n"/>
      <c r="B103" s="1" t="n"/>
      <c r="C103" s="2" t="n"/>
      <c r="E103" s="127" t="n"/>
      <c r="F103" s="127" t="n"/>
      <c r="G103" s="127" t="n"/>
      <c r="H103" s="127" t="n"/>
      <c r="I103" s="128" t="n"/>
      <c r="J103" s="128" t="n"/>
      <c r="K103" s="140" t="n"/>
      <c r="L103" s="127" t="n"/>
      <c r="M103" s="129">
        <f>IF($E103="","",SUMIFS(MOV_Qte,MOV_Code,$E103,MOV_Type,"Entrée"))</f>
        <v/>
      </c>
      <c r="N103" s="129">
        <f>IF($E103="","",SUMIFS(MOV_Qte,MOV_Code,$E103,MOV_Type,"Sortie"))</f>
        <v/>
      </c>
      <c r="O103" s="129">
        <f>IF($E103="","",$I103+$M103-$N103)</f>
        <v/>
      </c>
      <c r="P103" s="135">
        <f>IF($E103="","",$O103*$K103)</f>
        <v/>
      </c>
      <c r="Q103" s="130">
        <f>IF($E103="","",IF($O103&lt;=0,"Rupture",IF($O103&lt;=$J103,"Stock faible","En stock")))</f>
        <v/>
      </c>
      <c r="S103">
        <f>IF(OR($E103="",$Q103="En stock"),"",$O103/MAX($J103,1)+ROW()/100000)</f>
        <v/>
      </c>
    </row>
    <row r="104" ht="21" customHeight="1">
      <c r="A104" s="1" t="n"/>
      <c r="B104" s="1" t="n"/>
      <c r="C104" s="2" t="n"/>
      <c r="E104" s="127" t="n"/>
      <c r="F104" s="127" t="n"/>
      <c r="G104" s="127" t="n"/>
      <c r="H104" s="127" t="n"/>
      <c r="I104" s="128" t="n"/>
      <c r="J104" s="128" t="n"/>
      <c r="K104" s="140" t="n"/>
      <c r="L104" s="127" t="n"/>
      <c r="M104" s="129">
        <f>IF($E104="","",SUMIFS(MOV_Qte,MOV_Code,$E104,MOV_Type,"Entrée"))</f>
        <v/>
      </c>
      <c r="N104" s="129">
        <f>IF($E104="","",SUMIFS(MOV_Qte,MOV_Code,$E104,MOV_Type,"Sortie"))</f>
        <v/>
      </c>
      <c r="O104" s="129">
        <f>IF($E104="","",$I104+$M104-$N104)</f>
        <v/>
      </c>
      <c r="P104" s="135">
        <f>IF($E104="","",$O104*$K104)</f>
        <v/>
      </c>
      <c r="Q104" s="130">
        <f>IF($E104="","",IF($O104&lt;=0,"Rupture",IF($O104&lt;=$J104,"Stock faible","En stock")))</f>
        <v/>
      </c>
      <c r="S104">
        <f>IF(OR($E104="",$Q104="En stock"),"",$O104/MAX($J104,1)+ROW()/100000)</f>
        <v/>
      </c>
    </row>
    <row r="105" ht="21" customHeight="1">
      <c r="A105" s="1" t="n"/>
      <c r="B105" s="1" t="n"/>
      <c r="C105" s="2" t="n"/>
      <c r="E105" s="127" t="n"/>
      <c r="F105" s="127" t="n"/>
      <c r="G105" s="127" t="n"/>
      <c r="H105" s="127" t="n"/>
      <c r="I105" s="128" t="n"/>
      <c r="J105" s="128" t="n"/>
      <c r="K105" s="140" t="n"/>
      <c r="L105" s="127" t="n"/>
      <c r="M105" s="129">
        <f>IF($E105="","",SUMIFS(MOV_Qte,MOV_Code,$E105,MOV_Type,"Entrée"))</f>
        <v/>
      </c>
      <c r="N105" s="129">
        <f>IF($E105="","",SUMIFS(MOV_Qte,MOV_Code,$E105,MOV_Type,"Sortie"))</f>
        <v/>
      </c>
      <c r="O105" s="129">
        <f>IF($E105="","",$I105+$M105-$N105)</f>
        <v/>
      </c>
      <c r="P105" s="135">
        <f>IF($E105="","",$O105*$K105)</f>
        <v/>
      </c>
      <c r="Q105" s="130">
        <f>IF($E105="","",IF($O105&lt;=0,"Rupture",IF($O105&lt;=$J105,"Stock faible","En stock")))</f>
        <v/>
      </c>
      <c r="S105">
        <f>IF(OR($E105="",$Q105="En stock"),"",$O105/MAX($J105,1)+ROW()/100000)</f>
        <v/>
      </c>
    </row>
    <row r="106" ht="21" customHeight="1">
      <c r="A106" s="1" t="n"/>
      <c r="B106" s="1" t="n"/>
      <c r="C106" s="2" t="n"/>
      <c r="E106" s="127" t="n"/>
      <c r="F106" s="127" t="n"/>
      <c r="G106" s="127" t="n"/>
      <c r="H106" s="127" t="n"/>
      <c r="I106" s="128" t="n"/>
      <c r="J106" s="128" t="n"/>
      <c r="K106" s="140" t="n"/>
      <c r="L106" s="127" t="n"/>
      <c r="M106" s="129">
        <f>IF($E106="","",SUMIFS(MOV_Qte,MOV_Code,$E106,MOV_Type,"Entrée"))</f>
        <v/>
      </c>
      <c r="N106" s="129">
        <f>IF($E106="","",SUMIFS(MOV_Qte,MOV_Code,$E106,MOV_Type,"Sortie"))</f>
        <v/>
      </c>
      <c r="O106" s="129">
        <f>IF($E106="","",$I106+$M106-$N106)</f>
        <v/>
      </c>
      <c r="P106" s="135">
        <f>IF($E106="","",$O106*$K106)</f>
        <v/>
      </c>
      <c r="Q106" s="130">
        <f>IF($E106="","",IF($O106&lt;=0,"Rupture",IF($O106&lt;=$J106,"Stock faible","En stock")))</f>
        <v/>
      </c>
      <c r="S106">
        <f>IF(OR($E106="",$Q106="En stock"),"",$O106/MAX($J106,1)+ROW()/100000)</f>
        <v/>
      </c>
    </row>
    <row r="107" ht="21" customHeight="1">
      <c r="A107" s="1" t="n"/>
      <c r="B107" s="1" t="n"/>
      <c r="C107" s="2" t="n"/>
      <c r="E107" s="127" t="n"/>
      <c r="F107" s="127" t="n"/>
      <c r="G107" s="127" t="n"/>
      <c r="H107" s="127" t="n"/>
      <c r="I107" s="128" t="n"/>
      <c r="J107" s="128" t="n"/>
      <c r="K107" s="140" t="n"/>
      <c r="L107" s="127" t="n"/>
      <c r="M107" s="129">
        <f>IF($E107="","",SUMIFS(MOV_Qte,MOV_Code,$E107,MOV_Type,"Entrée"))</f>
        <v/>
      </c>
      <c r="N107" s="129">
        <f>IF($E107="","",SUMIFS(MOV_Qte,MOV_Code,$E107,MOV_Type,"Sortie"))</f>
        <v/>
      </c>
      <c r="O107" s="129">
        <f>IF($E107="","",$I107+$M107-$N107)</f>
        <v/>
      </c>
      <c r="P107" s="135">
        <f>IF($E107="","",$O107*$K107)</f>
        <v/>
      </c>
      <c r="Q107" s="130">
        <f>IF($E107="","",IF($O107&lt;=0,"Rupture",IF($O107&lt;=$J107,"Stock faible","En stock")))</f>
        <v/>
      </c>
      <c r="S107">
        <f>IF(OR($E107="",$Q107="En stock"),"",$O107/MAX($J107,1)+ROW()/100000)</f>
        <v/>
      </c>
    </row>
    <row r="108" ht="21" customHeight="1">
      <c r="A108" s="1" t="n"/>
      <c r="B108" s="1" t="n"/>
      <c r="C108" s="2" t="n"/>
      <c r="E108" s="127" t="n"/>
      <c r="F108" s="127" t="n"/>
      <c r="G108" s="127" t="n"/>
      <c r="H108" s="127" t="n"/>
      <c r="I108" s="128" t="n"/>
      <c r="J108" s="128" t="n"/>
      <c r="K108" s="140" t="n"/>
      <c r="L108" s="127" t="n"/>
      <c r="M108" s="129">
        <f>IF($E108="","",SUMIFS(MOV_Qte,MOV_Code,$E108,MOV_Type,"Entrée"))</f>
        <v/>
      </c>
      <c r="N108" s="129">
        <f>IF($E108="","",SUMIFS(MOV_Qte,MOV_Code,$E108,MOV_Type,"Sortie"))</f>
        <v/>
      </c>
      <c r="O108" s="129">
        <f>IF($E108="","",$I108+$M108-$N108)</f>
        <v/>
      </c>
      <c r="P108" s="135">
        <f>IF($E108="","",$O108*$K108)</f>
        <v/>
      </c>
      <c r="Q108" s="130">
        <f>IF($E108="","",IF($O108&lt;=0,"Rupture",IF($O108&lt;=$J108,"Stock faible","En stock")))</f>
        <v/>
      </c>
      <c r="S108">
        <f>IF(OR($E108="",$Q108="En stock"),"",$O108/MAX($J108,1)+ROW()/100000)</f>
        <v/>
      </c>
    </row>
    <row r="109" ht="21" customHeight="1">
      <c r="A109" s="1" t="n"/>
      <c r="B109" s="1" t="n"/>
      <c r="C109" s="2" t="n"/>
      <c r="E109" s="127" t="n"/>
      <c r="F109" s="127" t="n"/>
      <c r="G109" s="127" t="n"/>
      <c r="H109" s="127" t="n"/>
      <c r="I109" s="128" t="n"/>
      <c r="J109" s="128" t="n"/>
      <c r="K109" s="140" t="n"/>
      <c r="L109" s="127" t="n"/>
      <c r="M109" s="129">
        <f>IF($E109="","",SUMIFS(MOV_Qte,MOV_Code,$E109,MOV_Type,"Entrée"))</f>
        <v/>
      </c>
      <c r="N109" s="129">
        <f>IF($E109="","",SUMIFS(MOV_Qte,MOV_Code,$E109,MOV_Type,"Sortie"))</f>
        <v/>
      </c>
      <c r="O109" s="129">
        <f>IF($E109="","",$I109+$M109-$N109)</f>
        <v/>
      </c>
      <c r="P109" s="135">
        <f>IF($E109="","",$O109*$K109)</f>
        <v/>
      </c>
      <c r="Q109" s="130">
        <f>IF($E109="","",IF($O109&lt;=0,"Rupture",IF($O109&lt;=$J109,"Stock faible","En stock")))</f>
        <v/>
      </c>
      <c r="S109">
        <f>IF(OR($E109="",$Q109="En stock"),"",$O109/MAX($J109,1)+ROW()/100000)</f>
        <v/>
      </c>
    </row>
    <row r="110" ht="21" customHeight="1">
      <c r="A110" s="1" t="n"/>
      <c r="B110" s="1" t="n"/>
      <c r="C110" s="2" t="n"/>
      <c r="E110" s="127" t="n"/>
      <c r="F110" s="127" t="n"/>
      <c r="G110" s="127" t="n"/>
      <c r="H110" s="127" t="n"/>
      <c r="I110" s="128" t="n"/>
      <c r="J110" s="128" t="n"/>
      <c r="K110" s="140" t="n"/>
      <c r="L110" s="127" t="n"/>
      <c r="M110" s="129">
        <f>IF($E110="","",SUMIFS(MOV_Qte,MOV_Code,$E110,MOV_Type,"Entrée"))</f>
        <v/>
      </c>
      <c r="N110" s="129">
        <f>IF($E110="","",SUMIFS(MOV_Qte,MOV_Code,$E110,MOV_Type,"Sortie"))</f>
        <v/>
      </c>
      <c r="O110" s="129">
        <f>IF($E110="","",$I110+$M110-$N110)</f>
        <v/>
      </c>
      <c r="P110" s="135">
        <f>IF($E110="","",$O110*$K110)</f>
        <v/>
      </c>
      <c r="Q110" s="130">
        <f>IF($E110="","",IF($O110&lt;=0,"Rupture",IF($O110&lt;=$J110,"Stock faible","En stock")))</f>
        <v/>
      </c>
      <c r="S110">
        <f>IF(OR($E110="",$Q110="En stock"),"",$O110/MAX($J110,1)+ROW()/100000)</f>
        <v/>
      </c>
    </row>
    <row r="111" ht="21" customHeight="1">
      <c r="A111" s="1" t="n"/>
      <c r="B111" s="1" t="n"/>
      <c r="C111" s="2" t="n"/>
      <c r="E111" s="127" t="n"/>
      <c r="F111" s="127" t="n"/>
      <c r="G111" s="127" t="n"/>
      <c r="H111" s="127" t="n"/>
      <c r="I111" s="128" t="n"/>
      <c r="J111" s="128" t="n"/>
      <c r="K111" s="140" t="n"/>
      <c r="L111" s="127" t="n"/>
      <c r="M111" s="129">
        <f>IF($E111="","",SUMIFS(MOV_Qte,MOV_Code,$E111,MOV_Type,"Entrée"))</f>
        <v/>
      </c>
      <c r="N111" s="129">
        <f>IF($E111="","",SUMIFS(MOV_Qte,MOV_Code,$E111,MOV_Type,"Sortie"))</f>
        <v/>
      </c>
      <c r="O111" s="129">
        <f>IF($E111="","",$I111+$M111-$N111)</f>
        <v/>
      </c>
      <c r="P111" s="135">
        <f>IF($E111="","",$O111*$K111)</f>
        <v/>
      </c>
      <c r="Q111" s="130">
        <f>IF($E111="","",IF($O111&lt;=0,"Rupture",IF($O111&lt;=$J111,"Stock faible","En stock")))</f>
        <v/>
      </c>
      <c r="S111">
        <f>IF(OR($E111="",$Q111="En stock"),"",$O111/MAX($J111,1)+ROW()/100000)</f>
        <v/>
      </c>
    </row>
    <row r="112" ht="21" customHeight="1">
      <c r="A112" s="1" t="n"/>
      <c r="B112" s="1" t="n"/>
      <c r="C112" s="2" t="n"/>
      <c r="E112" s="127" t="n"/>
      <c r="F112" s="127" t="n"/>
      <c r="G112" s="127" t="n"/>
      <c r="H112" s="127" t="n"/>
      <c r="I112" s="128" t="n"/>
      <c r="J112" s="128" t="n"/>
      <c r="K112" s="140" t="n"/>
      <c r="L112" s="127" t="n"/>
      <c r="M112" s="129">
        <f>IF($E112="","",SUMIFS(MOV_Qte,MOV_Code,$E112,MOV_Type,"Entrée"))</f>
        <v/>
      </c>
      <c r="N112" s="129">
        <f>IF($E112="","",SUMIFS(MOV_Qte,MOV_Code,$E112,MOV_Type,"Sortie"))</f>
        <v/>
      </c>
      <c r="O112" s="129">
        <f>IF($E112="","",$I112+$M112-$N112)</f>
        <v/>
      </c>
      <c r="P112" s="135">
        <f>IF($E112="","",$O112*$K112)</f>
        <v/>
      </c>
      <c r="Q112" s="130">
        <f>IF($E112="","",IF($O112&lt;=0,"Rupture",IF($O112&lt;=$J112,"Stock faible","En stock")))</f>
        <v/>
      </c>
      <c r="S112">
        <f>IF(OR($E112="",$Q112="En stock"),"",$O112/MAX($J112,1)+ROW()/100000)</f>
        <v/>
      </c>
    </row>
    <row r="113" ht="21" customHeight="1">
      <c r="A113" s="1" t="n"/>
      <c r="B113" s="1" t="n"/>
      <c r="C113" s="2" t="n"/>
      <c r="E113" s="127" t="n"/>
      <c r="F113" s="127" t="n"/>
      <c r="G113" s="127" t="n"/>
      <c r="H113" s="127" t="n"/>
      <c r="I113" s="128" t="n"/>
      <c r="J113" s="128" t="n"/>
      <c r="K113" s="140" t="n"/>
      <c r="L113" s="127" t="n"/>
      <c r="M113" s="129">
        <f>IF($E113="","",SUMIFS(MOV_Qte,MOV_Code,$E113,MOV_Type,"Entrée"))</f>
        <v/>
      </c>
      <c r="N113" s="129">
        <f>IF($E113="","",SUMIFS(MOV_Qte,MOV_Code,$E113,MOV_Type,"Sortie"))</f>
        <v/>
      </c>
      <c r="O113" s="129">
        <f>IF($E113="","",$I113+$M113-$N113)</f>
        <v/>
      </c>
      <c r="P113" s="135">
        <f>IF($E113="","",$O113*$K113)</f>
        <v/>
      </c>
      <c r="Q113" s="130">
        <f>IF($E113="","",IF($O113&lt;=0,"Rupture",IF($O113&lt;=$J113,"Stock faible","En stock")))</f>
        <v/>
      </c>
      <c r="S113">
        <f>IF(OR($E113="",$Q113="En stock"),"",$O113/MAX($J113,1)+ROW()/100000)</f>
        <v/>
      </c>
    </row>
    <row r="114" ht="21" customHeight="1">
      <c r="A114" s="1" t="n"/>
      <c r="B114" s="1" t="n"/>
      <c r="C114" s="2" t="n"/>
      <c r="E114" s="127" t="n"/>
      <c r="F114" s="127" t="n"/>
      <c r="G114" s="127" t="n"/>
      <c r="H114" s="127" t="n"/>
      <c r="I114" s="128" t="n"/>
      <c r="J114" s="128" t="n"/>
      <c r="K114" s="140" t="n"/>
      <c r="L114" s="127" t="n"/>
      <c r="M114" s="129">
        <f>IF($E114="","",SUMIFS(MOV_Qte,MOV_Code,$E114,MOV_Type,"Entrée"))</f>
        <v/>
      </c>
      <c r="N114" s="129">
        <f>IF($E114="","",SUMIFS(MOV_Qte,MOV_Code,$E114,MOV_Type,"Sortie"))</f>
        <v/>
      </c>
      <c r="O114" s="129">
        <f>IF($E114="","",$I114+$M114-$N114)</f>
        <v/>
      </c>
      <c r="P114" s="135">
        <f>IF($E114="","",$O114*$K114)</f>
        <v/>
      </c>
      <c r="Q114" s="130">
        <f>IF($E114="","",IF($O114&lt;=0,"Rupture",IF($O114&lt;=$J114,"Stock faible","En stock")))</f>
        <v/>
      </c>
      <c r="S114">
        <f>IF(OR($E114="",$Q114="En stock"),"",$O114/MAX($J114,1)+ROW()/100000)</f>
        <v/>
      </c>
    </row>
    <row r="115" ht="21" customHeight="1">
      <c r="A115" s="1" t="n"/>
      <c r="B115" s="1" t="n"/>
      <c r="C115" s="2" t="n"/>
      <c r="E115" s="127" t="n"/>
      <c r="F115" s="127" t="n"/>
      <c r="G115" s="127" t="n"/>
      <c r="H115" s="127" t="n"/>
      <c r="I115" s="128" t="n"/>
      <c r="J115" s="128" t="n"/>
      <c r="K115" s="140" t="n"/>
      <c r="L115" s="127" t="n"/>
      <c r="M115" s="129">
        <f>IF($E115="","",SUMIFS(MOV_Qte,MOV_Code,$E115,MOV_Type,"Entrée"))</f>
        <v/>
      </c>
      <c r="N115" s="129">
        <f>IF($E115="","",SUMIFS(MOV_Qte,MOV_Code,$E115,MOV_Type,"Sortie"))</f>
        <v/>
      </c>
      <c r="O115" s="129">
        <f>IF($E115="","",$I115+$M115-$N115)</f>
        <v/>
      </c>
      <c r="P115" s="135">
        <f>IF($E115="","",$O115*$K115)</f>
        <v/>
      </c>
      <c r="Q115" s="130">
        <f>IF($E115="","",IF($O115&lt;=0,"Rupture",IF($O115&lt;=$J115,"Stock faible","En stock")))</f>
        <v/>
      </c>
      <c r="S115">
        <f>IF(OR($E115="",$Q115="En stock"),"",$O115/MAX($J115,1)+ROW()/100000)</f>
        <v/>
      </c>
    </row>
    <row r="116" ht="21" customHeight="1">
      <c r="A116" s="1" t="n"/>
      <c r="B116" s="1" t="n"/>
      <c r="C116" s="2" t="n"/>
      <c r="E116" s="127" t="n"/>
      <c r="F116" s="127" t="n"/>
      <c r="G116" s="127" t="n"/>
      <c r="H116" s="127" t="n"/>
      <c r="I116" s="128" t="n"/>
      <c r="J116" s="128" t="n"/>
      <c r="K116" s="140" t="n"/>
      <c r="L116" s="127" t="n"/>
      <c r="M116" s="129">
        <f>IF($E116="","",SUMIFS(MOV_Qte,MOV_Code,$E116,MOV_Type,"Entrée"))</f>
        <v/>
      </c>
      <c r="N116" s="129">
        <f>IF($E116="","",SUMIFS(MOV_Qte,MOV_Code,$E116,MOV_Type,"Sortie"))</f>
        <v/>
      </c>
      <c r="O116" s="129">
        <f>IF($E116="","",$I116+$M116-$N116)</f>
        <v/>
      </c>
      <c r="P116" s="135">
        <f>IF($E116="","",$O116*$K116)</f>
        <v/>
      </c>
      <c r="Q116" s="130">
        <f>IF($E116="","",IF($O116&lt;=0,"Rupture",IF($O116&lt;=$J116,"Stock faible","En stock")))</f>
        <v/>
      </c>
      <c r="S116">
        <f>IF(OR($E116="",$Q116="En stock"),"",$O116/MAX($J116,1)+ROW()/100000)</f>
        <v/>
      </c>
    </row>
    <row r="117" ht="21" customHeight="1">
      <c r="A117" s="1" t="n"/>
      <c r="B117" s="1" t="n"/>
      <c r="C117" s="2" t="n"/>
      <c r="E117" s="127" t="n"/>
      <c r="F117" s="127" t="n"/>
      <c r="G117" s="127" t="n"/>
      <c r="H117" s="127" t="n"/>
      <c r="I117" s="128" t="n"/>
      <c r="J117" s="128" t="n"/>
      <c r="K117" s="140" t="n"/>
      <c r="L117" s="127" t="n"/>
      <c r="M117" s="129">
        <f>IF($E117="","",SUMIFS(MOV_Qte,MOV_Code,$E117,MOV_Type,"Entrée"))</f>
        <v/>
      </c>
      <c r="N117" s="129">
        <f>IF($E117="","",SUMIFS(MOV_Qte,MOV_Code,$E117,MOV_Type,"Sortie"))</f>
        <v/>
      </c>
      <c r="O117" s="129">
        <f>IF($E117="","",$I117+$M117-$N117)</f>
        <v/>
      </c>
      <c r="P117" s="135">
        <f>IF($E117="","",$O117*$K117)</f>
        <v/>
      </c>
      <c r="Q117" s="130">
        <f>IF($E117="","",IF($O117&lt;=0,"Rupture",IF($O117&lt;=$J117,"Stock faible","En stock")))</f>
        <v/>
      </c>
      <c r="S117">
        <f>IF(OR($E117="",$Q117="En stock"),"",$O117/MAX($J117,1)+ROW()/100000)</f>
        <v/>
      </c>
    </row>
    <row r="118" ht="21" customHeight="1">
      <c r="A118" s="1" t="n"/>
      <c r="B118" s="1" t="n"/>
      <c r="C118" s="2" t="n"/>
      <c r="E118" s="127" t="n"/>
      <c r="F118" s="127" t="n"/>
      <c r="G118" s="127" t="n"/>
      <c r="H118" s="127" t="n"/>
      <c r="I118" s="128" t="n"/>
      <c r="J118" s="128" t="n"/>
      <c r="K118" s="140" t="n"/>
      <c r="L118" s="127" t="n"/>
      <c r="M118" s="129">
        <f>IF($E118="","",SUMIFS(MOV_Qte,MOV_Code,$E118,MOV_Type,"Entrée"))</f>
        <v/>
      </c>
      <c r="N118" s="129">
        <f>IF($E118="","",SUMIFS(MOV_Qte,MOV_Code,$E118,MOV_Type,"Sortie"))</f>
        <v/>
      </c>
      <c r="O118" s="129">
        <f>IF($E118="","",$I118+$M118-$N118)</f>
        <v/>
      </c>
      <c r="P118" s="135">
        <f>IF($E118="","",$O118*$K118)</f>
        <v/>
      </c>
      <c r="Q118" s="130">
        <f>IF($E118="","",IF($O118&lt;=0,"Rupture",IF($O118&lt;=$J118,"Stock faible","En stock")))</f>
        <v/>
      </c>
      <c r="S118">
        <f>IF(OR($E118="",$Q118="En stock"),"",$O118/MAX($J118,1)+ROW()/100000)</f>
        <v/>
      </c>
    </row>
    <row r="119" ht="21" customHeight="1">
      <c r="A119" s="1" t="n"/>
      <c r="B119" s="1" t="n"/>
      <c r="C119" s="2" t="n"/>
      <c r="E119" s="127" t="n"/>
      <c r="F119" s="127" t="n"/>
      <c r="G119" s="127" t="n"/>
      <c r="H119" s="127" t="n"/>
      <c r="I119" s="128" t="n"/>
      <c r="J119" s="128" t="n"/>
      <c r="K119" s="140" t="n"/>
      <c r="L119" s="127" t="n"/>
      <c r="M119" s="129">
        <f>IF($E119="","",SUMIFS(MOV_Qte,MOV_Code,$E119,MOV_Type,"Entrée"))</f>
        <v/>
      </c>
      <c r="N119" s="129">
        <f>IF($E119="","",SUMIFS(MOV_Qte,MOV_Code,$E119,MOV_Type,"Sortie"))</f>
        <v/>
      </c>
      <c r="O119" s="129">
        <f>IF($E119="","",$I119+$M119-$N119)</f>
        <v/>
      </c>
      <c r="P119" s="135">
        <f>IF($E119="","",$O119*$K119)</f>
        <v/>
      </c>
      <c r="Q119" s="130">
        <f>IF($E119="","",IF($O119&lt;=0,"Rupture",IF($O119&lt;=$J119,"Stock faible","En stock")))</f>
        <v/>
      </c>
      <c r="S119">
        <f>IF(OR($E119="",$Q119="En stock"),"",$O119/MAX($J119,1)+ROW()/100000)</f>
        <v/>
      </c>
    </row>
    <row r="120" ht="21" customHeight="1">
      <c r="A120" s="1" t="n"/>
      <c r="B120" s="1" t="n"/>
      <c r="C120" s="2" t="n"/>
      <c r="E120" s="127" t="n"/>
      <c r="F120" s="127" t="n"/>
      <c r="G120" s="127" t="n"/>
      <c r="H120" s="127" t="n"/>
      <c r="I120" s="128" t="n"/>
      <c r="J120" s="128" t="n"/>
      <c r="K120" s="140" t="n"/>
      <c r="L120" s="127" t="n"/>
      <c r="M120" s="129">
        <f>IF($E120="","",SUMIFS(MOV_Qte,MOV_Code,$E120,MOV_Type,"Entrée"))</f>
        <v/>
      </c>
      <c r="N120" s="129">
        <f>IF($E120="","",SUMIFS(MOV_Qte,MOV_Code,$E120,MOV_Type,"Sortie"))</f>
        <v/>
      </c>
      <c r="O120" s="129">
        <f>IF($E120="","",$I120+$M120-$N120)</f>
        <v/>
      </c>
      <c r="P120" s="135">
        <f>IF($E120="","",$O120*$K120)</f>
        <v/>
      </c>
      <c r="Q120" s="130">
        <f>IF($E120="","",IF($O120&lt;=0,"Rupture",IF($O120&lt;=$J120,"Stock faible","En stock")))</f>
        <v/>
      </c>
      <c r="S120">
        <f>IF(OR($E120="",$Q120="En stock"),"",$O120/MAX($J120,1)+ROW()/100000)</f>
        <v/>
      </c>
    </row>
    <row r="121" ht="21" customHeight="1">
      <c r="A121" s="1" t="n"/>
      <c r="B121" s="1" t="n"/>
      <c r="C121" s="2" t="n"/>
      <c r="E121" s="127" t="n"/>
      <c r="F121" s="127" t="n"/>
      <c r="G121" s="127" t="n"/>
      <c r="H121" s="127" t="n"/>
      <c r="I121" s="128" t="n"/>
      <c r="J121" s="128" t="n"/>
      <c r="K121" s="140" t="n"/>
      <c r="L121" s="127" t="n"/>
      <c r="M121" s="129">
        <f>IF($E121="","",SUMIFS(MOV_Qte,MOV_Code,$E121,MOV_Type,"Entrée"))</f>
        <v/>
      </c>
      <c r="N121" s="129">
        <f>IF($E121="","",SUMIFS(MOV_Qte,MOV_Code,$E121,MOV_Type,"Sortie"))</f>
        <v/>
      </c>
      <c r="O121" s="129">
        <f>IF($E121="","",$I121+$M121-$N121)</f>
        <v/>
      </c>
      <c r="P121" s="135">
        <f>IF($E121="","",$O121*$K121)</f>
        <v/>
      </c>
      <c r="Q121" s="130">
        <f>IF($E121="","",IF($O121&lt;=0,"Rupture",IF($O121&lt;=$J121,"Stock faible","En stock")))</f>
        <v/>
      </c>
      <c r="S121">
        <f>IF(OR($E121="",$Q121="En stock"),"",$O121/MAX($J121,1)+ROW()/100000)</f>
        <v/>
      </c>
    </row>
    <row r="122" ht="21" customHeight="1">
      <c r="A122" s="1" t="n"/>
      <c r="B122" s="1" t="n"/>
      <c r="C122" s="2" t="n"/>
      <c r="E122" s="127" t="n"/>
      <c r="F122" s="127" t="n"/>
      <c r="G122" s="127" t="n"/>
      <c r="H122" s="127" t="n"/>
      <c r="I122" s="128" t="n"/>
      <c r="J122" s="128" t="n"/>
      <c r="K122" s="140" t="n"/>
      <c r="L122" s="127" t="n"/>
      <c r="M122" s="129">
        <f>IF($E122="","",SUMIFS(MOV_Qte,MOV_Code,$E122,MOV_Type,"Entrée"))</f>
        <v/>
      </c>
      <c r="N122" s="129">
        <f>IF($E122="","",SUMIFS(MOV_Qte,MOV_Code,$E122,MOV_Type,"Sortie"))</f>
        <v/>
      </c>
      <c r="O122" s="129">
        <f>IF($E122="","",$I122+$M122-$N122)</f>
        <v/>
      </c>
      <c r="P122" s="135">
        <f>IF($E122="","",$O122*$K122)</f>
        <v/>
      </c>
      <c r="Q122" s="130">
        <f>IF($E122="","",IF($O122&lt;=0,"Rupture",IF($O122&lt;=$J122,"Stock faible","En stock")))</f>
        <v/>
      </c>
      <c r="S122">
        <f>IF(OR($E122="",$Q122="En stock"),"",$O122/MAX($J122,1)+ROW()/100000)</f>
        <v/>
      </c>
    </row>
    <row r="123" ht="21" customHeight="1">
      <c r="A123" s="1" t="n"/>
      <c r="B123" s="1" t="n"/>
      <c r="C123" s="2" t="n"/>
      <c r="E123" s="127" t="n"/>
      <c r="F123" s="127" t="n"/>
      <c r="G123" s="127" t="n"/>
      <c r="H123" s="127" t="n"/>
      <c r="I123" s="128" t="n"/>
      <c r="J123" s="128" t="n"/>
      <c r="K123" s="140" t="n"/>
      <c r="L123" s="127" t="n"/>
      <c r="M123" s="129">
        <f>IF($E123="","",SUMIFS(MOV_Qte,MOV_Code,$E123,MOV_Type,"Entrée"))</f>
        <v/>
      </c>
      <c r="N123" s="129">
        <f>IF($E123="","",SUMIFS(MOV_Qte,MOV_Code,$E123,MOV_Type,"Sortie"))</f>
        <v/>
      </c>
      <c r="O123" s="129">
        <f>IF($E123="","",$I123+$M123-$N123)</f>
        <v/>
      </c>
      <c r="P123" s="135">
        <f>IF($E123="","",$O123*$K123)</f>
        <v/>
      </c>
      <c r="Q123" s="130">
        <f>IF($E123="","",IF($O123&lt;=0,"Rupture",IF($O123&lt;=$J123,"Stock faible","En stock")))</f>
        <v/>
      </c>
      <c r="S123">
        <f>IF(OR($E123="",$Q123="En stock"),"",$O123/MAX($J123,1)+ROW()/100000)</f>
        <v/>
      </c>
    </row>
    <row r="124" ht="21" customHeight="1">
      <c r="A124" s="1" t="n"/>
      <c r="B124" s="1" t="n"/>
      <c r="C124" s="2" t="n"/>
      <c r="E124" s="127" t="n"/>
      <c r="F124" s="127" t="n"/>
      <c r="G124" s="127" t="n"/>
      <c r="H124" s="127" t="n"/>
      <c r="I124" s="128" t="n"/>
      <c r="J124" s="128" t="n"/>
      <c r="K124" s="140" t="n"/>
      <c r="L124" s="127" t="n"/>
      <c r="M124" s="129">
        <f>IF($E124="","",SUMIFS(MOV_Qte,MOV_Code,$E124,MOV_Type,"Entrée"))</f>
        <v/>
      </c>
      <c r="N124" s="129">
        <f>IF($E124="","",SUMIFS(MOV_Qte,MOV_Code,$E124,MOV_Type,"Sortie"))</f>
        <v/>
      </c>
      <c r="O124" s="129">
        <f>IF($E124="","",$I124+$M124-$N124)</f>
        <v/>
      </c>
      <c r="P124" s="135">
        <f>IF($E124="","",$O124*$K124)</f>
        <v/>
      </c>
      <c r="Q124" s="130">
        <f>IF($E124="","",IF($O124&lt;=0,"Rupture",IF($O124&lt;=$J124,"Stock faible","En stock")))</f>
        <v/>
      </c>
      <c r="S124">
        <f>IF(OR($E124="",$Q124="En stock"),"",$O124/MAX($J124,1)+ROW()/100000)</f>
        <v/>
      </c>
    </row>
    <row r="125" ht="21" customHeight="1">
      <c r="A125" s="1" t="n"/>
      <c r="B125" s="1" t="n"/>
      <c r="C125" s="2" t="n"/>
      <c r="E125" s="127" t="n"/>
      <c r="F125" s="127" t="n"/>
      <c r="G125" s="127" t="n"/>
      <c r="H125" s="127" t="n"/>
      <c r="I125" s="128" t="n"/>
      <c r="J125" s="128" t="n"/>
      <c r="K125" s="140" t="n"/>
      <c r="L125" s="127" t="n"/>
      <c r="M125" s="129">
        <f>IF($E125="","",SUMIFS(MOV_Qte,MOV_Code,$E125,MOV_Type,"Entrée"))</f>
        <v/>
      </c>
      <c r="N125" s="129">
        <f>IF($E125="","",SUMIFS(MOV_Qte,MOV_Code,$E125,MOV_Type,"Sortie"))</f>
        <v/>
      </c>
      <c r="O125" s="129">
        <f>IF($E125="","",$I125+$M125-$N125)</f>
        <v/>
      </c>
      <c r="P125" s="135">
        <f>IF($E125="","",$O125*$K125)</f>
        <v/>
      </c>
      <c r="Q125" s="130">
        <f>IF($E125="","",IF($O125&lt;=0,"Rupture",IF($O125&lt;=$J125,"Stock faible","En stock")))</f>
        <v/>
      </c>
      <c r="S125">
        <f>IF(OR($E125="",$Q125="En stock"),"",$O125/MAX($J125,1)+ROW()/100000)</f>
        <v/>
      </c>
    </row>
    <row r="126" ht="21" customHeight="1">
      <c r="A126" s="1" t="n"/>
      <c r="B126" s="1" t="n"/>
      <c r="C126" s="2" t="n"/>
      <c r="E126" s="127" t="n"/>
      <c r="F126" s="127" t="n"/>
      <c r="G126" s="127" t="n"/>
      <c r="H126" s="127" t="n"/>
      <c r="I126" s="128" t="n"/>
      <c r="J126" s="128" t="n"/>
      <c r="K126" s="140" t="n"/>
      <c r="L126" s="127" t="n"/>
      <c r="M126" s="129">
        <f>IF($E126="","",SUMIFS(MOV_Qte,MOV_Code,$E126,MOV_Type,"Entrée"))</f>
        <v/>
      </c>
      <c r="N126" s="129">
        <f>IF($E126="","",SUMIFS(MOV_Qte,MOV_Code,$E126,MOV_Type,"Sortie"))</f>
        <v/>
      </c>
      <c r="O126" s="129">
        <f>IF($E126="","",$I126+$M126-$N126)</f>
        <v/>
      </c>
      <c r="P126" s="135">
        <f>IF($E126="","",$O126*$K126)</f>
        <v/>
      </c>
      <c r="Q126" s="130">
        <f>IF($E126="","",IF($O126&lt;=0,"Rupture",IF($O126&lt;=$J126,"Stock faible","En stock")))</f>
        <v/>
      </c>
      <c r="S126">
        <f>IF(OR($E126="",$Q126="En stock"),"",$O126/MAX($J126,1)+ROW()/100000)</f>
        <v/>
      </c>
    </row>
    <row r="127" ht="21" customHeight="1">
      <c r="A127" s="1" t="n"/>
      <c r="B127" s="1" t="n"/>
      <c r="C127" s="2" t="n"/>
      <c r="E127" s="127" t="n"/>
      <c r="F127" s="127" t="n"/>
      <c r="G127" s="127" t="n"/>
      <c r="H127" s="127" t="n"/>
      <c r="I127" s="128" t="n"/>
      <c r="J127" s="128" t="n"/>
      <c r="K127" s="140" t="n"/>
      <c r="L127" s="127" t="n"/>
      <c r="M127" s="129">
        <f>IF($E127="","",SUMIFS(MOV_Qte,MOV_Code,$E127,MOV_Type,"Entrée"))</f>
        <v/>
      </c>
      <c r="N127" s="129">
        <f>IF($E127="","",SUMIFS(MOV_Qte,MOV_Code,$E127,MOV_Type,"Sortie"))</f>
        <v/>
      </c>
      <c r="O127" s="129">
        <f>IF($E127="","",$I127+$M127-$N127)</f>
        <v/>
      </c>
      <c r="P127" s="135">
        <f>IF($E127="","",$O127*$K127)</f>
        <v/>
      </c>
      <c r="Q127" s="130">
        <f>IF($E127="","",IF($O127&lt;=0,"Rupture",IF($O127&lt;=$J127,"Stock faible","En stock")))</f>
        <v/>
      </c>
      <c r="S127">
        <f>IF(OR($E127="",$Q127="En stock"),"",$O127/MAX($J127,1)+ROW()/100000)</f>
        <v/>
      </c>
    </row>
    <row r="128" ht="21" customHeight="1">
      <c r="A128" s="1" t="n"/>
      <c r="B128" s="1" t="n"/>
      <c r="C128" s="2" t="n"/>
      <c r="E128" s="127" t="n"/>
      <c r="F128" s="127" t="n"/>
      <c r="G128" s="127" t="n"/>
      <c r="H128" s="127" t="n"/>
      <c r="I128" s="128" t="n"/>
      <c r="J128" s="128" t="n"/>
      <c r="K128" s="140" t="n"/>
      <c r="L128" s="127" t="n"/>
      <c r="M128" s="129">
        <f>IF($E128="","",SUMIFS(MOV_Qte,MOV_Code,$E128,MOV_Type,"Entrée"))</f>
        <v/>
      </c>
      <c r="N128" s="129">
        <f>IF($E128="","",SUMIFS(MOV_Qte,MOV_Code,$E128,MOV_Type,"Sortie"))</f>
        <v/>
      </c>
      <c r="O128" s="129">
        <f>IF($E128="","",$I128+$M128-$N128)</f>
        <v/>
      </c>
      <c r="P128" s="135">
        <f>IF($E128="","",$O128*$K128)</f>
        <v/>
      </c>
      <c r="Q128" s="130">
        <f>IF($E128="","",IF($O128&lt;=0,"Rupture",IF($O128&lt;=$J128,"Stock faible","En stock")))</f>
        <v/>
      </c>
      <c r="S128">
        <f>IF(OR($E128="",$Q128="En stock"),"",$O128/MAX($J128,1)+ROW()/100000)</f>
        <v/>
      </c>
    </row>
    <row r="129" ht="21" customHeight="1">
      <c r="A129" s="1" t="n"/>
      <c r="B129" s="1" t="n"/>
      <c r="C129" s="2" t="n"/>
      <c r="E129" s="127" t="n"/>
      <c r="F129" s="127" t="n"/>
      <c r="G129" s="127" t="n"/>
      <c r="H129" s="127" t="n"/>
      <c r="I129" s="128" t="n"/>
      <c r="J129" s="128" t="n"/>
      <c r="K129" s="140" t="n"/>
      <c r="L129" s="127" t="n"/>
      <c r="M129" s="129">
        <f>IF($E129="","",SUMIFS(MOV_Qte,MOV_Code,$E129,MOV_Type,"Entrée"))</f>
        <v/>
      </c>
      <c r="N129" s="129">
        <f>IF($E129="","",SUMIFS(MOV_Qte,MOV_Code,$E129,MOV_Type,"Sortie"))</f>
        <v/>
      </c>
      <c r="O129" s="129">
        <f>IF($E129="","",$I129+$M129-$N129)</f>
        <v/>
      </c>
      <c r="P129" s="135">
        <f>IF($E129="","",$O129*$K129)</f>
        <v/>
      </c>
      <c r="Q129" s="130">
        <f>IF($E129="","",IF($O129&lt;=0,"Rupture",IF($O129&lt;=$J129,"Stock faible","En stock")))</f>
        <v/>
      </c>
      <c r="S129">
        <f>IF(OR($E129="",$Q129="En stock"),"",$O129/MAX($J129,1)+ROW()/100000)</f>
        <v/>
      </c>
    </row>
    <row r="130" ht="21" customHeight="1">
      <c r="A130" s="1" t="n"/>
      <c r="B130" s="1" t="n"/>
      <c r="C130" s="2" t="n"/>
      <c r="E130" s="127" t="n"/>
      <c r="F130" s="127" t="n"/>
      <c r="G130" s="127" t="n"/>
      <c r="H130" s="127" t="n"/>
      <c r="I130" s="128" t="n"/>
      <c r="J130" s="128" t="n"/>
      <c r="K130" s="140" t="n"/>
      <c r="L130" s="127" t="n"/>
      <c r="M130" s="129">
        <f>IF($E130="","",SUMIFS(MOV_Qte,MOV_Code,$E130,MOV_Type,"Entrée"))</f>
        <v/>
      </c>
      <c r="N130" s="129">
        <f>IF($E130="","",SUMIFS(MOV_Qte,MOV_Code,$E130,MOV_Type,"Sortie"))</f>
        <v/>
      </c>
      <c r="O130" s="129">
        <f>IF($E130="","",$I130+$M130-$N130)</f>
        <v/>
      </c>
      <c r="P130" s="135">
        <f>IF($E130="","",$O130*$K130)</f>
        <v/>
      </c>
      <c r="Q130" s="130">
        <f>IF($E130="","",IF($O130&lt;=0,"Rupture",IF($O130&lt;=$J130,"Stock faible","En stock")))</f>
        <v/>
      </c>
      <c r="S130">
        <f>IF(OR($E130="",$Q130="En stock"),"",$O130/MAX($J130,1)+ROW()/100000)</f>
        <v/>
      </c>
    </row>
    <row r="131" ht="21" customHeight="1">
      <c r="A131" s="1" t="n"/>
      <c r="B131" s="1" t="n"/>
      <c r="C131" s="2" t="n"/>
      <c r="E131" s="127" t="n"/>
      <c r="F131" s="127" t="n"/>
      <c r="G131" s="127" t="n"/>
      <c r="H131" s="127" t="n"/>
      <c r="I131" s="128" t="n"/>
      <c r="J131" s="128" t="n"/>
      <c r="K131" s="140" t="n"/>
      <c r="L131" s="127" t="n"/>
      <c r="M131" s="129">
        <f>IF($E131="","",SUMIFS(MOV_Qte,MOV_Code,$E131,MOV_Type,"Entrée"))</f>
        <v/>
      </c>
      <c r="N131" s="129">
        <f>IF($E131="","",SUMIFS(MOV_Qte,MOV_Code,$E131,MOV_Type,"Sortie"))</f>
        <v/>
      </c>
      <c r="O131" s="129">
        <f>IF($E131="","",$I131+$M131-$N131)</f>
        <v/>
      </c>
      <c r="P131" s="135">
        <f>IF($E131="","",$O131*$K131)</f>
        <v/>
      </c>
      <c r="Q131" s="130">
        <f>IF($E131="","",IF($O131&lt;=0,"Rupture",IF($O131&lt;=$J131,"Stock faible","En stock")))</f>
        <v/>
      </c>
      <c r="S131">
        <f>IF(OR($E131="",$Q131="En stock"),"",$O131/MAX($J131,1)+ROW()/100000)</f>
        <v/>
      </c>
    </row>
    <row r="132" ht="21" customHeight="1">
      <c r="A132" s="1" t="n"/>
      <c r="B132" s="1" t="n"/>
      <c r="C132" s="2" t="n"/>
      <c r="E132" s="127" t="n"/>
      <c r="F132" s="127" t="n"/>
      <c r="G132" s="127" t="n"/>
      <c r="H132" s="127" t="n"/>
      <c r="I132" s="128" t="n"/>
      <c r="J132" s="128" t="n"/>
      <c r="K132" s="140" t="n"/>
      <c r="L132" s="127" t="n"/>
      <c r="M132" s="129">
        <f>IF($E132="","",SUMIFS(MOV_Qte,MOV_Code,$E132,MOV_Type,"Entrée"))</f>
        <v/>
      </c>
      <c r="N132" s="129">
        <f>IF($E132="","",SUMIFS(MOV_Qte,MOV_Code,$E132,MOV_Type,"Sortie"))</f>
        <v/>
      </c>
      <c r="O132" s="129">
        <f>IF($E132="","",$I132+$M132-$N132)</f>
        <v/>
      </c>
      <c r="P132" s="135">
        <f>IF($E132="","",$O132*$K132)</f>
        <v/>
      </c>
      <c r="Q132" s="130">
        <f>IF($E132="","",IF($O132&lt;=0,"Rupture",IF($O132&lt;=$J132,"Stock faible","En stock")))</f>
        <v/>
      </c>
      <c r="S132">
        <f>IF(OR($E132="",$Q132="En stock"),"",$O132/MAX($J132,1)+ROW()/100000)</f>
        <v/>
      </c>
    </row>
    <row r="133" ht="21" customHeight="1">
      <c r="A133" s="1" t="n"/>
      <c r="B133" s="1" t="n"/>
      <c r="C133" s="2" t="n"/>
      <c r="E133" s="127" t="n"/>
      <c r="F133" s="127" t="n"/>
      <c r="G133" s="127" t="n"/>
      <c r="H133" s="127" t="n"/>
      <c r="I133" s="128" t="n"/>
      <c r="J133" s="128" t="n"/>
      <c r="K133" s="140" t="n"/>
      <c r="L133" s="127" t="n"/>
      <c r="M133" s="129">
        <f>IF($E133="","",SUMIFS(MOV_Qte,MOV_Code,$E133,MOV_Type,"Entrée"))</f>
        <v/>
      </c>
      <c r="N133" s="129">
        <f>IF($E133="","",SUMIFS(MOV_Qte,MOV_Code,$E133,MOV_Type,"Sortie"))</f>
        <v/>
      </c>
      <c r="O133" s="129">
        <f>IF($E133="","",$I133+$M133-$N133)</f>
        <v/>
      </c>
      <c r="P133" s="135">
        <f>IF($E133="","",$O133*$K133)</f>
        <v/>
      </c>
      <c r="Q133" s="130">
        <f>IF($E133="","",IF($O133&lt;=0,"Rupture",IF($O133&lt;=$J133,"Stock faible","En stock")))</f>
        <v/>
      </c>
      <c r="S133">
        <f>IF(OR($E133="",$Q133="En stock"),"",$O133/MAX($J133,1)+ROW()/100000)</f>
        <v/>
      </c>
    </row>
    <row r="134" ht="21" customHeight="1">
      <c r="A134" s="1" t="n"/>
      <c r="B134" s="1" t="n"/>
      <c r="C134" s="2" t="n"/>
      <c r="E134" s="127" t="n"/>
      <c r="F134" s="127" t="n"/>
      <c r="G134" s="127" t="n"/>
      <c r="H134" s="127" t="n"/>
      <c r="I134" s="128" t="n"/>
      <c r="J134" s="128" t="n"/>
      <c r="K134" s="140" t="n"/>
      <c r="L134" s="127" t="n"/>
      <c r="M134" s="129">
        <f>IF($E134="","",SUMIFS(MOV_Qte,MOV_Code,$E134,MOV_Type,"Entrée"))</f>
        <v/>
      </c>
      <c r="N134" s="129">
        <f>IF($E134="","",SUMIFS(MOV_Qte,MOV_Code,$E134,MOV_Type,"Sortie"))</f>
        <v/>
      </c>
      <c r="O134" s="129">
        <f>IF($E134="","",$I134+$M134-$N134)</f>
        <v/>
      </c>
      <c r="P134" s="135">
        <f>IF($E134="","",$O134*$K134)</f>
        <v/>
      </c>
      <c r="Q134" s="130">
        <f>IF($E134="","",IF($O134&lt;=0,"Rupture",IF($O134&lt;=$J134,"Stock faible","En stock")))</f>
        <v/>
      </c>
      <c r="S134">
        <f>IF(OR($E134="",$Q134="En stock"),"",$O134/MAX($J134,1)+ROW()/100000)</f>
        <v/>
      </c>
    </row>
    <row r="135" ht="21" customHeight="1">
      <c r="A135" s="1" t="n"/>
      <c r="B135" s="1" t="n"/>
      <c r="C135" s="2" t="n"/>
      <c r="E135" s="127" t="n"/>
      <c r="F135" s="127" t="n"/>
      <c r="G135" s="127" t="n"/>
      <c r="H135" s="127" t="n"/>
      <c r="I135" s="128" t="n"/>
      <c r="J135" s="128" t="n"/>
      <c r="K135" s="140" t="n"/>
      <c r="L135" s="127" t="n"/>
      <c r="M135" s="129">
        <f>IF($E135="","",SUMIFS(MOV_Qte,MOV_Code,$E135,MOV_Type,"Entrée"))</f>
        <v/>
      </c>
      <c r="N135" s="129">
        <f>IF($E135="","",SUMIFS(MOV_Qte,MOV_Code,$E135,MOV_Type,"Sortie"))</f>
        <v/>
      </c>
      <c r="O135" s="129">
        <f>IF($E135="","",$I135+$M135-$N135)</f>
        <v/>
      </c>
      <c r="P135" s="135">
        <f>IF($E135="","",$O135*$K135)</f>
        <v/>
      </c>
      <c r="Q135" s="130">
        <f>IF($E135="","",IF($O135&lt;=0,"Rupture",IF($O135&lt;=$J135,"Stock faible","En stock")))</f>
        <v/>
      </c>
      <c r="S135">
        <f>IF(OR($E135="",$Q135="En stock"),"",$O135/MAX($J135,1)+ROW()/100000)</f>
        <v/>
      </c>
    </row>
    <row r="136" ht="21" customHeight="1">
      <c r="A136" s="1" t="n"/>
      <c r="B136" s="1" t="n"/>
      <c r="C136" s="2" t="n"/>
      <c r="E136" s="127" t="n"/>
      <c r="F136" s="127" t="n"/>
      <c r="G136" s="127" t="n"/>
      <c r="H136" s="127" t="n"/>
      <c r="I136" s="128" t="n"/>
      <c r="J136" s="128" t="n"/>
      <c r="K136" s="140" t="n"/>
      <c r="L136" s="127" t="n"/>
      <c r="M136" s="129">
        <f>IF($E136="","",SUMIFS(MOV_Qte,MOV_Code,$E136,MOV_Type,"Entrée"))</f>
        <v/>
      </c>
      <c r="N136" s="129">
        <f>IF($E136="","",SUMIFS(MOV_Qte,MOV_Code,$E136,MOV_Type,"Sortie"))</f>
        <v/>
      </c>
      <c r="O136" s="129">
        <f>IF($E136="","",$I136+$M136-$N136)</f>
        <v/>
      </c>
      <c r="P136" s="135">
        <f>IF($E136="","",$O136*$K136)</f>
        <v/>
      </c>
      <c r="Q136" s="130">
        <f>IF($E136="","",IF($O136&lt;=0,"Rupture",IF($O136&lt;=$J136,"Stock faible","En stock")))</f>
        <v/>
      </c>
      <c r="S136">
        <f>IF(OR($E136="",$Q136="En stock"),"",$O136/MAX($J136,1)+ROW()/100000)</f>
        <v/>
      </c>
    </row>
    <row r="137" ht="21" customHeight="1">
      <c r="A137" s="1" t="n"/>
      <c r="B137" s="1" t="n"/>
      <c r="C137" s="2" t="n"/>
      <c r="E137" s="127" t="n"/>
      <c r="F137" s="127" t="n"/>
      <c r="G137" s="127" t="n"/>
      <c r="H137" s="127" t="n"/>
      <c r="I137" s="128" t="n"/>
      <c r="J137" s="128" t="n"/>
      <c r="K137" s="140" t="n"/>
      <c r="L137" s="127" t="n"/>
      <c r="M137" s="129">
        <f>IF($E137="","",SUMIFS(MOV_Qte,MOV_Code,$E137,MOV_Type,"Entrée"))</f>
        <v/>
      </c>
      <c r="N137" s="129">
        <f>IF($E137="","",SUMIFS(MOV_Qte,MOV_Code,$E137,MOV_Type,"Sortie"))</f>
        <v/>
      </c>
      <c r="O137" s="129">
        <f>IF($E137="","",$I137+$M137-$N137)</f>
        <v/>
      </c>
      <c r="P137" s="135">
        <f>IF($E137="","",$O137*$K137)</f>
        <v/>
      </c>
      <c r="Q137" s="130">
        <f>IF($E137="","",IF($O137&lt;=0,"Rupture",IF($O137&lt;=$J137,"Stock faible","En stock")))</f>
        <v/>
      </c>
      <c r="S137">
        <f>IF(OR($E137="",$Q137="En stock"),"",$O137/MAX($J137,1)+ROW()/100000)</f>
        <v/>
      </c>
    </row>
    <row r="138" ht="21" customHeight="1">
      <c r="A138" s="1" t="n"/>
      <c r="B138" s="1" t="n"/>
      <c r="C138" s="2" t="n"/>
      <c r="E138" s="127" t="n"/>
      <c r="F138" s="127" t="n"/>
      <c r="G138" s="127" t="n"/>
      <c r="H138" s="127" t="n"/>
      <c r="I138" s="128" t="n"/>
      <c r="J138" s="128" t="n"/>
      <c r="K138" s="140" t="n"/>
      <c r="L138" s="127" t="n"/>
      <c r="M138" s="129">
        <f>IF($E138="","",SUMIFS(MOV_Qte,MOV_Code,$E138,MOV_Type,"Entrée"))</f>
        <v/>
      </c>
      <c r="N138" s="129">
        <f>IF($E138="","",SUMIFS(MOV_Qte,MOV_Code,$E138,MOV_Type,"Sortie"))</f>
        <v/>
      </c>
      <c r="O138" s="129">
        <f>IF($E138="","",$I138+$M138-$N138)</f>
        <v/>
      </c>
      <c r="P138" s="135">
        <f>IF($E138="","",$O138*$K138)</f>
        <v/>
      </c>
      <c r="Q138" s="130">
        <f>IF($E138="","",IF($O138&lt;=0,"Rupture",IF($O138&lt;=$J138,"Stock faible","En stock")))</f>
        <v/>
      </c>
      <c r="S138">
        <f>IF(OR($E138="",$Q138="En stock"),"",$O138/MAX($J138,1)+ROW()/100000)</f>
        <v/>
      </c>
    </row>
    <row r="139" ht="21" customHeight="1">
      <c r="A139" s="1" t="n"/>
      <c r="B139" s="1" t="n"/>
      <c r="C139" s="2" t="n"/>
      <c r="E139" s="127" t="n"/>
      <c r="F139" s="127" t="n"/>
      <c r="G139" s="127" t="n"/>
      <c r="H139" s="127" t="n"/>
      <c r="I139" s="128" t="n"/>
      <c r="J139" s="128" t="n"/>
      <c r="K139" s="140" t="n"/>
      <c r="L139" s="127" t="n"/>
      <c r="M139" s="129">
        <f>IF($E139="","",SUMIFS(MOV_Qte,MOV_Code,$E139,MOV_Type,"Entrée"))</f>
        <v/>
      </c>
      <c r="N139" s="129">
        <f>IF($E139="","",SUMIFS(MOV_Qte,MOV_Code,$E139,MOV_Type,"Sortie"))</f>
        <v/>
      </c>
      <c r="O139" s="129">
        <f>IF($E139="","",$I139+$M139-$N139)</f>
        <v/>
      </c>
      <c r="P139" s="135">
        <f>IF($E139="","",$O139*$K139)</f>
        <v/>
      </c>
      <c r="Q139" s="130">
        <f>IF($E139="","",IF($O139&lt;=0,"Rupture",IF($O139&lt;=$J139,"Stock faible","En stock")))</f>
        <v/>
      </c>
      <c r="S139">
        <f>IF(OR($E139="",$Q139="En stock"),"",$O139/MAX($J139,1)+ROW()/100000)</f>
        <v/>
      </c>
    </row>
    <row r="140" ht="21" customHeight="1">
      <c r="A140" s="1" t="n"/>
      <c r="B140" s="1" t="n"/>
      <c r="C140" s="2" t="n"/>
      <c r="E140" s="127" t="n"/>
      <c r="F140" s="127" t="n"/>
      <c r="G140" s="127" t="n"/>
      <c r="H140" s="127" t="n"/>
      <c r="I140" s="128" t="n"/>
      <c r="J140" s="128" t="n"/>
      <c r="K140" s="140" t="n"/>
      <c r="L140" s="127" t="n"/>
      <c r="M140" s="129">
        <f>IF($E140="","",SUMIFS(MOV_Qte,MOV_Code,$E140,MOV_Type,"Entrée"))</f>
        <v/>
      </c>
      <c r="N140" s="129">
        <f>IF($E140="","",SUMIFS(MOV_Qte,MOV_Code,$E140,MOV_Type,"Sortie"))</f>
        <v/>
      </c>
      <c r="O140" s="129">
        <f>IF($E140="","",$I140+$M140-$N140)</f>
        <v/>
      </c>
      <c r="P140" s="135">
        <f>IF($E140="","",$O140*$K140)</f>
        <v/>
      </c>
      <c r="Q140" s="130">
        <f>IF($E140="","",IF($O140&lt;=0,"Rupture",IF($O140&lt;=$J140,"Stock faible","En stock")))</f>
        <v/>
      </c>
      <c r="S140">
        <f>IF(OR($E140="",$Q140="En stock"),"",$O140/MAX($J140,1)+ROW()/100000)</f>
        <v/>
      </c>
    </row>
    <row r="141" ht="21" customHeight="1">
      <c r="A141" s="1" t="n"/>
      <c r="B141" s="1" t="n"/>
      <c r="C141" s="2" t="n"/>
      <c r="E141" s="127" t="n"/>
      <c r="F141" s="127" t="n"/>
      <c r="G141" s="127" t="n"/>
      <c r="H141" s="127" t="n"/>
      <c r="I141" s="128" t="n"/>
      <c r="J141" s="128" t="n"/>
      <c r="K141" s="140" t="n"/>
      <c r="L141" s="127" t="n"/>
      <c r="M141" s="129">
        <f>IF($E141="","",SUMIFS(MOV_Qte,MOV_Code,$E141,MOV_Type,"Entrée"))</f>
        <v/>
      </c>
      <c r="N141" s="129">
        <f>IF($E141="","",SUMIFS(MOV_Qte,MOV_Code,$E141,MOV_Type,"Sortie"))</f>
        <v/>
      </c>
      <c r="O141" s="129">
        <f>IF($E141="","",$I141+$M141-$N141)</f>
        <v/>
      </c>
      <c r="P141" s="135">
        <f>IF($E141="","",$O141*$K141)</f>
        <v/>
      </c>
      <c r="Q141" s="130">
        <f>IF($E141="","",IF($O141&lt;=0,"Rupture",IF($O141&lt;=$J141,"Stock faible","En stock")))</f>
        <v/>
      </c>
      <c r="S141">
        <f>IF(OR($E141="",$Q141="En stock"),"",$O141/MAX($J141,1)+ROW()/100000)</f>
        <v/>
      </c>
    </row>
    <row r="142" ht="21" customHeight="1">
      <c r="A142" s="1" t="n"/>
      <c r="B142" s="1" t="n"/>
      <c r="C142" s="2" t="n"/>
      <c r="E142" s="127" t="n"/>
      <c r="F142" s="127" t="n"/>
      <c r="G142" s="127" t="n"/>
      <c r="H142" s="127" t="n"/>
      <c r="I142" s="128" t="n"/>
      <c r="J142" s="128" t="n"/>
      <c r="K142" s="140" t="n"/>
      <c r="L142" s="127" t="n"/>
      <c r="M142" s="129">
        <f>IF($E142="","",SUMIFS(MOV_Qte,MOV_Code,$E142,MOV_Type,"Entrée"))</f>
        <v/>
      </c>
      <c r="N142" s="129">
        <f>IF($E142="","",SUMIFS(MOV_Qte,MOV_Code,$E142,MOV_Type,"Sortie"))</f>
        <v/>
      </c>
      <c r="O142" s="129">
        <f>IF($E142="","",$I142+$M142-$N142)</f>
        <v/>
      </c>
      <c r="P142" s="135">
        <f>IF($E142="","",$O142*$K142)</f>
        <v/>
      </c>
      <c r="Q142" s="130">
        <f>IF($E142="","",IF($O142&lt;=0,"Rupture",IF($O142&lt;=$J142,"Stock faible","En stock")))</f>
        <v/>
      </c>
      <c r="S142">
        <f>IF(OR($E142="",$Q142="En stock"),"",$O142/MAX($J142,1)+ROW()/100000)</f>
        <v/>
      </c>
    </row>
    <row r="143" ht="21" customHeight="1">
      <c r="A143" s="1" t="n"/>
      <c r="B143" s="1" t="n"/>
      <c r="C143" s="2" t="n"/>
      <c r="E143" s="127" t="n"/>
      <c r="F143" s="127" t="n"/>
      <c r="G143" s="127" t="n"/>
      <c r="H143" s="127" t="n"/>
      <c r="I143" s="128" t="n"/>
      <c r="J143" s="128" t="n"/>
      <c r="K143" s="140" t="n"/>
      <c r="L143" s="127" t="n"/>
      <c r="M143" s="129">
        <f>IF($E143="","",SUMIFS(MOV_Qte,MOV_Code,$E143,MOV_Type,"Entrée"))</f>
        <v/>
      </c>
      <c r="N143" s="129">
        <f>IF($E143="","",SUMIFS(MOV_Qte,MOV_Code,$E143,MOV_Type,"Sortie"))</f>
        <v/>
      </c>
      <c r="O143" s="129">
        <f>IF($E143="","",$I143+$M143-$N143)</f>
        <v/>
      </c>
      <c r="P143" s="135">
        <f>IF($E143="","",$O143*$K143)</f>
        <v/>
      </c>
      <c r="Q143" s="130">
        <f>IF($E143="","",IF($O143&lt;=0,"Rupture",IF($O143&lt;=$J143,"Stock faible","En stock")))</f>
        <v/>
      </c>
      <c r="S143">
        <f>IF(OR($E143="",$Q143="En stock"),"",$O143/MAX($J143,1)+ROW()/100000)</f>
        <v/>
      </c>
    </row>
    <row r="144" ht="21" customHeight="1">
      <c r="A144" s="1" t="n"/>
      <c r="B144" s="1" t="n"/>
      <c r="C144" s="2" t="n"/>
      <c r="E144" s="127" t="n"/>
      <c r="F144" s="127" t="n"/>
      <c r="G144" s="127" t="n"/>
      <c r="H144" s="127" t="n"/>
      <c r="I144" s="128" t="n"/>
      <c r="J144" s="128" t="n"/>
      <c r="K144" s="140" t="n"/>
      <c r="L144" s="127" t="n"/>
      <c r="M144" s="129">
        <f>IF($E144="","",SUMIFS(MOV_Qte,MOV_Code,$E144,MOV_Type,"Entrée"))</f>
        <v/>
      </c>
      <c r="N144" s="129">
        <f>IF($E144="","",SUMIFS(MOV_Qte,MOV_Code,$E144,MOV_Type,"Sortie"))</f>
        <v/>
      </c>
      <c r="O144" s="129">
        <f>IF($E144="","",$I144+$M144-$N144)</f>
        <v/>
      </c>
      <c r="P144" s="135">
        <f>IF($E144="","",$O144*$K144)</f>
        <v/>
      </c>
      <c r="Q144" s="130">
        <f>IF($E144="","",IF($O144&lt;=0,"Rupture",IF($O144&lt;=$J144,"Stock faible","En stock")))</f>
        <v/>
      </c>
      <c r="S144">
        <f>IF(OR($E144="",$Q144="En stock"),"",$O144/MAX($J144,1)+ROW()/100000)</f>
        <v/>
      </c>
    </row>
    <row r="145" ht="21" customHeight="1">
      <c r="A145" s="1" t="n"/>
      <c r="B145" s="1" t="n"/>
      <c r="C145" s="2" t="n"/>
      <c r="E145" s="127" t="n"/>
      <c r="F145" s="127" t="n"/>
      <c r="G145" s="127" t="n"/>
      <c r="H145" s="127" t="n"/>
      <c r="I145" s="128" t="n"/>
      <c r="J145" s="128" t="n"/>
      <c r="K145" s="140" t="n"/>
      <c r="L145" s="127" t="n"/>
      <c r="M145" s="129">
        <f>IF($E145="","",SUMIFS(MOV_Qte,MOV_Code,$E145,MOV_Type,"Entrée"))</f>
        <v/>
      </c>
      <c r="N145" s="129">
        <f>IF($E145="","",SUMIFS(MOV_Qte,MOV_Code,$E145,MOV_Type,"Sortie"))</f>
        <v/>
      </c>
      <c r="O145" s="129">
        <f>IF($E145="","",$I145+$M145-$N145)</f>
        <v/>
      </c>
      <c r="P145" s="135">
        <f>IF($E145="","",$O145*$K145)</f>
        <v/>
      </c>
      <c r="Q145" s="130">
        <f>IF($E145="","",IF($O145&lt;=0,"Rupture",IF($O145&lt;=$J145,"Stock faible","En stock")))</f>
        <v/>
      </c>
      <c r="S145">
        <f>IF(OR($E145="",$Q145="En stock"),"",$O145/MAX($J145,1)+ROW()/100000)</f>
        <v/>
      </c>
    </row>
    <row r="146" ht="21" customHeight="1">
      <c r="A146" s="1" t="n"/>
      <c r="B146" s="1" t="n"/>
      <c r="C146" s="2" t="n"/>
      <c r="E146" s="127" t="n"/>
      <c r="F146" s="127" t="n"/>
      <c r="G146" s="127" t="n"/>
      <c r="H146" s="127" t="n"/>
      <c r="I146" s="128" t="n"/>
      <c r="J146" s="128" t="n"/>
      <c r="K146" s="140" t="n"/>
      <c r="L146" s="127" t="n"/>
      <c r="M146" s="129">
        <f>IF($E146="","",SUMIFS(MOV_Qte,MOV_Code,$E146,MOV_Type,"Entrée"))</f>
        <v/>
      </c>
      <c r="N146" s="129">
        <f>IF($E146="","",SUMIFS(MOV_Qte,MOV_Code,$E146,MOV_Type,"Sortie"))</f>
        <v/>
      </c>
      <c r="O146" s="129">
        <f>IF($E146="","",$I146+$M146-$N146)</f>
        <v/>
      </c>
      <c r="P146" s="135">
        <f>IF($E146="","",$O146*$K146)</f>
        <v/>
      </c>
      <c r="Q146" s="130">
        <f>IF($E146="","",IF($O146&lt;=0,"Rupture",IF($O146&lt;=$J146,"Stock faible","En stock")))</f>
        <v/>
      </c>
      <c r="S146">
        <f>IF(OR($E146="",$Q146="En stock"),"",$O146/MAX($J146,1)+ROW()/100000)</f>
        <v/>
      </c>
    </row>
    <row r="147" ht="21" customHeight="1">
      <c r="A147" s="1" t="n"/>
      <c r="B147" s="1" t="n"/>
      <c r="C147" s="2" t="n"/>
      <c r="E147" s="127" t="n"/>
      <c r="F147" s="127" t="n"/>
      <c r="G147" s="127" t="n"/>
      <c r="H147" s="127" t="n"/>
      <c r="I147" s="128" t="n"/>
      <c r="J147" s="128" t="n"/>
      <c r="K147" s="140" t="n"/>
      <c r="L147" s="127" t="n"/>
      <c r="M147" s="129">
        <f>IF($E147="","",SUMIFS(MOV_Qte,MOV_Code,$E147,MOV_Type,"Entrée"))</f>
        <v/>
      </c>
      <c r="N147" s="129">
        <f>IF($E147="","",SUMIFS(MOV_Qte,MOV_Code,$E147,MOV_Type,"Sortie"))</f>
        <v/>
      </c>
      <c r="O147" s="129">
        <f>IF($E147="","",$I147+$M147-$N147)</f>
        <v/>
      </c>
      <c r="P147" s="135">
        <f>IF($E147="","",$O147*$K147)</f>
        <v/>
      </c>
      <c r="Q147" s="130">
        <f>IF($E147="","",IF($O147&lt;=0,"Rupture",IF($O147&lt;=$J147,"Stock faible","En stock")))</f>
        <v/>
      </c>
      <c r="S147">
        <f>IF(OR($E147="",$Q147="En stock"),"",$O147/MAX($J147,1)+ROW()/100000)</f>
        <v/>
      </c>
    </row>
    <row r="148" ht="21" customHeight="1">
      <c r="A148" s="1" t="n"/>
      <c r="B148" s="1" t="n"/>
      <c r="C148" s="2" t="n"/>
      <c r="E148" s="127" t="n"/>
      <c r="F148" s="127" t="n"/>
      <c r="G148" s="127" t="n"/>
      <c r="H148" s="127" t="n"/>
      <c r="I148" s="128" t="n"/>
      <c r="J148" s="128" t="n"/>
      <c r="K148" s="140" t="n"/>
      <c r="L148" s="127" t="n"/>
      <c r="M148" s="129">
        <f>IF($E148="","",SUMIFS(MOV_Qte,MOV_Code,$E148,MOV_Type,"Entrée"))</f>
        <v/>
      </c>
      <c r="N148" s="129">
        <f>IF($E148="","",SUMIFS(MOV_Qte,MOV_Code,$E148,MOV_Type,"Sortie"))</f>
        <v/>
      </c>
      <c r="O148" s="129">
        <f>IF($E148="","",$I148+$M148-$N148)</f>
        <v/>
      </c>
      <c r="P148" s="135">
        <f>IF($E148="","",$O148*$K148)</f>
        <v/>
      </c>
      <c r="Q148" s="130">
        <f>IF($E148="","",IF($O148&lt;=0,"Rupture",IF($O148&lt;=$J148,"Stock faible","En stock")))</f>
        <v/>
      </c>
      <c r="S148">
        <f>IF(OR($E148="",$Q148="En stock"),"",$O148/MAX($J148,1)+ROW()/100000)</f>
        <v/>
      </c>
    </row>
    <row r="149" ht="21" customHeight="1">
      <c r="A149" s="1" t="n"/>
      <c r="B149" s="1" t="n"/>
      <c r="C149" s="2" t="n"/>
      <c r="E149" s="127" t="n"/>
      <c r="F149" s="127" t="n"/>
      <c r="G149" s="127" t="n"/>
      <c r="H149" s="127" t="n"/>
      <c r="I149" s="128" t="n"/>
      <c r="J149" s="128" t="n"/>
      <c r="K149" s="140" t="n"/>
      <c r="L149" s="127" t="n"/>
      <c r="M149" s="129">
        <f>IF($E149="","",SUMIFS(MOV_Qte,MOV_Code,$E149,MOV_Type,"Entrée"))</f>
        <v/>
      </c>
      <c r="N149" s="129">
        <f>IF($E149="","",SUMIFS(MOV_Qte,MOV_Code,$E149,MOV_Type,"Sortie"))</f>
        <v/>
      </c>
      <c r="O149" s="129">
        <f>IF($E149="","",$I149+$M149-$N149)</f>
        <v/>
      </c>
      <c r="P149" s="135">
        <f>IF($E149="","",$O149*$K149)</f>
        <v/>
      </c>
      <c r="Q149" s="130">
        <f>IF($E149="","",IF($O149&lt;=0,"Rupture",IF($O149&lt;=$J149,"Stock faible","En stock")))</f>
        <v/>
      </c>
      <c r="S149">
        <f>IF(OR($E149="",$Q149="En stock"),"",$O149/MAX($J149,1)+ROW()/100000)</f>
        <v/>
      </c>
    </row>
    <row r="150" ht="21" customHeight="1">
      <c r="A150" s="1" t="n"/>
      <c r="B150" s="1" t="n"/>
      <c r="C150" s="2" t="n"/>
      <c r="E150" s="127" t="n"/>
      <c r="F150" s="127" t="n"/>
      <c r="G150" s="127" t="n"/>
      <c r="H150" s="127" t="n"/>
      <c r="I150" s="128" t="n"/>
      <c r="J150" s="128" t="n"/>
      <c r="K150" s="140" t="n"/>
      <c r="L150" s="127" t="n"/>
      <c r="M150" s="129">
        <f>IF($E150="","",SUMIFS(MOV_Qte,MOV_Code,$E150,MOV_Type,"Entrée"))</f>
        <v/>
      </c>
      <c r="N150" s="129">
        <f>IF($E150="","",SUMIFS(MOV_Qte,MOV_Code,$E150,MOV_Type,"Sortie"))</f>
        <v/>
      </c>
      <c r="O150" s="129">
        <f>IF($E150="","",$I150+$M150-$N150)</f>
        <v/>
      </c>
      <c r="P150" s="135">
        <f>IF($E150="","",$O150*$K150)</f>
        <v/>
      </c>
      <c r="Q150" s="130">
        <f>IF($E150="","",IF($O150&lt;=0,"Rupture",IF($O150&lt;=$J150,"Stock faible","En stock")))</f>
        <v/>
      </c>
      <c r="S150">
        <f>IF(OR($E150="",$Q150="En stock"),"",$O150/MAX($J150,1)+ROW()/100000)</f>
        <v/>
      </c>
    </row>
    <row r="151" ht="21" customHeight="1">
      <c r="A151" s="1" t="n"/>
      <c r="B151" s="1" t="n"/>
      <c r="C151" s="2" t="n"/>
      <c r="E151" s="127" t="n"/>
      <c r="F151" s="127" t="n"/>
      <c r="G151" s="127" t="n"/>
      <c r="H151" s="127" t="n"/>
      <c r="I151" s="128" t="n"/>
      <c r="J151" s="128" t="n"/>
      <c r="K151" s="140" t="n"/>
      <c r="L151" s="127" t="n"/>
      <c r="M151" s="129">
        <f>IF($E151="","",SUMIFS(MOV_Qte,MOV_Code,$E151,MOV_Type,"Entrée"))</f>
        <v/>
      </c>
      <c r="N151" s="129">
        <f>IF($E151="","",SUMIFS(MOV_Qte,MOV_Code,$E151,MOV_Type,"Sortie"))</f>
        <v/>
      </c>
      <c r="O151" s="129">
        <f>IF($E151="","",$I151+$M151-$N151)</f>
        <v/>
      </c>
      <c r="P151" s="135">
        <f>IF($E151="","",$O151*$K151)</f>
        <v/>
      </c>
      <c r="Q151" s="130">
        <f>IF($E151="","",IF($O151&lt;=0,"Rupture",IF($O151&lt;=$J151,"Stock faible","En stock")))</f>
        <v/>
      </c>
      <c r="S151">
        <f>IF(OR($E151="",$Q151="En stock"),"",$O151/MAX($J151,1)+ROW()/100000)</f>
        <v/>
      </c>
    </row>
    <row r="152" ht="21" customHeight="1">
      <c r="A152" s="1" t="n"/>
      <c r="B152" s="1" t="n"/>
      <c r="C152" s="2" t="n"/>
      <c r="E152" s="127" t="n"/>
      <c r="F152" s="127" t="n"/>
      <c r="G152" s="127" t="n"/>
      <c r="H152" s="127" t="n"/>
      <c r="I152" s="128" t="n"/>
      <c r="J152" s="128" t="n"/>
      <c r="K152" s="140" t="n"/>
      <c r="L152" s="127" t="n"/>
      <c r="M152" s="129">
        <f>IF($E152="","",SUMIFS(MOV_Qte,MOV_Code,$E152,MOV_Type,"Entrée"))</f>
        <v/>
      </c>
      <c r="N152" s="129">
        <f>IF($E152="","",SUMIFS(MOV_Qte,MOV_Code,$E152,MOV_Type,"Sortie"))</f>
        <v/>
      </c>
      <c r="O152" s="129">
        <f>IF($E152="","",$I152+$M152-$N152)</f>
        <v/>
      </c>
      <c r="P152" s="135">
        <f>IF($E152="","",$O152*$K152)</f>
        <v/>
      </c>
      <c r="Q152" s="130">
        <f>IF($E152="","",IF($O152&lt;=0,"Rupture",IF($O152&lt;=$J152,"Stock faible","En stock")))</f>
        <v/>
      </c>
      <c r="S152">
        <f>IF(OR($E152="",$Q152="En stock"),"",$O152/MAX($J152,1)+ROW()/100000)</f>
        <v/>
      </c>
    </row>
    <row r="153" ht="21" customHeight="1">
      <c r="A153" s="1" t="n"/>
      <c r="B153" s="1" t="n"/>
      <c r="C153" s="2" t="n"/>
      <c r="E153" s="127" t="n"/>
      <c r="F153" s="127" t="n"/>
      <c r="G153" s="127" t="n"/>
      <c r="H153" s="127" t="n"/>
      <c r="I153" s="128" t="n"/>
      <c r="J153" s="128" t="n"/>
      <c r="K153" s="140" t="n"/>
      <c r="L153" s="127" t="n"/>
      <c r="M153" s="129">
        <f>IF($E153="","",SUMIFS(MOV_Qte,MOV_Code,$E153,MOV_Type,"Entrée"))</f>
        <v/>
      </c>
      <c r="N153" s="129">
        <f>IF($E153="","",SUMIFS(MOV_Qte,MOV_Code,$E153,MOV_Type,"Sortie"))</f>
        <v/>
      </c>
      <c r="O153" s="129">
        <f>IF($E153="","",$I153+$M153-$N153)</f>
        <v/>
      </c>
      <c r="P153" s="135">
        <f>IF($E153="","",$O153*$K153)</f>
        <v/>
      </c>
      <c r="Q153" s="130">
        <f>IF($E153="","",IF($O153&lt;=0,"Rupture",IF($O153&lt;=$J153,"Stock faible","En stock")))</f>
        <v/>
      </c>
      <c r="S153">
        <f>IF(OR($E153="",$Q153="En stock"),"",$O153/MAX($J153,1)+ROW()/100000)</f>
        <v/>
      </c>
    </row>
    <row r="154" ht="21" customHeight="1">
      <c r="A154" s="1" t="n"/>
      <c r="B154" s="1" t="n"/>
      <c r="C154" s="2" t="n"/>
      <c r="E154" s="127" t="n"/>
      <c r="F154" s="127" t="n"/>
      <c r="G154" s="127" t="n"/>
      <c r="H154" s="127" t="n"/>
      <c r="I154" s="128" t="n"/>
      <c r="J154" s="128" t="n"/>
      <c r="K154" s="140" t="n"/>
      <c r="L154" s="127" t="n"/>
      <c r="M154" s="129">
        <f>IF($E154="","",SUMIFS(MOV_Qte,MOV_Code,$E154,MOV_Type,"Entrée"))</f>
        <v/>
      </c>
      <c r="N154" s="129">
        <f>IF($E154="","",SUMIFS(MOV_Qte,MOV_Code,$E154,MOV_Type,"Sortie"))</f>
        <v/>
      </c>
      <c r="O154" s="129">
        <f>IF($E154="","",$I154+$M154-$N154)</f>
        <v/>
      </c>
      <c r="P154" s="135">
        <f>IF($E154="","",$O154*$K154)</f>
        <v/>
      </c>
      <c r="Q154" s="130">
        <f>IF($E154="","",IF($O154&lt;=0,"Rupture",IF($O154&lt;=$J154,"Stock faible","En stock")))</f>
        <v/>
      </c>
      <c r="S154">
        <f>IF(OR($E154="",$Q154="En stock"),"",$O154/MAX($J154,1)+ROW()/100000)</f>
        <v/>
      </c>
    </row>
    <row r="155" ht="21" customHeight="1">
      <c r="A155" s="1" t="n"/>
      <c r="B155" s="1" t="n"/>
      <c r="C155" s="2" t="n"/>
      <c r="E155" s="127" t="n"/>
      <c r="F155" s="127" t="n"/>
      <c r="G155" s="127" t="n"/>
      <c r="H155" s="127" t="n"/>
      <c r="I155" s="128" t="n"/>
      <c r="J155" s="128" t="n"/>
      <c r="K155" s="140" t="n"/>
      <c r="L155" s="127" t="n"/>
      <c r="M155" s="129">
        <f>IF($E155="","",SUMIFS(MOV_Qte,MOV_Code,$E155,MOV_Type,"Entrée"))</f>
        <v/>
      </c>
      <c r="N155" s="129">
        <f>IF($E155="","",SUMIFS(MOV_Qte,MOV_Code,$E155,MOV_Type,"Sortie"))</f>
        <v/>
      </c>
      <c r="O155" s="129">
        <f>IF($E155="","",$I155+$M155-$N155)</f>
        <v/>
      </c>
      <c r="P155" s="135">
        <f>IF($E155="","",$O155*$K155)</f>
        <v/>
      </c>
      <c r="Q155" s="130">
        <f>IF($E155="","",IF($O155&lt;=0,"Rupture",IF($O155&lt;=$J155,"Stock faible","En stock")))</f>
        <v/>
      </c>
      <c r="S155">
        <f>IF(OR($E155="",$Q155="En stock"),"",$O155/MAX($J155,1)+ROW()/100000)</f>
        <v/>
      </c>
    </row>
    <row r="156" ht="21" customHeight="1">
      <c r="A156" s="1" t="n"/>
      <c r="B156" s="1" t="n"/>
      <c r="C156" s="2" t="n"/>
      <c r="E156" s="127" t="n"/>
      <c r="F156" s="127" t="n"/>
      <c r="G156" s="127" t="n"/>
      <c r="H156" s="127" t="n"/>
      <c r="I156" s="128" t="n"/>
      <c r="J156" s="128" t="n"/>
      <c r="K156" s="140" t="n"/>
      <c r="L156" s="127" t="n"/>
      <c r="M156" s="129">
        <f>IF($E156="","",SUMIFS(MOV_Qte,MOV_Code,$E156,MOV_Type,"Entrée"))</f>
        <v/>
      </c>
      <c r="N156" s="129">
        <f>IF($E156="","",SUMIFS(MOV_Qte,MOV_Code,$E156,MOV_Type,"Sortie"))</f>
        <v/>
      </c>
      <c r="O156" s="129">
        <f>IF($E156="","",$I156+$M156-$N156)</f>
        <v/>
      </c>
      <c r="P156" s="135">
        <f>IF($E156="","",$O156*$K156)</f>
        <v/>
      </c>
      <c r="Q156" s="130">
        <f>IF($E156="","",IF($O156&lt;=0,"Rupture",IF($O156&lt;=$J156,"Stock faible","En stock")))</f>
        <v/>
      </c>
      <c r="S156">
        <f>IF(OR($E156="",$Q156="En stock"),"",$O156/MAX($J156,1)+ROW()/100000)</f>
        <v/>
      </c>
    </row>
    <row r="157" ht="21" customHeight="1">
      <c r="A157" s="1" t="n"/>
      <c r="B157" s="1" t="n"/>
      <c r="C157" s="2" t="n"/>
      <c r="E157" s="127" t="n"/>
      <c r="F157" s="127" t="n"/>
      <c r="G157" s="127" t="n"/>
      <c r="H157" s="127" t="n"/>
      <c r="I157" s="128" t="n"/>
      <c r="J157" s="128" t="n"/>
      <c r="K157" s="140" t="n"/>
      <c r="L157" s="127" t="n"/>
      <c r="M157" s="129">
        <f>IF($E157="","",SUMIFS(MOV_Qte,MOV_Code,$E157,MOV_Type,"Entrée"))</f>
        <v/>
      </c>
      <c r="N157" s="129">
        <f>IF($E157="","",SUMIFS(MOV_Qte,MOV_Code,$E157,MOV_Type,"Sortie"))</f>
        <v/>
      </c>
      <c r="O157" s="129">
        <f>IF($E157="","",$I157+$M157-$N157)</f>
        <v/>
      </c>
      <c r="P157" s="135">
        <f>IF($E157="","",$O157*$K157)</f>
        <v/>
      </c>
      <c r="Q157" s="130">
        <f>IF($E157="","",IF($O157&lt;=0,"Rupture",IF($O157&lt;=$J157,"Stock faible","En stock")))</f>
        <v/>
      </c>
      <c r="S157">
        <f>IF(OR($E157="",$Q157="En stock"),"",$O157/MAX($J157,1)+ROW()/100000)</f>
        <v/>
      </c>
    </row>
    <row r="158" ht="21" customHeight="1">
      <c r="A158" s="1" t="n"/>
      <c r="B158" s="1" t="n"/>
      <c r="C158" s="2" t="n"/>
      <c r="E158" s="127" t="n"/>
      <c r="F158" s="127" t="n"/>
      <c r="G158" s="127" t="n"/>
      <c r="H158" s="127" t="n"/>
      <c r="I158" s="128" t="n"/>
      <c r="J158" s="128" t="n"/>
      <c r="K158" s="140" t="n"/>
      <c r="L158" s="127" t="n"/>
      <c r="M158" s="129">
        <f>IF($E158="","",SUMIFS(MOV_Qte,MOV_Code,$E158,MOV_Type,"Entrée"))</f>
        <v/>
      </c>
      <c r="N158" s="129">
        <f>IF($E158="","",SUMIFS(MOV_Qte,MOV_Code,$E158,MOV_Type,"Sortie"))</f>
        <v/>
      </c>
      <c r="O158" s="129">
        <f>IF($E158="","",$I158+$M158-$N158)</f>
        <v/>
      </c>
      <c r="P158" s="135">
        <f>IF($E158="","",$O158*$K158)</f>
        <v/>
      </c>
      <c r="Q158" s="130">
        <f>IF($E158="","",IF($O158&lt;=0,"Rupture",IF($O158&lt;=$J158,"Stock faible","En stock")))</f>
        <v/>
      </c>
      <c r="S158">
        <f>IF(OR($E158="",$Q158="En stock"),"",$O158/MAX($J158,1)+ROW()/100000)</f>
        <v/>
      </c>
    </row>
    <row r="159" ht="21" customHeight="1">
      <c r="A159" s="1" t="n"/>
      <c r="B159" s="1" t="n"/>
      <c r="C159" s="2" t="n"/>
      <c r="E159" s="127" t="n"/>
      <c r="F159" s="127" t="n"/>
      <c r="G159" s="127" t="n"/>
      <c r="H159" s="127" t="n"/>
      <c r="I159" s="128" t="n"/>
      <c r="J159" s="128" t="n"/>
      <c r="K159" s="140" t="n"/>
      <c r="L159" s="127" t="n"/>
      <c r="M159" s="129">
        <f>IF($E159="","",SUMIFS(MOV_Qte,MOV_Code,$E159,MOV_Type,"Entrée"))</f>
        <v/>
      </c>
      <c r="N159" s="129">
        <f>IF($E159="","",SUMIFS(MOV_Qte,MOV_Code,$E159,MOV_Type,"Sortie"))</f>
        <v/>
      </c>
      <c r="O159" s="129">
        <f>IF($E159="","",$I159+$M159-$N159)</f>
        <v/>
      </c>
      <c r="P159" s="135">
        <f>IF($E159="","",$O159*$K159)</f>
        <v/>
      </c>
      <c r="Q159" s="130">
        <f>IF($E159="","",IF($O159&lt;=0,"Rupture",IF($O159&lt;=$J159,"Stock faible","En stock")))</f>
        <v/>
      </c>
      <c r="S159">
        <f>IF(OR($E159="",$Q159="En stock"),"",$O159/MAX($J159,1)+ROW()/100000)</f>
        <v/>
      </c>
    </row>
    <row r="160" ht="21" customHeight="1">
      <c r="A160" s="1" t="n"/>
      <c r="B160" s="1" t="n"/>
      <c r="C160" s="2" t="n"/>
      <c r="E160" s="127" t="n"/>
      <c r="F160" s="127" t="n"/>
      <c r="G160" s="127" t="n"/>
      <c r="H160" s="127" t="n"/>
      <c r="I160" s="128" t="n"/>
      <c r="J160" s="128" t="n"/>
      <c r="K160" s="140" t="n"/>
      <c r="L160" s="127" t="n"/>
      <c r="M160" s="129">
        <f>IF($E160="","",SUMIFS(MOV_Qte,MOV_Code,$E160,MOV_Type,"Entrée"))</f>
        <v/>
      </c>
      <c r="N160" s="129">
        <f>IF($E160="","",SUMIFS(MOV_Qte,MOV_Code,$E160,MOV_Type,"Sortie"))</f>
        <v/>
      </c>
      <c r="O160" s="129">
        <f>IF($E160="","",$I160+$M160-$N160)</f>
        <v/>
      </c>
      <c r="P160" s="135">
        <f>IF($E160="","",$O160*$K160)</f>
        <v/>
      </c>
      <c r="Q160" s="130">
        <f>IF($E160="","",IF($O160&lt;=0,"Rupture",IF($O160&lt;=$J160,"Stock faible","En stock")))</f>
        <v/>
      </c>
      <c r="S160">
        <f>IF(OR($E160="",$Q160="En stock"),"",$O160/MAX($J160,1)+ROW()/100000)</f>
        <v/>
      </c>
    </row>
    <row r="161" ht="21" customHeight="1">
      <c r="A161" s="1" t="n"/>
      <c r="B161" s="1" t="n"/>
      <c r="C161" s="2" t="n"/>
      <c r="E161" s="127" t="n"/>
      <c r="F161" s="127" t="n"/>
      <c r="G161" s="127" t="n"/>
      <c r="H161" s="127" t="n"/>
      <c r="I161" s="128" t="n"/>
      <c r="J161" s="128" t="n"/>
      <c r="K161" s="140" t="n"/>
      <c r="L161" s="127" t="n"/>
      <c r="M161" s="129">
        <f>IF($E161="","",SUMIFS(MOV_Qte,MOV_Code,$E161,MOV_Type,"Entrée"))</f>
        <v/>
      </c>
      <c r="N161" s="129">
        <f>IF($E161="","",SUMIFS(MOV_Qte,MOV_Code,$E161,MOV_Type,"Sortie"))</f>
        <v/>
      </c>
      <c r="O161" s="129">
        <f>IF($E161="","",$I161+$M161-$N161)</f>
        <v/>
      </c>
      <c r="P161" s="135">
        <f>IF($E161="","",$O161*$K161)</f>
        <v/>
      </c>
      <c r="Q161" s="130">
        <f>IF($E161="","",IF($O161&lt;=0,"Rupture",IF($O161&lt;=$J161,"Stock faible","En stock")))</f>
        <v/>
      </c>
      <c r="S161">
        <f>IF(OR($E161="",$Q161="En stock"),"",$O161/MAX($J161,1)+ROW()/100000)</f>
        <v/>
      </c>
    </row>
    <row r="162" ht="21" customHeight="1">
      <c r="A162" s="1" t="n"/>
      <c r="B162" s="1" t="n"/>
      <c r="C162" s="2" t="n"/>
      <c r="E162" s="127" t="n"/>
      <c r="F162" s="127" t="n"/>
      <c r="G162" s="127" t="n"/>
      <c r="H162" s="127" t="n"/>
      <c r="I162" s="128" t="n"/>
      <c r="J162" s="128" t="n"/>
      <c r="K162" s="140" t="n"/>
      <c r="L162" s="127" t="n"/>
      <c r="M162" s="129">
        <f>IF($E162="","",SUMIFS(MOV_Qte,MOV_Code,$E162,MOV_Type,"Entrée"))</f>
        <v/>
      </c>
      <c r="N162" s="129">
        <f>IF($E162="","",SUMIFS(MOV_Qte,MOV_Code,$E162,MOV_Type,"Sortie"))</f>
        <v/>
      </c>
      <c r="O162" s="129">
        <f>IF($E162="","",$I162+$M162-$N162)</f>
        <v/>
      </c>
      <c r="P162" s="135">
        <f>IF($E162="","",$O162*$K162)</f>
        <v/>
      </c>
      <c r="Q162" s="130">
        <f>IF($E162="","",IF($O162&lt;=0,"Rupture",IF($O162&lt;=$J162,"Stock faible","En stock")))</f>
        <v/>
      </c>
      <c r="S162">
        <f>IF(OR($E162="",$Q162="En stock"),"",$O162/MAX($J162,1)+ROW()/100000)</f>
        <v/>
      </c>
    </row>
    <row r="163" ht="21" customHeight="1">
      <c r="A163" s="1" t="n"/>
      <c r="B163" s="1" t="n"/>
      <c r="C163" s="2" t="n"/>
      <c r="E163" s="127" t="n"/>
      <c r="F163" s="127" t="n"/>
      <c r="G163" s="127" t="n"/>
      <c r="H163" s="127" t="n"/>
      <c r="I163" s="128" t="n"/>
      <c r="J163" s="128" t="n"/>
      <c r="K163" s="140" t="n"/>
      <c r="L163" s="127" t="n"/>
      <c r="M163" s="129">
        <f>IF($E163="","",SUMIFS(MOV_Qte,MOV_Code,$E163,MOV_Type,"Entrée"))</f>
        <v/>
      </c>
      <c r="N163" s="129">
        <f>IF($E163="","",SUMIFS(MOV_Qte,MOV_Code,$E163,MOV_Type,"Sortie"))</f>
        <v/>
      </c>
      <c r="O163" s="129">
        <f>IF($E163="","",$I163+$M163-$N163)</f>
        <v/>
      </c>
      <c r="P163" s="135">
        <f>IF($E163="","",$O163*$K163)</f>
        <v/>
      </c>
      <c r="Q163" s="130">
        <f>IF($E163="","",IF($O163&lt;=0,"Rupture",IF($O163&lt;=$J163,"Stock faible","En stock")))</f>
        <v/>
      </c>
      <c r="S163">
        <f>IF(OR($E163="",$Q163="En stock"),"",$O163/MAX($J163,1)+ROW()/100000)</f>
        <v/>
      </c>
    </row>
    <row r="164" ht="21" customHeight="1">
      <c r="A164" s="1" t="n"/>
      <c r="B164" s="1" t="n"/>
      <c r="C164" s="2" t="n"/>
      <c r="E164" s="127" t="n"/>
      <c r="F164" s="127" t="n"/>
      <c r="G164" s="127" t="n"/>
      <c r="H164" s="127" t="n"/>
      <c r="I164" s="128" t="n"/>
      <c r="J164" s="128" t="n"/>
      <c r="K164" s="140" t="n"/>
      <c r="L164" s="127" t="n"/>
      <c r="M164" s="129">
        <f>IF($E164="","",SUMIFS(MOV_Qte,MOV_Code,$E164,MOV_Type,"Entrée"))</f>
        <v/>
      </c>
      <c r="N164" s="129">
        <f>IF($E164="","",SUMIFS(MOV_Qte,MOV_Code,$E164,MOV_Type,"Sortie"))</f>
        <v/>
      </c>
      <c r="O164" s="129">
        <f>IF($E164="","",$I164+$M164-$N164)</f>
        <v/>
      </c>
      <c r="P164" s="135">
        <f>IF($E164="","",$O164*$K164)</f>
        <v/>
      </c>
      <c r="Q164" s="130">
        <f>IF($E164="","",IF($O164&lt;=0,"Rupture",IF($O164&lt;=$J164,"Stock faible","En stock")))</f>
        <v/>
      </c>
      <c r="S164">
        <f>IF(OR($E164="",$Q164="En stock"),"",$O164/MAX($J164,1)+ROW()/100000)</f>
        <v/>
      </c>
    </row>
    <row r="165" ht="21" customHeight="1">
      <c r="A165" s="1" t="n"/>
      <c r="B165" s="1" t="n"/>
      <c r="C165" s="2" t="n"/>
      <c r="E165" s="127" t="n"/>
      <c r="F165" s="127" t="n"/>
      <c r="G165" s="127" t="n"/>
      <c r="H165" s="127" t="n"/>
      <c r="I165" s="128" t="n"/>
      <c r="J165" s="128" t="n"/>
      <c r="K165" s="140" t="n"/>
      <c r="L165" s="127" t="n"/>
      <c r="M165" s="129">
        <f>IF($E165="","",SUMIFS(MOV_Qte,MOV_Code,$E165,MOV_Type,"Entrée"))</f>
        <v/>
      </c>
      <c r="N165" s="129">
        <f>IF($E165="","",SUMIFS(MOV_Qte,MOV_Code,$E165,MOV_Type,"Sortie"))</f>
        <v/>
      </c>
      <c r="O165" s="129">
        <f>IF($E165="","",$I165+$M165-$N165)</f>
        <v/>
      </c>
      <c r="P165" s="135">
        <f>IF($E165="","",$O165*$K165)</f>
        <v/>
      </c>
      <c r="Q165" s="130">
        <f>IF($E165="","",IF($O165&lt;=0,"Rupture",IF($O165&lt;=$J165,"Stock faible","En stock")))</f>
        <v/>
      </c>
      <c r="S165">
        <f>IF(OR($E165="",$Q165="En stock"),"",$O165/MAX($J165,1)+ROW()/100000)</f>
        <v/>
      </c>
    </row>
    <row r="166" ht="21" customHeight="1">
      <c r="A166" s="1" t="n"/>
      <c r="B166" s="1" t="n"/>
      <c r="C166" s="2" t="n"/>
      <c r="E166" s="127" t="n"/>
      <c r="F166" s="127" t="n"/>
      <c r="G166" s="127" t="n"/>
      <c r="H166" s="127" t="n"/>
      <c r="I166" s="128" t="n"/>
      <c r="J166" s="128" t="n"/>
      <c r="K166" s="140" t="n"/>
      <c r="L166" s="127" t="n"/>
      <c r="M166" s="129">
        <f>IF($E166="","",SUMIFS(MOV_Qte,MOV_Code,$E166,MOV_Type,"Entrée"))</f>
        <v/>
      </c>
      <c r="N166" s="129">
        <f>IF($E166="","",SUMIFS(MOV_Qte,MOV_Code,$E166,MOV_Type,"Sortie"))</f>
        <v/>
      </c>
      <c r="O166" s="129">
        <f>IF($E166="","",$I166+$M166-$N166)</f>
        <v/>
      </c>
      <c r="P166" s="135">
        <f>IF($E166="","",$O166*$K166)</f>
        <v/>
      </c>
      <c r="Q166" s="130">
        <f>IF($E166="","",IF($O166&lt;=0,"Rupture",IF($O166&lt;=$J166,"Stock faible","En stock")))</f>
        <v/>
      </c>
      <c r="S166">
        <f>IF(OR($E166="",$Q166="En stock"),"",$O166/MAX($J166,1)+ROW()/100000)</f>
        <v/>
      </c>
    </row>
    <row r="167" ht="21" customHeight="1">
      <c r="A167" s="1" t="n"/>
      <c r="B167" s="1" t="n"/>
      <c r="C167" s="2" t="n"/>
      <c r="E167" s="127" t="n"/>
      <c r="F167" s="127" t="n"/>
      <c r="G167" s="127" t="n"/>
      <c r="H167" s="127" t="n"/>
      <c r="I167" s="128" t="n"/>
      <c r="J167" s="128" t="n"/>
      <c r="K167" s="140" t="n"/>
      <c r="L167" s="127" t="n"/>
      <c r="M167" s="129">
        <f>IF($E167="","",SUMIFS(MOV_Qte,MOV_Code,$E167,MOV_Type,"Entrée"))</f>
        <v/>
      </c>
      <c r="N167" s="129">
        <f>IF($E167="","",SUMIFS(MOV_Qte,MOV_Code,$E167,MOV_Type,"Sortie"))</f>
        <v/>
      </c>
      <c r="O167" s="129">
        <f>IF($E167="","",$I167+$M167-$N167)</f>
        <v/>
      </c>
      <c r="P167" s="135">
        <f>IF($E167="","",$O167*$K167)</f>
        <v/>
      </c>
      <c r="Q167" s="130">
        <f>IF($E167="","",IF($O167&lt;=0,"Rupture",IF($O167&lt;=$J167,"Stock faible","En stock")))</f>
        <v/>
      </c>
      <c r="S167">
        <f>IF(OR($E167="",$Q167="En stock"),"",$O167/MAX($J167,1)+ROW()/100000)</f>
        <v/>
      </c>
    </row>
    <row r="168" ht="21" customHeight="1">
      <c r="A168" s="1" t="n"/>
      <c r="B168" s="1" t="n"/>
      <c r="C168" s="2" t="n"/>
      <c r="E168" s="127" t="n"/>
      <c r="F168" s="127" t="n"/>
      <c r="G168" s="127" t="n"/>
      <c r="H168" s="127" t="n"/>
      <c r="I168" s="128" t="n"/>
      <c r="J168" s="128" t="n"/>
      <c r="K168" s="140" t="n"/>
      <c r="L168" s="127" t="n"/>
      <c r="M168" s="129">
        <f>IF($E168="","",SUMIFS(MOV_Qte,MOV_Code,$E168,MOV_Type,"Entrée"))</f>
        <v/>
      </c>
      <c r="N168" s="129">
        <f>IF($E168="","",SUMIFS(MOV_Qte,MOV_Code,$E168,MOV_Type,"Sortie"))</f>
        <v/>
      </c>
      <c r="O168" s="129">
        <f>IF($E168="","",$I168+$M168-$N168)</f>
        <v/>
      </c>
      <c r="P168" s="135">
        <f>IF($E168="","",$O168*$K168)</f>
        <v/>
      </c>
      <c r="Q168" s="130">
        <f>IF($E168="","",IF($O168&lt;=0,"Rupture",IF($O168&lt;=$J168,"Stock faible","En stock")))</f>
        <v/>
      </c>
      <c r="S168">
        <f>IF(OR($E168="",$Q168="En stock"),"",$O168/MAX($J168,1)+ROW()/100000)</f>
        <v/>
      </c>
    </row>
    <row r="169" ht="21" customHeight="1">
      <c r="A169" s="1" t="n"/>
      <c r="B169" s="1" t="n"/>
      <c r="C169" s="2" t="n"/>
      <c r="E169" s="127" t="n"/>
      <c r="F169" s="127" t="n"/>
      <c r="G169" s="127" t="n"/>
      <c r="H169" s="127" t="n"/>
      <c r="I169" s="128" t="n"/>
      <c r="J169" s="128" t="n"/>
      <c r="K169" s="140" t="n"/>
      <c r="L169" s="127" t="n"/>
      <c r="M169" s="129">
        <f>IF($E169="","",SUMIFS(MOV_Qte,MOV_Code,$E169,MOV_Type,"Entrée"))</f>
        <v/>
      </c>
      <c r="N169" s="129">
        <f>IF($E169="","",SUMIFS(MOV_Qte,MOV_Code,$E169,MOV_Type,"Sortie"))</f>
        <v/>
      </c>
      <c r="O169" s="129">
        <f>IF($E169="","",$I169+$M169-$N169)</f>
        <v/>
      </c>
      <c r="P169" s="135">
        <f>IF($E169="","",$O169*$K169)</f>
        <v/>
      </c>
      <c r="Q169" s="130">
        <f>IF($E169="","",IF($O169&lt;=0,"Rupture",IF($O169&lt;=$J169,"Stock faible","En stock")))</f>
        <v/>
      </c>
      <c r="S169">
        <f>IF(OR($E169="",$Q169="En stock"),"",$O169/MAX($J169,1)+ROW()/100000)</f>
        <v/>
      </c>
    </row>
    <row r="170" ht="21" customHeight="1">
      <c r="A170" s="1" t="n"/>
      <c r="B170" s="1" t="n"/>
      <c r="C170" s="2" t="n"/>
      <c r="E170" s="127" t="n"/>
      <c r="F170" s="127" t="n"/>
      <c r="G170" s="127" t="n"/>
      <c r="H170" s="127" t="n"/>
      <c r="I170" s="128" t="n"/>
      <c r="J170" s="128" t="n"/>
      <c r="K170" s="140" t="n"/>
      <c r="L170" s="127" t="n"/>
      <c r="M170" s="129">
        <f>IF($E170="","",SUMIFS(MOV_Qte,MOV_Code,$E170,MOV_Type,"Entrée"))</f>
        <v/>
      </c>
      <c r="N170" s="129">
        <f>IF($E170="","",SUMIFS(MOV_Qte,MOV_Code,$E170,MOV_Type,"Sortie"))</f>
        <v/>
      </c>
      <c r="O170" s="129">
        <f>IF($E170="","",$I170+$M170-$N170)</f>
        <v/>
      </c>
      <c r="P170" s="135">
        <f>IF($E170="","",$O170*$K170)</f>
        <v/>
      </c>
      <c r="Q170" s="130">
        <f>IF($E170="","",IF($O170&lt;=0,"Rupture",IF($O170&lt;=$J170,"Stock faible","En stock")))</f>
        <v/>
      </c>
      <c r="S170">
        <f>IF(OR($E170="",$Q170="En stock"),"",$O170/MAX($J170,1)+ROW()/100000)</f>
        <v/>
      </c>
    </row>
    <row r="171" ht="21" customHeight="1">
      <c r="A171" s="1" t="n"/>
      <c r="B171" s="1" t="n"/>
      <c r="C171" s="2" t="n"/>
      <c r="E171" s="127" t="n"/>
      <c r="F171" s="127" t="n"/>
      <c r="G171" s="127" t="n"/>
      <c r="H171" s="127" t="n"/>
      <c r="I171" s="128" t="n"/>
      <c r="J171" s="128" t="n"/>
      <c r="K171" s="140" t="n"/>
      <c r="L171" s="127" t="n"/>
      <c r="M171" s="129">
        <f>IF($E171="","",SUMIFS(MOV_Qte,MOV_Code,$E171,MOV_Type,"Entrée"))</f>
        <v/>
      </c>
      <c r="N171" s="129">
        <f>IF($E171="","",SUMIFS(MOV_Qte,MOV_Code,$E171,MOV_Type,"Sortie"))</f>
        <v/>
      </c>
      <c r="O171" s="129">
        <f>IF($E171="","",$I171+$M171-$N171)</f>
        <v/>
      </c>
      <c r="P171" s="135">
        <f>IF($E171="","",$O171*$K171)</f>
        <v/>
      </c>
      <c r="Q171" s="130">
        <f>IF($E171="","",IF($O171&lt;=0,"Rupture",IF($O171&lt;=$J171,"Stock faible","En stock")))</f>
        <v/>
      </c>
      <c r="S171">
        <f>IF(OR($E171="",$Q171="En stock"),"",$O171/MAX($J171,1)+ROW()/100000)</f>
        <v/>
      </c>
    </row>
    <row r="172" ht="21" customHeight="1">
      <c r="A172" s="1" t="n"/>
      <c r="B172" s="1" t="n"/>
      <c r="C172" s="2" t="n"/>
      <c r="E172" s="127" t="n"/>
      <c r="F172" s="127" t="n"/>
      <c r="G172" s="127" t="n"/>
      <c r="H172" s="127" t="n"/>
      <c r="I172" s="128" t="n"/>
      <c r="J172" s="128" t="n"/>
      <c r="K172" s="140" t="n"/>
      <c r="L172" s="127" t="n"/>
      <c r="M172" s="129">
        <f>IF($E172="","",SUMIFS(MOV_Qte,MOV_Code,$E172,MOV_Type,"Entrée"))</f>
        <v/>
      </c>
      <c r="N172" s="129">
        <f>IF($E172="","",SUMIFS(MOV_Qte,MOV_Code,$E172,MOV_Type,"Sortie"))</f>
        <v/>
      </c>
      <c r="O172" s="129">
        <f>IF($E172="","",$I172+$M172-$N172)</f>
        <v/>
      </c>
      <c r="P172" s="135">
        <f>IF($E172="","",$O172*$K172)</f>
        <v/>
      </c>
      <c r="Q172" s="130">
        <f>IF($E172="","",IF($O172&lt;=0,"Rupture",IF($O172&lt;=$J172,"Stock faible","En stock")))</f>
        <v/>
      </c>
      <c r="S172">
        <f>IF(OR($E172="",$Q172="En stock"),"",$O172/MAX($J172,1)+ROW()/100000)</f>
        <v/>
      </c>
    </row>
    <row r="173" ht="21" customHeight="1">
      <c r="A173" s="1" t="n"/>
      <c r="B173" s="1" t="n"/>
      <c r="C173" s="2" t="n"/>
      <c r="E173" s="127" t="n"/>
      <c r="F173" s="127" t="n"/>
      <c r="G173" s="127" t="n"/>
      <c r="H173" s="127" t="n"/>
      <c r="I173" s="128" t="n"/>
      <c r="J173" s="128" t="n"/>
      <c r="K173" s="140" t="n"/>
      <c r="L173" s="127" t="n"/>
      <c r="M173" s="129">
        <f>IF($E173="","",SUMIFS(MOV_Qte,MOV_Code,$E173,MOV_Type,"Entrée"))</f>
        <v/>
      </c>
      <c r="N173" s="129">
        <f>IF($E173="","",SUMIFS(MOV_Qte,MOV_Code,$E173,MOV_Type,"Sortie"))</f>
        <v/>
      </c>
      <c r="O173" s="129">
        <f>IF($E173="","",$I173+$M173-$N173)</f>
        <v/>
      </c>
      <c r="P173" s="135">
        <f>IF($E173="","",$O173*$K173)</f>
        <v/>
      </c>
      <c r="Q173" s="130">
        <f>IF($E173="","",IF($O173&lt;=0,"Rupture",IF($O173&lt;=$J173,"Stock faible","En stock")))</f>
        <v/>
      </c>
      <c r="S173">
        <f>IF(OR($E173="",$Q173="En stock"),"",$O173/MAX($J173,1)+ROW()/100000)</f>
        <v/>
      </c>
    </row>
    <row r="174" ht="21" customHeight="1">
      <c r="A174" s="1" t="n"/>
      <c r="B174" s="1" t="n"/>
      <c r="C174" s="2" t="n"/>
      <c r="E174" s="127" t="n"/>
      <c r="F174" s="127" t="n"/>
      <c r="G174" s="127" t="n"/>
      <c r="H174" s="127" t="n"/>
      <c r="I174" s="128" t="n"/>
      <c r="J174" s="128" t="n"/>
      <c r="K174" s="140" t="n"/>
      <c r="L174" s="127" t="n"/>
      <c r="M174" s="129">
        <f>IF($E174="","",SUMIFS(MOV_Qte,MOV_Code,$E174,MOV_Type,"Entrée"))</f>
        <v/>
      </c>
      <c r="N174" s="129">
        <f>IF($E174="","",SUMIFS(MOV_Qte,MOV_Code,$E174,MOV_Type,"Sortie"))</f>
        <v/>
      </c>
      <c r="O174" s="129">
        <f>IF($E174="","",$I174+$M174-$N174)</f>
        <v/>
      </c>
      <c r="P174" s="135">
        <f>IF($E174="","",$O174*$K174)</f>
        <v/>
      </c>
      <c r="Q174" s="130">
        <f>IF($E174="","",IF($O174&lt;=0,"Rupture",IF($O174&lt;=$J174,"Stock faible","En stock")))</f>
        <v/>
      </c>
      <c r="S174">
        <f>IF(OR($E174="",$Q174="En stock"),"",$O174/MAX($J174,1)+ROW()/100000)</f>
        <v/>
      </c>
    </row>
    <row r="175" ht="21" customHeight="1">
      <c r="A175" s="1" t="n"/>
      <c r="B175" s="1" t="n"/>
      <c r="C175" s="2" t="n"/>
      <c r="E175" s="127" t="n"/>
      <c r="F175" s="127" t="n"/>
      <c r="G175" s="127" t="n"/>
      <c r="H175" s="127" t="n"/>
      <c r="I175" s="128" t="n"/>
      <c r="J175" s="128" t="n"/>
      <c r="K175" s="140" t="n"/>
      <c r="L175" s="127" t="n"/>
      <c r="M175" s="129">
        <f>IF($E175="","",SUMIFS(MOV_Qte,MOV_Code,$E175,MOV_Type,"Entrée"))</f>
        <v/>
      </c>
      <c r="N175" s="129">
        <f>IF($E175="","",SUMIFS(MOV_Qte,MOV_Code,$E175,MOV_Type,"Sortie"))</f>
        <v/>
      </c>
      <c r="O175" s="129">
        <f>IF($E175="","",$I175+$M175-$N175)</f>
        <v/>
      </c>
      <c r="P175" s="135">
        <f>IF($E175="","",$O175*$K175)</f>
        <v/>
      </c>
      <c r="Q175" s="130">
        <f>IF($E175="","",IF($O175&lt;=0,"Rupture",IF($O175&lt;=$J175,"Stock faible","En stock")))</f>
        <v/>
      </c>
      <c r="S175">
        <f>IF(OR($E175="",$Q175="En stock"),"",$O175/MAX($J175,1)+ROW()/100000)</f>
        <v/>
      </c>
    </row>
    <row r="176" ht="21" customHeight="1">
      <c r="A176" s="1" t="n"/>
      <c r="B176" s="1" t="n"/>
      <c r="C176" s="2" t="n"/>
      <c r="E176" s="127" t="n"/>
      <c r="F176" s="127" t="n"/>
      <c r="G176" s="127" t="n"/>
      <c r="H176" s="127" t="n"/>
      <c r="I176" s="128" t="n"/>
      <c r="J176" s="128" t="n"/>
      <c r="K176" s="140" t="n"/>
      <c r="L176" s="127" t="n"/>
      <c r="M176" s="129">
        <f>IF($E176="","",SUMIFS(MOV_Qte,MOV_Code,$E176,MOV_Type,"Entrée"))</f>
        <v/>
      </c>
      <c r="N176" s="129">
        <f>IF($E176="","",SUMIFS(MOV_Qte,MOV_Code,$E176,MOV_Type,"Sortie"))</f>
        <v/>
      </c>
      <c r="O176" s="129">
        <f>IF($E176="","",$I176+$M176-$N176)</f>
        <v/>
      </c>
      <c r="P176" s="135">
        <f>IF($E176="","",$O176*$K176)</f>
        <v/>
      </c>
      <c r="Q176" s="130">
        <f>IF($E176="","",IF($O176&lt;=0,"Rupture",IF($O176&lt;=$J176,"Stock faible","En stock")))</f>
        <v/>
      </c>
      <c r="S176">
        <f>IF(OR($E176="",$Q176="En stock"),"",$O176/MAX($J176,1)+ROW()/100000)</f>
        <v/>
      </c>
    </row>
    <row r="177" ht="21" customHeight="1">
      <c r="A177" s="1" t="n"/>
      <c r="B177" s="1" t="n"/>
      <c r="C177" s="2" t="n"/>
      <c r="E177" s="127" t="n"/>
      <c r="F177" s="127" t="n"/>
      <c r="G177" s="127" t="n"/>
      <c r="H177" s="127" t="n"/>
      <c r="I177" s="128" t="n"/>
      <c r="J177" s="128" t="n"/>
      <c r="K177" s="140" t="n"/>
      <c r="L177" s="127" t="n"/>
      <c r="M177" s="129">
        <f>IF($E177="","",SUMIFS(MOV_Qte,MOV_Code,$E177,MOV_Type,"Entrée"))</f>
        <v/>
      </c>
      <c r="N177" s="129">
        <f>IF($E177="","",SUMIFS(MOV_Qte,MOV_Code,$E177,MOV_Type,"Sortie"))</f>
        <v/>
      </c>
      <c r="O177" s="129">
        <f>IF($E177="","",$I177+$M177-$N177)</f>
        <v/>
      </c>
      <c r="P177" s="135">
        <f>IF($E177="","",$O177*$K177)</f>
        <v/>
      </c>
      <c r="Q177" s="130">
        <f>IF($E177="","",IF($O177&lt;=0,"Rupture",IF($O177&lt;=$J177,"Stock faible","En stock")))</f>
        <v/>
      </c>
      <c r="S177">
        <f>IF(OR($E177="",$Q177="En stock"),"",$O177/MAX($J177,1)+ROW()/100000)</f>
        <v/>
      </c>
    </row>
    <row r="178" ht="21" customHeight="1">
      <c r="A178" s="1" t="n"/>
      <c r="B178" s="1" t="n"/>
      <c r="C178" s="2" t="n"/>
      <c r="E178" s="127" t="n"/>
      <c r="F178" s="127" t="n"/>
      <c r="G178" s="127" t="n"/>
      <c r="H178" s="127" t="n"/>
      <c r="I178" s="128" t="n"/>
      <c r="J178" s="128" t="n"/>
      <c r="K178" s="140" t="n"/>
      <c r="L178" s="127" t="n"/>
      <c r="M178" s="129">
        <f>IF($E178="","",SUMIFS(MOV_Qte,MOV_Code,$E178,MOV_Type,"Entrée"))</f>
        <v/>
      </c>
      <c r="N178" s="129">
        <f>IF($E178="","",SUMIFS(MOV_Qte,MOV_Code,$E178,MOV_Type,"Sortie"))</f>
        <v/>
      </c>
      <c r="O178" s="129">
        <f>IF($E178="","",$I178+$M178-$N178)</f>
        <v/>
      </c>
      <c r="P178" s="135">
        <f>IF($E178="","",$O178*$K178)</f>
        <v/>
      </c>
      <c r="Q178" s="130">
        <f>IF($E178="","",IF($O178&lt;=0,"Rupture",IF($O178&lt;=$J178,"Stock faible","En stock")))</f>
        <v/>
      </c>
      <c r="S178">
        <f>IF(OR($E178="",$Q178="En stock"),"",$O178/MAX($J178,1)+ROW()/100000)</f>
        <v/>
      </c>
    </row>
    <row r="179" ht="21" customHeight="1">
      <c r="A179" s="1" t="n"/>
      <c r="B179" s="1" t="n"/>
      <c r="C179" s="2" t="n"/>
      <c r="E179" s="127" t="n"/>
      <c r="F179" s="127" t="n"/>
      <c r="G179" s="127" t="n"/>
      <c r="H179" s="127" t="n"/>
      <c r="I179" s="128" t="n"/>
      <c r="J179" s="128" t="n"/>
      <c r="K179" s="140" t="n"/>
      <c r="L179" s="127" t="n"/>
      <c r="M179" s="129">
        <f>IF($E179="","",SUMIFS(MOV_Qte,MOV_Code,$E179,MOV_Type,"Entrée"))</f>
        <v/>
      </c>
      <c r="N179" s="129">
        <f>IF($E179="","",SUMIFS(MOV_Qte,MOV_Code,$E179,MOV_Type,"Sortie"))</f>
        <v/>
      </c>
      <c r="O179" s="129">
        <f>IF($E179="","",$I179+$M179-$N179)</f>
        <v/>
      </c>
      <c r="P179" s="135">
        <f>IF($E179="","",$O179*$K179)</f>
        <v/>
      </c>
      <c r="Q179" s="130">
        <f>IF($E179="","",IF($O179&lt;=0,"Rupture",IF($O179&lt;=$J179,"Stock faible","En stock")))</f>
        <v/>
      </c>
      <c r="S179">
        <f>IF(OR($E179="",$Q179="En stock"),"",$O179/MAX($J179,1)+ROW()/100000)</f>
        <v/>
      </c>
    </row>
    <row r="180" ht="21" customHeight="1">
      <c r="A180" s="1" t="n"/>
      <c r="B180" s="1" t="n"/>
      <c r="C180" s="2" t="n"/>
      <c r="E180" s="127" t="n"/>
      <c r="F180" s="127" t="n"/>
      <c r="G180" s="127" t="n"/>
      <c r="H180" s="127" t="n"/>
      <c r="I180" s="128" t="n"/>
      <c r="J180" s="128" t="n"/>
      <c r="K180" s="140" t="n"/>
      <c r="L180" s="127" t="n"/>
      <c r="M180" s="129">
        <f>IF($E180="","",SUMIFS(MOV_Qte,MOV_Code,$E180,MOV_Type,"Entrée"))</f>
        <v/>
      </c>
      <c r="N180" s="129">
        <f>IF($E180="","",SUMIFS(MOV_Qte,MOV_Code,$E180,MOV_Type,"Sortie"))</f>
        <v/>
      </c>
      <c r="O180" s="129">
        <f>IF($E180="","",$I180+$M180-$N180)</f>
        <v/>
      </c>
      <c r="P180" s="135">
        <f>IF($E180="","",$O180*$K180)</f>
        <v/>
      </c>
      <c r="Q180" s="130">
        <f>IF($E180="","",IF($O180&lt;=0,"Rupture",IF($O180&lt;=$J180,"Stock faible","En stock")))</f>
        <v/>
      </c>
      <c r="S180">
        <f>IF(OR($E180="",$Q180="En stock"),"",$O180/MAX($J180,1)+ROW()/100000)</f>
        <v/>
      </c>
    </row>
    <row r="181" ht="21" customHeight="1">
      <c r="A181" s="1" t="n"/>
      <c r="B181" s="1" t="n"/>
      <c r="C181" s="2" t="n"/>
      <c r="E181" s="127" t="n"/>
      <c r="F181" s="127" t="n"/>
      <c r="G181" s="127" t="n"/>
      <c r="H181" s="127" t="n"/>
      <c r="I181" s="128" t="n"/>
      <c r="J181" s="128" t="n"/>
      <c r="K181" s="140" t="n"/>
      <c r="L181" s="127" t="n"/>
      <c r="M181" s="129">
        <f>IF($E181="","",SUMIFS(MOV_Qte,MOV_Code,$E181,MOV_Type,"Entrée"))</f>
        <v/>
      </c>
      <c r="N181" s="129">
        <f>IF($E181="","",SUMIFS(MOV_Qte,MOV_Code,$E181,MOV_Type,"Sortie"))</f>
        <v/>
      </c>
      <c r="O181" s="129">
        <f>IF($E181="","",$I181+$M181-$N181)</f>
        <v/>
      </c>
      <c r="P181" s="135">
        <f>IF($E181="","",$O181*$K181)</f>
        <v/>
      </c>
      <c r="Q181" s="130">
        <f>IF($E181="","",IF($O181&lt;=0,"Rupture",IF($O181&lt;=$J181,"Stock faible","En stock")))</f>
        <v/>
      </c>
      <c r="S181">
        <f>IF(OR($E181="",$Q181="En stock"),"",$O181/MAX($J181,1)+ROW()/100000)</f>
        <v/>
      </c>
    </row>
    <row r="182" ht="21" customHeight="1">
      <c r="A182" s="1" t="n"/>
      <c r="B182" s="1" t="n"/>
      <c r="C182" s="2" t="n"/>
      <c r="E182" s="127" t="n"/>
      <c r="F182" s="127" t="n"/>
      <c r="G182" s="127" t="n"/>
      <c r="H182" s="127" t="n"/>
      <c r="I182" s="128" t="n"/>
      <c r="J182" s="128" t="n"/>
      <c r="K182" s="140" t="n"/>
      <c r="L182" s="127" t="n"/>
      <c r="M182" s="129">
        <f>IF($E182="","",SUMIFS(MOV_Qte,MOV_Code,$E182,MOV_Type,"Entrée"))</f>
        <v/>
      </c>
      <c r="N182" s="129">
        <f>IF($E182="","",SUMIFS(MOV_Qte,MOV_Code,$E182,MOV_Type,"Sortie"))</f>
        <v/>
      </c>
      <c r="O182" s="129">
        <f>IF($E182="","",$I182+$M182-$N182)</f>
        <v/>
      </c>
      <c r="P182" s="135">
        <f>IF($E182="","",$O182*$K182)</f>
        <v/>
      </c>
      <c r="Q182" s="130">
        <f>IF($E182="","",IF($O182&lt;=0,"Rupture",IF($O182&lt;=$J182,"Stock faible","En stock")))</f>
        <v/>
      </c>
      <c r="S182">
        <f>IF(OR($E182="",$Q182="En stock"),"",$O182/MAX($J182,1)+ROW()/100000)</f>
        <v/>
      </c>
    </row>
    <row r="183" ht="21" customHeight="1">
      <c r="A183" s="1" t="n"/>
      <c r="B183" s="1" t="n"/>
      <c r="C183" s="2" t="n"/>
      <c r="E183" s="127" t="n"/>
      <c r="F183" s="127" t="n"/>
      <c r="G183" s="127" t="n"/>
      <c r="H183" s="127" t="n"/>
      <c r="I183" s="128" t="n"/>
      <c r="J183" s="128" t="n"/>
      <c r="K183" s="140" t="n"/>
      <c r="L183" s="127" t="n"/>
      <c r="M183" s="129">
        <f>IF($E183="","",SUMIFS(MOV_Qte,MOV_Code,$E183,MOV_Type,"Entrée"))</f>
        <v/>
      </c>
      <c r="N183" s="129">
        <f>IF($E183="","",SUMIFS(MOV_Qte,MOV_Code,$E183,MOV_Type,"Sortie"))</f>
        <v/>
      </c>
      <c r="O183" s="129">
        <f>IF($E183="","",$I183+$M183-$N183)</f>
        <v/>
      </c>
      <c r="P183" s="135">
        <f>IF($E183="","",$O183*$K183)</f>
        <v/>
      </c>
      <c r="Q183" s="130">
        <f>IF($E183="","",IF($O183&lt;=0,"Rupture",IF($O183&lt;=$J183,"Stock faible","En stock")))</f>
        <v/>
      </c>
      <c r="S183">
        <f>IF(OR($E183="",$Q183="En stock"),"",$O183/MAX($J183,1)+ROW()/100000)</f>
        <v/>
      </c>
    </row>
    <row r="184" ht="21" customHeight="1">
      <c r="A184" s="1" t="n"/>
      <c r="B184" s="1" t="n"/>
      <c r="C184" s="2" t="n"/>
      <c r="E184" s="127" t="n"/>
      <c r="F184" s="127" t="n"/>
      <c r="G184" s="127" t="n"/>
      <c r="H184" s="127" t="n"/>
      <c r="I184" s="128" t="n"/>
      <c r="J184" s="128" t="n"/>
      <c r="K184" s="140" t="n"/>
      <c r="L184" s="127" t="n"/>
      <c r="M184" s="129">
        <f>IF($E184="","",SUMIFS(MOV_Qte,MOV_Code,$E184,MOV_Type,"Entrée"))</f>
        <v/>
      </c>
      <c r="N184" s="129">
        <f>IF($E184="","",SUMIFS(MOV_Qte,MOV_Code,$E184,MOV_Type,"Sortie"))</f>
        <v/>
      </c>
      <c r="O184" s="129">
        <f>IF($E184="","",$I184+$M184-$N184)</f>
        <v/>
      </c>
      <c r="P184" s="135">
        <f>IF($E184="","",$O184*$K184)</f>
        <v/>
      </c>
      <c r="Q184" s="130">
        <f>IF($E184="","",IF($O184&lt;=0,"Rupture",IF($O184&lt;=$J184,"Stock faible","En stock")))</f>
        <v/>
      </c>
      <c r="S184">
        <f>IF(OR($E184="",$Q184="En stock"),"",$O184/MAX($J184,1)+ROW()/100000)</f>
        <v/>
      </c>
    </row>
    <row r="185" ht="21" customHeight="1">
      <c r="A185" s="1" t="n"/>
      <c r="B185" s="1" t="n"/>
      <c r="C185" s="2" t="n"/>
      <c r="E185" s="127" t="n"/>
      <c r="F185" s="127" t="n"/>
      <c r="G185" s="127" t="n"/>
      <c r="H185" s="127" t="n"/>
      <c r="I185" s="128" t="n"/>
      <c r="J185" s="128" t="n"/>
      <c r="K185" s="140" t="n"/>
      <c r="L185" s="127" t="n"/>
      <c r="M185" s="129">
        <f>IF($E185="","",SUMIFS(MOV_Qte,MOV_Code,$E185,MOV_Type,"Entrée"))</f>
        <v/>
      </c>
      <c r="N185" s="129">
        <f>IF($E185="","",SUMIFS(MOV_Qte,MOV_Code,$E185,MOV_Type,"Sortie"))</f>
        <v/>
      </c>
      <c r="O185" s="129">
        <f>IF($E185="","",$I185+$M185-$N185)</f>
        <v/>
      </c>
      <c r="P185" s="135">
        <f>IF($E185="","",$O185*$K185)</f>
        <v/>
      </c>
      <c r="Q185" s="130">
        <f>IF($E185="","",IF($O185&lt;=0,"Rupture",IF($O185&lt;=$J185,"Stock faible","En stock")))</f>
        <v/>
      </c>
      <c r="S185">
        <f>IF(OR($E185="",$Q185="En stock"),"",$O185/MAX($J185,1)+ROW()/100000)</f>
        <v/>
      </c>
    </row>
    <row r="186" ht="21" customHeight="1">
      <c r="A186" s="1" t="n"/>
      <c r="B186" s="1" t="n"/>
      <c r="C186" s="2" t="n"/>
      <c r="E186" s="127" t="n"/>
      <c r="F186" s="127" t="n"/>
      <c r="G186" s="127" t="n"/>
      <c r="H186" s="127" t="n"/>
      <c r="I186" s="128" t="n"/>
      <c r="J186" s="128" t="n"/>
      <c r="K186" s="140" t="n"/>
      <c r="L186" s="127" t="n"/>
      <c r="M186" s="129">
        <f>IF($E186="","",SUMIFS(MOV_Qte,MOV_Code,$E186,MOV_Type,"Entrée"))</f>
        <v/>
      </c>
      <c r="N186" s="129">
        <f>IF($E186="","",SUMIFS(MOV_Qte,MOV_Code,$E186,MOV_Type,"Sortie"))</f>
        <v/>
      </c>
      <c r="O186" s="129">
        <f>IF($E186="","",$I186+$M186-$N186)</f>
        <v/>
      </c>
      <c r="P186" s="135">
        <f>IF($E186="","",$O186*$K186)</f>
        <v/>
      </c>
      <c r="Q186" s="130">
        <f>IF($E186="","",IF($O186&lt;=0,"Rupture",IF($O186&lt;=$J186,"Stock faible","En stock")))</f>
        <v/>
      </c>
      <c r="S186">
        <f>IF(OR($E186="",$Q186="En stock"),"",$O186/MAX($J186,1)+ROW()/100000)</f>
        <v/>
      </c>
    </row>
    <row r="187" ht="21" customHeight="1">
      <c r="A187" s="1" t="n"/>
      <c r="B187" s="1" t="n"/>
      <c r="C187" s="2" t="n"/>
      <c r="E187" s="127" t="n"/>
      <c r="F187" s="127" t="n"/>
      <c r="G187" s="127" t="n"/>
      <c r="H187" s="127" t="n"/>
      <c r="I187" s="128" t="n"/>
      <c r="J187" s="128" t="n"/>
      <c r="K187" s="140" t="n"/>
      <c r="L187" s="127" t="n"/>
      <c r="M187" s="129">
        <f>IF($E187="","",SUMIFS(MOV_Qte,MOV_Code,$E187,MOV_Type,"Entrée"))</f>
        <v/>
      </c>
      <c r="N187" s="129">
        <f>IF($E187="","",SUMIFS(MOV_Qte,MOV_Code,$E187,MOV_Type,"Sortie"))</f>
        <v/>
      </c>
      <c r="O187" s="129">
        <f>IF($E187="","",$I187+$M187-$N187)</f>
        <v/>
      </c>
      <c r="P187" s="135">
        <f>IF($E187="","",$O187*$K187)</f>
        <v/>
      </c>
      <c r="Q187" s="130">
        <f>IF($E187="","",IF($O187&lt;=0,"Rupture",IF($O187&lt;=$J187,"Stock faible","En stock")))</f>
        <v/>
      </c>
      <c r="S187">
        <f>IF(OR($E187="",$Q187="En stock"),"",$O187/MAX($J187,1)+ROW()/100000)</f>
        <v/>
      </c>
    </row>
    <row r="188" ht="21" customHeight="1">
      <c r="A188" s="1" t="n"/>
      <c r="B188" s="1" t="n"/>
      <c r="C188" s="2" t="n"/>
      <c r="E188" s="127" t="n"/>
      <c r="F188" s="127" t="n"/>
      <c r="G188" s="127" t="n"/>
      <c r="H188" s="127" t="n"/>
      <c r="I188" s="128" t="n"/>
      <c r="J188" s="128" t="n"/>
      <c r="K188" s="140" t="n"/>
      <c r="L188" s="127" t="n"/>
      <c r="M188" s="129">
        <f>IF($E188="","",SUMIFS(MOV_Qte,MOV_Code,$E188,MOV_Type,"Entrée"))</f>
        <v/>
      </c>
      <c r="N188" s="129">
        <f>IF($E188="","",SUMIFS(MOV_Qte,MOV_Code,$E188,MOV_Type,"Sortie"))</f>
        <v/>
      </c>
      <c r="O188" s="129">
        <f>IF($E188="","",$I188+$M188-$N188)</f>
        <v/>
      </c>
      <c r="P188" s="135">
        <f>IF($E188="","",$O188*$K188)</f>
        <v/>
      </c>
      <c r="Q188" s="130">
        <f>IF($E188="","",IF($O188&lt;=0,"Rupture",IF($O188&lt;=$J188,"Stock faible","En stock")))</f>
        <v/>
      </c>
      <c r="S188">
        <f>IF(OR($E188="",$Q188="En stock"),"",$O188/MAX($J188,1)+ROW()/100000)</f>
        <v/>
      </c>
    </row>
    <row r="189" ht="21" customHeight="1">
      <c r="A189" s="1" t="n"/>
      <c r="B189" s="1" t="n"/>
      <c r="C189" s="2" t="n"/>
      <c r="E189" s="127" t="n"/>
      <c r="F189" s="127" t="n"/>
      <c r="G189" s="127" t="n"/>
      <c r="H189" s="127" t="n"/>
      <c r="I189" s="128" t="n"/>
      <c r="J189" s="128" t="n"/>
      <c r="K189" s="140" t="n"/>
      <c r="L189" s="127" t="n"/>
      <c r="M189" s="129">
        <f>IF($E189="","",SUMIFS(MOV_Qte,MOV_Code,$E189,MOV_Type,"Entrée"))</f>
        <v/>
      </c>
      <c r="N189" s="129">
        <f>IF($E189="","",SUMIFS(MOV_Qte,MOV_Code,$E189,MOV_Type,"Sortie"))</f>
        <v/>
      </c>
      <c r="O189" s="129">
        <f>IF($E189="","",$I189+$M189-$N189)</f>
        <v/>
      </c>
      <c r="P189" s="135">
        <f>IF($E189="","",$O189*$K189)</f>
        <v/>
      </c>
      <c r="Q189" s="130">
        <f>IF($E189="","",IF($O189&lt;=0,"Rupture",IF($O189&lt;=$J189,"Stock faible","En stock")))</f>
        <v/>
      </c>
      <c r="S189">
        <f>IF(OR($E189="",$Q189="En stock"),"",$O189/MAX($J189,1)+ROW()/100000)</f>
        <v/>
      </c>
    </row>
    <row r="190" ht="21" customHeight="1">
      <c r="A190" s="1" t="n"/>
      <c r="B190" s="1" t="n"/>
      <c r="C190" s="2" t="n"/>
      <c r="E190" s="127" t="n"/>
      <c r="F190" s="127" t="n"/>
      <c r="G190" s="127" t="n"/>
      <c r="H190" s="127" t="n"/>
      <c r="I190" s="128" t="n"/>
      <c r="J190" s="128" t="n"/>
      <c r="K190" s="140" t="n"/>
      <c r="L190" s="127" t="n"/>
      <c r="M190" s="129">
        <f>IF($E190="","",SUMIFS(MOV_Qte,MOV_Code,$E190,MOV_Type,"Entrée"))</f>
        <v/>
      </c>
      <c r="N190" s="129">
        <f>IF($E190="","",SUMIFS(MOV_Qte,MOV_Code,$E190,MOV_Type,"Sortie"))</f>
        <v/>
      </c>
      <c r="O190" s="129">
        <f>IF($E190="","",$I190+$M190-$N190)</f>
        <v/>
      </c>
      <c r="P190" s="135">
        <f>IF($E190="","",$O190*$K190)</f>
        <v/>
      </c>
      <c r="Q190" s="130">
        <f>IF($E190="","",IF($O190&lt;=0,"Rupture",IF($O190&lt;=$J190,"Stock faible","En stock")))</f>
        <v/>
      </c>
      <c r="S190">
        <f>IF(OR($E190="",$Q190="En stock"),"",$O190/MAX($J190,1)+ROW()/100000)</f>
        <v/>
      </c>
    </row>
    <row r="191" ht="21" customHeight="1">
      <c r="A191" s="1" t="n"/>
      <c r="B191" s="1" t="n"/>
      <c r="C191" s="2" t="n"/>
      <c r="E191" s="127" t="n"/>
      <c r="F191" s="127" t="n"/>
      <c r="G191" s="127" t="n"/>
      <c r="H191" s="127" t="n"/>
      <c r="I191" s="128" t="n"/>
      <c r="J191" s="128" t="n"/>
      <c r="K191" s="140" t="n"/>
      <c r="L191" s="127" t="n"/>
      <c r="M191" s="129">
        <f>IF($E191="","",SUMIFS(MOV_Qte,MOV_Code,$E191,MOV_Type,"Entrée"))</f>
        <v/>
      </c>
      <c r="N191" s="129">
        <f>IF($E191="","",SUMIFS(MOV_Qte,MOV_Code,$E191,MOV_Type,"Sortie"))</f>
        <v/>
      </c>
      <c r="O191" s="129">
        <f>IF($E191="","",$I191+$M191-$N191)</f>
        <v/>
      </c>
      <c r="P191" s="135">
        <f>IF($E191="","",$O191*$K191)</f>
        <v/>
      </c>
      <c r="Q191" s="130">
        <f>IF($E191="","",IF($O191&lt;=0,"Rupture",IF($O191&lt;=$J191,"Stock faible","En stock")))</f>
        <v/>
      </c>
      <c r="S191">
        <f>IF(OR($E191="",$Q191="En stock"),"",$O191/MAX($J191,1)+ROW()/100000)</f>
        <v/>
      </c>
    </row>
    <row r="192" ht="21" customHeight="1">
      <c r="A192" s="1" t="n"/>
      <c r="B192" s="1" t="n"/>
      <c r="C192" s="2" t="n"/>
      <c r="E192" s="127" t="n"/>
      <c r="F192" s="127" t="n"/>
      <c r="G192" s="127" t="n"/>
      <c r="H192" s="127" t="n"/>
      <c r="I192" s="128" t="n"/>
      <c r="J192" s="128" t="n"/>
      <c r="K192" s="140" t="n"/>
      <c r="L192" s="127" t="n"/>
      <c r="M192" s="129">
        <f>IF($E192="","",SUMIFS(MOV_Qte,MOV_Code,$E192,MOV_Type,"Entrée"))</f>
        <v/>
      </c>
      <c r="N192" s="129">
        <f>IF($E192="","",SUMIFS(MOV_Qte,MOV_Code,$E192,MOV_Type,"Sortie"))</f>
        <v/>
      </c>
      <c r="O192" s="129">
        <f>IF($E192="","",$I192+$M192-$N192)</f>
        <v/>
      </c>
      <c r="P192" s="135">
        <f>IF($E192="","",$O192*$K192)</f>
        <v/>
      </c>
      <c r="Q192" s="130">
        <f>IF($E192="","",IF($O192&lt;=0,"Rupture",IF($O192&lt;=$J192,"Stock faible","En stock")))</f>
        <v/>
      </c>
      <c r="S192">
        <f>IF(OR($E192="",$Q192="En stock"),"",$O192/MAX($J192,1)+ROW()/100000)</f>
        <v/>
      </c>
    </row>
    <row r="193" ht="21" customHeight="1">
      <c r="A193" s="1" t="n"/>
      <c r="B193" s="1" t="n"/>
      <c r="C193" s="2" t="n"/>
      <c r="E193" s="127" t="n"/>
      <c r="F193" s="127" t="n"/>
      <c r="G193" s="127" t="n"/>
      <c r="H193" s="127" t="n"/>
      <c r="I193" s="128" t="n"/>
      <c r="J193" s="128" t="n"/>
      <c r="K193" s="140" t="n"/>
      <c r="L193" s="127" t="n"/>
      <c r="M193" s="129">
        <f>IF($E193="","",SUMIFS(MOV_Qte,MOV_Code,$E193,MOV_Type,"Entrée"))</f>
        <v/>
      </c>
      <c r="N193" s="129">
        <f>IF($E193="","",SUMIFS(MOV_Qte,MOV_Code,$E193,MOV_Type,"Sortie"))</f>
        <v/>
      </c>
      <c r="O193" s="129">
        <f>IF($E193="","",$I193+$M193-$N193)</f>
        <v/>
      </c>
      <c r="P193" s="135">
        <f>IF($E193="","",$O193*$K193)</f>
        <v/>
      </c>
      <c r="Q193" s="130">
        <f>IF($E193="","",IF($O193&lt;=0,"Rupture",IF($O193&lt;=$J193,"Stock faible","En stock")))</f>
        <v/>
      </c>
      <c r="S193">
        <f>IF(OR($E193="",$Q193="En stock"),"",$O193/MAX($J193,1)+ROW()/100000)</f>
        <v/>
      </c>
    </row>
    <row r="194" ht="21" customHeight="1">
      <c r="A194" s="1" t="n"/>
      <c r="B194" s="1" t="n"/>
      <c r="C194" s="2" t="n"/>
      <c r="E194" s="127" t="n"/>
      <c r="F194" s="127" t="n"/>
      <c r="G194" s="127" t="n"/>
      <c r="H194" s="127" t="n"/>
      <c r="I194" s="128" t="n"/>
      <c r="J194" s="128" t="n"/>
      <c r="K194" s="140" t="n"/>
      <c r="L194" s="127" t="n"/>
      <c r="M194" s="129">
        <f>IF($E194="","",SUMIFS(MOV_Qte,MOV_Code,$E194,MOV_Type,"Entrée"))</f>
        <v/>
      </c>
      <c r="N194" s="129">
        <f>IF($E194="","",SUMIFS(MOV_Qte,MOV_Code,$E194,MOV_Type,"Sortie"))</f>
        <v/>
      </c>
      <c r="O194" s="129">
        <f>IF($E194="","",$I194+$M194-$N194)</f>
        <v/>
      </c>
      <c r="P194" s="135">
        <f>IF($E194="","",$O194*$K194)</f>
        <v/>
      </c>
      <c r="Q194" s="130">
        <f>IF($E194="","",IF($O194&lt;=0,"Rupture",IF($O194&lt;=$J194,"Stock faible","En stock")))</f>
        <v/>
      </c>
      <c r="S194">
        <f>IF(OR($E194="",$Q194="En stock"),"",$O194/MAX($J194,1)+ROW()/100000)</f>
        <v/>
      </c>
    </row>
    <row r="195" ht="21" customHeight="1">
      <c r="A195" s="1" t="n"/>
      <c r="B195" s="1" t="n"/>
      <c r="C195" s="2" t="n"/>
      <c r="E195" s="127" t="n"/>
      <c r="F195" s="127" t="n"/>
      <c r="G195" s="127" t="n"/>
      <c r="H195" s="127" t="n"/>
      <c r="I195" s="128" t="n"/>
      <c r="J195" s="128" t="n"/>
      <c r="K195" s="140" t="n"/>
      <c r="L195" s="127" t="n"/>
      <c r="M195" s="129">
        <f>IF($E195="","",SUMIFS(MOV_Qte,MOV_Code,$E195,MOV_Type,"Entrée"))</f>
        <v/>
      </c>
      <c r="N195" s="129">
        <f>IF($E195="","",SUMIFS(MOV_Qte,MOV_Code,$E195,MOV_Type,"Sortie"))</f>
        <v/>
      </c>
      <c r="O195" s="129">
        <f>IF($E195="","",$I195+$M195-$N195)</f>
        <v/>
      </c>
      <c r="P195" s="135">
        <f>IF($E195="","",$O195*$K195)</f>
        <v/>
      </c>
      <c r="Q195" s="130">
        <f>IF($E195="","",IF($O195&lt;=0,"Rupture",IF($O195&lt;=$J195,"Stock faible","En stock")))</f>
        <v/>
      </c>
      <c r="S195">
        <f>IF(OR($E195="",$Q195="En stock"),"",$O195/MAX($J195,1)+ROW()/100000)</f>
        <v/>
      </c>
    </row>
    <row r="196" ht="21" customHeight="1">
      <c r="A196" s="1" t="n"/>
      <c r="B196" s="1" t="n"/>
      <c r="C196" s="2" t="n"/>
      <c r="E196" s="127" t="n"/>
      <c r="F196" s="127" t="n"/>
      <c r="G196" s="127" t="n"/>
      <c r="H196" s="127" t="n"/>
      <c r="I196" s="128" t="n"/>
      <c r="J196" s="128" t="n"/>
      <c r="K196" s="140" t="n"/>
      <c r="L196" s="127" t="n"/>
      <c r="M196" s="129">
        <f>IF($E196="","",SUMIFS(MOV_Qte,MOV_Code,$E196,MOV_Type,"Entrée"))</f>
        <v/>
      </c>
      <c r="N196" s="129">
        <f>IF($E196="","",SUMIFS(MOV_Qte,MOV_Code,$E196,MOV_Type,"Sortie"))</f>
        <v/>
      </c>
      <c r="O196" s="129">
        <f>IF($E196="","",$I196+$M196-$N196)</f>
        <v/>
      </c>
      <c r="P196" s="135">
        <f>IF($E196="","",$O196*$K196)</f>
        <v/>
      </c>
      <c r="Q196" s="130">
        <f>IF($E196="","",IF($O196&lt;=0,"Rupture",IF($O196&lt;=$J196,"Stock faible","En stock")))</f>
        <v/>
      </c>
      <c r="S196">
        <f>IF(OR($E196="",$Q196="En stock"),"",$O196/MAX($J196,1)+ROW()/100000)</f>
        <v/>
      </c>
    </row>
    <row r="197" ht="21" customHeight="1">
      <c r="A197" s="1" t="n"/>
      <c r="B197" s="1" t="n"/>
      <c r="C197" s="2" t="n"/>
      <c r="E197" s="127" t="n"/>
      <c r="F197" s="127" t="n"/>
      <c r="G197" s="127" t="n"/>
      <c r="H197" s="127" t="n"/>
      <c r="I197" s="128" t="n"/>
      <c r="J197" s="128" t="n"/>
      <c r="K197" s="140" t="n"/>
      <c r="L197" s="127" t="n"/>
      <c r="M197" s="129">
        <f>IF($E197="","",SUMIFS(MOV_Qte,MOV_Code,$E197,MOV_Type,"Entrée"))</f>
        <v/>
      </c>
      <c r="N197" s="129">
        <f>IF($E197="","",SUMIFS(MOV_Qte,MOV_Code,$E197,MOV_Type,"Sortie"))</f>
        <v/>
      </c>
      <c r="O197" s="129">
        <f>IF($E197="","",$I197+$M197-$N197)</f>
        <v/>
      </c>
      <c r="P197" s="135">
        <f>IF($E197="","",$O197*$K197)</f>
        <v/>
      </c>
      <c r="Q197" s="130">
        <f>IF($E197="","",IF($O197&lt;=0,"Rupture",IF($O197&lt;=$J197,"Stock faible","En stock")))</f>
        <v/>
      </c>
      <c r="S197">
        <f>IF(OR($E197="",$Q197="En stock"),"",$O197/MAX($J197,1)+ROW()/100000)</f>
        <v/>
      </c>
    </row>
    <row r="198" ht="21" customHeight="1">
      <c r="A198" s="1" t="n"/>
      <c r="B198" s="1" t="n"/>
      <c r="C198" s="2" t="n"/>
      <c r="E198" s="127" t="n"/>
      <c r="F198" s="127" t="n"/>
      <c r="G198" s="127" t="n"/>
      <c r="H198" s="127" t="n"/>
      <c r="I198" s="128" t="n"/>
      <c r="J198" s="128" t="n"/>
      <c r="K198" s="140" t="n"/>
      <c r="L198" s="127" t="n"/>
      <c r="M198" s="129">
        <f>IF($E198="","",SUMIFS(MOV_Qte,MOV_Code,$E198,MOV_Type,"Entrée"))</f>
        <v/>
      </c>
      <c r="N198" s="129">
        <f>IF($E198="","",SUMIFS(MOV_Qte,MOV_Code,$E198,MOV_Type,"Sortie"))</f>
        <v/>
      </c>
      <c r="O198" s="129">
        <f>IF($E198="","",$I198+$M198-$N198)</f>
        <v/>
      </c>
      <c r="P198" s="135">
        <f>IF($E198="","",$O198*$K198)</f>
        <v/>
      </c>
      <c r="Q198" s="130">
        <f>IF($E198="","",IF($O198&lt;=0,"Rupture",IF($O198&lt;=$J198,"Stock faible","En stock")))</f>
        <v/>
      </c>
      <c r="S198">
        <f>IF(OR($E198="",$Q198="En stock"),"",$O198/MAX($J198,1)+ROW()/100000)</f>
        <v/>
      </c>
    </row>
    <row r="199" ht="21" customHeight="1">
      <c r="A199" s="1" t="n"/>
      <c r="B199" s="1" t="n"/>
      <c r="C199" s="2" t="n"/>
      <c r="E199" s="127" t="n"/>
      <c r="F199" s="127" t="n"/>
      <c r="G199" s="127" t="n"/>
      <c r="H199" s="127" t="n"/>
      <c r="I199" s="128" t="n"/>
      <c r="J199" s="128" t="n"/>
      <c r="K199" s="140" t="n"/>
      <c r="L199" s="127" t="n"/>
      <c r="M199" s="129">
        <f>IF($E199="","",SUMIFS(MOV_Qte,MOV_Code,$E199,MOV_Type,"Entrée"))</f>
        <v/>
      </c>
      <c r="N199" s="129">
        <f>IF($E199="","",SUMIFS(MOV_Qte,MOV_Code,$E199,MOV_Type,"Sortie"))</f>
        <v/>
      </c>
      <c r="O199" s="129">
        <f>IF($E199="","",$I199+$M199-$N199)</f>
        <v/>
      </c>
      <c r="P199" s="135">
        <f>IF($E199="","",$O199*$K199)</f>
        <v/>
      </c>
      <c r="Q199" s="130">
        <f>IF($E199="","",IF($O199&lt;=0,"Rupture",IF($O199&lt;=$J199,"Stock faible","En stock")))</f>
        <v/>
      </c>
      <c r="S199">
        <f>IF(OR($E199="",$Q199="En stock"),"",$O199/MAX($J199,1)+ROW()/100000)</f>
        <v/>
      </c>
    </row>
    <row r="200" ht="21" customHeight="1">
      <c r="A200" s="1" t="n"/>
      <c r="B200" s="1" t="n"/>
      <c r="C200" s="2" t="n"/>
      <c r="E200" s="127" t="n"/>
      <c r="F200" s="127" t="n"/>
      <c r="G200" s="127" t="n"/>
      <c r="H200" s="127" t="n"/>
      <c r="I200" s="128" t="n"/>
      <c r="J200" s="128" t="n"/>
      <c r="K200" s="140" t="n"/>
      <c r="L200" s="127" t="n"/>
      <c r="M200" s="129">
        <f>IF($E200="","",SUMIFS(MOV_Qte,MOV_Code,$E200,MOV_Type,"Entrée"))</f>
        <v/>
      </c>
      <c r="N200" s="129">
        <f>IF($E200="","",SUMIFS(MOV_Qte,MOV_Code,$E200,MOV_Type,"Sortie"))</f>
        <v/>
      </c>
      <c r="O200" s="129">
        <f>IF($E200="","",$I200+$M200-$N200)</f>
        <v/>
      </c>
      <c r="P200" s="135">
        <f>IF($E200="","",$O200*$K200)</f>
        <v/>
      </c>
      <c r="Q200" s="130">
        <f>IF($E200="","",IF($O200&lt;=0,"Rupture",IF($O200&lt;=$J200,"Stock faible","En stock")))</f>
        <v/>
      </c>
      <c r="S200">
        <f>IF(OR($E200="",$Q200="En stock"),"",$O200/MAX($J200,1)+ROW()/100000)</f>
        <v/>
      </c>
    </row>
    <row r="201" ht="21" customHeight="1">
      <c r="A201" s="1" t="n"/>
      <c r="B201" s="1" t="n"/>
      <c r="C201" s="2" t="n"/>
      <c r="E201" s="127" t="n"/>
      <c r="F201" s="127" t="n"/>
      <c r="G201" s="127" t="n"/>
      <c r="H201" s="127" t="n"/>
      <c r="I201" s="128" t="n"/>
      <c r="J201" s="128" t="n"/>
      <c r="K201" s="140" t="n"/>
      <c r="L201" s="127" t="n"/>
      <c r="M201" s="129">
        <f>IF($E201="","",SUMIFS(MOV_Qte,MOV_Code,$E201,MOV_Type,"Entrée"))</f>
        <v/>
      </c>
      <c r="N201" s="129">
        <f>IF($E201="","",SUMIFS(MOV_Qte,MOV_Code,$E201,MOV_Type,"Sortie"))</f>
        <v/>
      </c>
      <c r="O201" s="129">
        <f>IF($E201="","",$I201+$M201-$N201)</f>
        <v/>
      </c>
      <c r="P201" s="135">
        <f>IF($E201="","",$O201*$K201)</f>
        <v/>
      </c>
      <c r="Q201" s="130">
        <f>IF($E201="","",IF($O201&lt;=0,"Rupture",IF($O201&lt;=$J201,"Stock faible","En stock")))</f>
        <v/>
      </c>
      <c r="S201">
        <f>IF(OR($E201="",$Q201="En stock"),"",$O201/MAX($J201,1)+ROW()/100000)</f>
        <v/>
      </c>
    </row>
    <row r="202" ht="21" customHeight="1">
      <c r="A202" s="1" t="n"/>
      <c r="B202" s="1" t="n"/>
      <c r="C202" s="2" t="n"/>
      <c r="E202" s="127" t="n"/>
      <c r="F202" s="127" t="n"/>
      <c r="G202" s="127" t="n"/>
      <c r="H202" s="127" t="n"/>
      <c r="I202" s="128" t="n"/>
      <c r="J202" s="128" t="n"/>
      <c r="K202" s="140" t="n"/>
      <c r="L202" s="127" t="n"/>
      <c r="M202" s="129">
        <f>IF($E202="","",SUMIFS(MOV_Qte,MOV_Code,$E202,MOV_Type,"Entrée"))</f>
        <v/>
      </c>
      <c r="N202" s="129">
        <f>IF($E202="","",SUMIFS(MOV_Qte,MOV_Code,$E202,MOV_Type,"Sortie"))</f>
        <v/>
      </c>
      <c r="O202" s="129">
        <f>IF($E202="","",$I202+$M202-$N202)</f>
        <v/>
      </c>
      <c r="P202" s="135">
        <f>IF($E202="","",$O202*$K202)</f>
        <v/>
      </c>
      <c r="Q202" s="130">
        <f>IF($E202="","",IF($O202&lt;=0,"Rupture",IF($O202&lt;=$J202,"Stock faible","En stock")))</f>
        <v/>
      </c>
      <c r="S202">
        <f>IF(OR($E202="",$Q202="En stock"),"",$O202/MAX($J202,1)+ROW()/100000)</f>
        <v/>
      </c>
    </row>
    <row r="203" ht="21" customHeight="1">
      <c r="A203" s="1" t="n"/>
      <c r="B203" s="1" t="n"/>
      <c r="C203" s="2" t="n"/>
      <c r="E203" s="127" t="n"/>
      <c r="F203" s="127" t="n"/>
      <c r="G203" s="127" t="n"/>
      <c r="H203" s="127" t="n"/>
      <c r="I203" s="128" t="n"/>
      <c r="J203" s="128" t="n"/>
      <c r="K203" s="140" t="n"/>
      <c r="L203" s="127" t="n"/>
      <c r="M203" s="129">
        <f>IF($E203="","",SUMIFS(MOV_Qte,MOV_Code,$E203,MOV_Type,"Entrée"))</f>
        <v/>
      </c>
      <c r="N203" s="129">
        <f>IF($E203="","",SUMIFS(MOV_Qte,MOV_Code,$E203,MOV_Type,"Sortie"))</f>
        <v/>
      </c>
      <c r="O203" s="129">
        <f>IF($E203="","",$I203+$M203-$N203)</f>
        <v/>
      </c>
      <c r="P203" s="135">
        <f>IF($E203="","",$O203*$K203)</f>
        <v/>
      </c>
      <c r="Q203" s="130">
        <f>IF($E203="","",IF($O203&lt;=0,"Rupture",IF($O203&lt;=$J203,"Stock faible","En stock")))</f>
        <v/>
      </c>
      <c r="S203">
        <f>IF(OR($E203="",$Q203="En stock"),"",$O203/MAX($J203,1)+ROW()/100000)</f>
        <v/>
      </c>
    </row>
    <row r="204" ht="21" customHeight="1">
      <c r="A204" s="1" t="n"/>
      <c r="B204" s="1" t="n"/>
      <c r="C204" s="2" t="n"/>
      <c r="E204" s="127" t="n"/>
      <c r="F204" s="127" t="n"/>
      <c r="G204" s="127" t="n"/>
      <c r="H204" s="127" t="n"/>
      <c r="I204" s="128" t="n"/>
      <c r="J204" s="128" t="n"/>
      <c r="K204" s="140" t="n"/>
      <c r="L204" s="127" t="n"/>
      <c r="M204" s="129">
        <f>IF($E204="","",SUMIFS(MOV_Qte,MOV_Code,$E204,MOV_Type,"Entrée"))</f>
        <v/>
      </c>
      <c r="N204" s="129">
        <f>IF($E204="","",SUMIFS(MOV_Qte,MOV_Code,$E204,MOV_Type,"Sortie"))</f>
        <v/>
      </c>
      <c r="O204" s="129">
        <f>IF($E204="","",$I204+$M204-$N204)</f>
        <v/>
      </c>
      <c r="P204" s="135">
        <f>IF($E204="","",$O204*$K204)</f>
        <v/>
      </c>
      <c r="Q204" s="130">
        <f>IF($E204="","",IF($O204&lt;=0,"Rupture",IF($O204&lt;=$J204,"Stock faible","En stock")))</f>
        <v/>
      </c>
      <c r="S204">
        <f>IF(OR($E204="",$Q204="En stock"),"",$O204/MAX($J204,1)+ROW()/100000)</f>
        <v/>
      </c>
    </row>
    <row r="205" ht="21" customHeight="1">
      <c r="A205" s="1" t="n"/>
      <c r="B205" s="1" t="n"/>
      <c r="C205" s="2" t="n"/>
      <c r="E205" s="127" t="n"/>
      <c r="F205" s="127" t="n"/>
      <c r="G205" s="127" t="n"/>
      <c r="H205" s="127" t="n"/>
      <c r="I205" s="128" t="n"/>
      <c r="J205" s="128" t="n"/>
      <c r="K205" s="140" t="n"/>
      <c r="L205" s="127" t="n"/>
      <c r="M205" s="129">
        <f>IF($E205="","",SUMIFS(MOV_Qte,MOV_Code,$E205,MOV_Type,"Entrée"))</f>
        <v/>
      </c>
      <c r="N205" s="129">
        <f>IF($E205="","",SUMIFS(MOV_Qte,MOV_Code,$E205,MOV_Type,"Sortie"))</f>
        <v/>
      </c>
      <c r="O205" s="129">
        <f>IF($E205="","",$I205+$M205-$N205)</f>
        <v/>
      </c>
      <c r="P205" s="135">
        <f>IF($E205="","",$O205*$K205)</f>
        <v/>
      </c>
      <c r="Q205" s="130">
        <f>IF($E205="","",IF($O205&lt;=0,"Rupture",IF($O205&lt;=$J205,"Stock faible","En stock")))</f>
        <v/>
      </c>
      <c r="S205">
        <f>IF(OR($E205="",$Q205="En stock"),"",$O205/MAX($J205,1)+ROW()/100000)</f>
        <v/>
      </c>
    </row>
    <row r="206" ht="21" customHeight="1">
      <c r="A206" s="1" t="n"/>
      <c r="B206" s="1" t="n"/>
      <c r="C206" s="2" t="n"/>
      <c r="E206" s="127" t="n"/>
      <c r="F206" s="127" t="n"/>
      <c r="G206" s="127" t="n"/>
      <c r="H206" s="127" t="n"/>
      <c r="I206" s="128" t="n"/>
      <c r="J206" s="128" t="n"/>
      <c r="K206" s="140" t="n"/>
      <c r="L206" s="127" t="n"/>
      <c r="M206" s="129">
        <f>IF($E206="","",SUMIFS(MOV_Qte,MOV_Code,$E206,MOV_Type,"Entrée"))</f>
        <v/>
      </c>
      <c r="N206" s="129">
        <f>IF($E206="","",SUMIFS(MOV_Qte,MOV_Code,$E206,MOV_Type,"Sortie"))</f>
        <v/>
      </c>
      <c r="O206" s="129">
        <f>IF($E206="","",$I206+$M206-$N206)</f>
        <v/>
      </c>
      <c r="P206" s="135">
        <f>IF($E206="","",$O206*$K206)</f>
        <v/>
      </c>
      <c r="Q206" s="130">
        <f>IF($E206="","",IF($O206&lt;=0,"Rupture",IF($O206&lt;=$J206,"Stock faible","En stock")))</f>
        <v/>
      </c>
      <c r="S206">
        <f>IF(OR($E206="",$Q206="En stock"),"",$O206/MAX($J206,1)+ROW()/100000)</f>
        <v/>
      </c>
    </row>
    <row r="207">
      <c r="A207" s="1" t="n"/>
      <c r="B207" s="1" t="n"/>
      <c r="C207" s="2" t="n"/>
    </row>
    <row r="208">
      <c r="A208" s="1" t="n"/>
      <c r="B208" s="1" t="n"/>
      <c r="C208" s="2" t="n"/>
    </row>
  </sheetData>
  <autoFilter ref="E6:Q206"/>
  <mergeCells count="15">
    <mergeCell ref="B13:C13"/>
    <mergeCell ref="G4:H4"/>
    <mergeCell ref="E4:F4"/>
    <mergeCell ref="B16:C16"/>
    <mergeCell ref="I4:J4"/>
    <mergeCell ref="B15:C15"/>
    <mergeCell ref="B11:C11"/>
    <mergeCell ref="K4:L4"/>
    <mergeCell ref="N2:O2"/>
    <mergeCell ref="B10:C10"/>
    <mergeCell ref="P2:Q2"/>
    <mergeCell ref="B14:C14"/>
    <mergeCell ref="B9:C9"/>
    <mergeCell ref="B8:C8"/>
    <mergeCell ref="B12:C12"/>
  </mergeCells>
  <conditionalFormatting sqref="Q7:Q206">
    <cfRule type="expression" priority="1" dxfId="2" stopIfTrue="1">
      <formula>OR($Q7="Disponible",$Q7="Rendu",$Q7="En stock",$Q7="Actif",$Q7="Entrée",$Q7="Oui")</formula>
    </cfRule>
    <cfRule type="expression" priority="2" dxfId="3" stopIfTrue="1">
      <formula>OR($Q7="En retard",$Q7="Rupture",$Q7="Indisponible",$Q7="Non")</formula>
    </cfRule>
    <cfRule type="expression" priority="3" dxfId="4" stopIfTrue="1">
      <formula>OR($Q7="Stock faible",$Q7="Dernier exemplaire",$Q7="Rendu en retard",$Q7="Limite atteinte",$Q7="Sortie")</formula>
    </cfRule>
    <cfRule type="expression" priority="4" dxfId="5" stopIfTrue="1">
      <formula>OR($Q7="En cours")</formula>
    </cfRule>
  </conditionalFormatting>
  <conditionalFormatting sqref="O7:O206">
    <cfRule type="expression" priority="5" dxfId="1">
      <formula>AND($E7&lt;&gt;"",$O7&lt;=$J7)</formula>
    </cfRule>
  </conditionalFormatting>
  <conditionalFormatting sqref="E7:Q206">
    <cfRule type="expression" priority="6" dxfId="6">
      <formula>AND($E7&lt;&gt;"",MOD(ROW(),2)=0)</formula>
    </cfRule>
  </conditionalFormatting>
  <dataValidations count="3">
    <dataValidation sqref="G7:G206" showDropDown="0" showInputMessage="0" showErrorMessage="1" allowBlank="1" errorTitle="Valeur non valide" error="Choisissez une catégorie de la liste." type="list">
      <formula1>=L_CatFourn</formula1>
    </dataValidation>
    <dataValidation sqref="H7:H206" showDropDown="0" showInputMessage="0" showErrorMessage="1" allowBlank="1" errorTitle="Valeur non valide" error="Choisissez une unité de la liste." type="list">
      <formula1>=L_Unites</formula1>
    </dataValidation>
    <dataValidation sqref="I7:J206" showDropDown="0" showInputMessage="0" showErrorMessage="1" allowBlank="1" errorTitle="Nombre non valide" error="Saisissez un nombre entier ≥ 0." type="whole" operator="greaterThanOrEqual">
      <formula1>0</formula1>
    </dataValidation>
  </dataValidations>
  <pageMargins left="0.75" right="0.75" top="1" bottom="1" header="0.5" footer="0.5"/>
  <pageSetup orientation="landscape" fitToHeight="0" fitToWidth="1"/>
  <drawing xmlns:r="http://schemas.openxmlformats.org/officeDocument/2006/relationships" r:id="rId1"/>
</worksheet>
</file>

<file path=xl/worksheets/sheet6.xml><?xml version="1.0" encoding="utf-8"?>
<worksheet xmlns="http://schemas.openxmlformats.org/spreadsheetml/2006/main">
  <sheetPr>
    <tabColor rgb="007A8B9A"/>
    <outlinePr summaryBelow="1" summaryRight="1"/>
    <pageSetUpPr fitToPage="1"/>
  </sheetPr>
  <dimension ref="A1:L1008"/>
  <sheetViews>
    <sheetView showGridLines="0" zoomScale="100" workbookViewId="0">
      <pane xSplit="4" ySplit="6" topLeftCell="E7" activePane="bottomRight" state="frozen"/>
      <selection pane="topRight"/>
      <selection pane="bottomLeft"/>
      <selection pane="bottomRight" activeCell="A1" sqref="A1"/>
    </sheetView>
  </sheetViews>
  <sheetFormatPr baseColWidth="8" defaultRowHeight="15"/>
  <cols>
    <col width="1" customWidth="1" min="1" max="1"/>
    <col width="23" customWidth="1" min="2" max="2"/>
    <col width="12" customWidth="1" min="3" max="3"/>
    <col width="3" customWidth="1" min="4" max="4"/>
    <col width="11" customWidth="1" min="5" max="5"/>
    <col width="13" customWidth="1" min="6" max="6"/>
    <col width="12" customWidth="1" min="7" max="7"/>
    <col width="28" customWidth="1" min="8" max="8"/>
    <col width="11" customWidth="1" min="9" max="9"/>
    <col width="10" customWidth="1" min="10" max="10"/>
    <col width="26" customWidth="1" min="11" max="11"/>
    <col width="28" customWidth="1" min="12" max="12"/>
  </cols>
  <sheetData>
    <row r="1" ht="8" customHeight="1">
      <c r="A1" s="1" t="n"/>
      <c r="B1" s="1" t="n"/>
      <c r="C1" s="2" t="n"/>
    </row>
    <row r="2" ht="32" customHeight="1">
      <c r="A2" s="1" t="n"/>
      <c r="B2" s="1" t="n"/>
      <c r="C2" s="2" t="n"/>
      <c r="E2" s="113" t="inlineStr">
        <is>
          <t>↕  Mouvements de stock</t>
        </is>
      </c>
      <c r="I2" s="114">
        <f>HYPERLINK("#'Tableau de bord'!A1","⌂  Tableau de bord")</f>
        <v/>
      </c>
      <c r="J2" s="115" t="n"/>
      <c r="K2" s="116">
        <f>HYPERLINK("#'Mouvements'!F"&amp;(7+COUNTIF(MOV_Date,"?*")),"＋  Nouveau mouvement")</f>
        <v/>
      </c>
      <c r="L2" s="117" t="n"/>
    </row>
    <row r="3" ht="18" customHeight="1">
      <c r="A3" s="1" t="n"/>
      <c r="B3" s="1" t="n"/>
      <c r="C3" s="2" t="n"/>
      <c r="E3" s="118" t="inlineStr">
        <is>
          <t>Chaque entrée (achat) ou sortie (distribution) met à jour le stock automatiquement.</t>
        </is>
      </c>
    </row>
    <row r="4" ht="26" customHeight="1">
      <c r="A4" s="1" t="n"/>
      <c r="B4" s="1" t="n"/>
      <c r="C4" s="2" t="n"/>
      <c r="E4" s="121">
        <f>COUNTIF(MOV_Type,"Entrée")&amp;" entrées"</f>
        <v/>
      </c>
      <c r="F4" s="122" t="n"/>
      <c r="G4" s="136">
        <f>COUNTIF(MOV_Type,"Sortie")&amp;" sorties"</f>
        <v/>
      </c>
      <c r="H4" s="137" t="n"/>
      <c r="I4" s="119">
        <f>SUMIFS(MOV_Qte,MOV_Type,"Sortie",MOV_Date,"&gt;="&amp;(TODAY()-30))&amp;" unités sorties / 30 j"</f>
        <v/>
      </c>
      <c r="J4" s="120" t="n"/>
    </row>
    <row r="5" ht="10" customHeight="1">
      <c r="A5" s="1" t="n"/>
      <c r="B5" s="1" t="n"/>
      <c r="C5" s="2" t="n"/>
    </row>
    <row r="6" ht="30" customHeight="1">
      <c r="A6" s="1" t="n"/>
      <c r="B6" s="1" t="n"/>
      <c r="C6" s="2" t="n"/>
      <c r="E6" s="126" t="inlineStr">
        <is>
          <t>N°</t>
        </is>
      </c>
      <c r="F6" s="124" t="inlineStr">
        <is>
          <t>Date</t>
        </is>
      </c>
      <c r="G6" s="124" t="inlineStr">
        <is>
          <t>Code article</t>
        </is>
      </c>
      <c r="H6" s="126" t="inlineStr">
        <is>
          <t>Article</t>
        </is>
      </c>
      <c r="I6" s="124" t="inlineStr">
        <is>
          <t>Type</t>
        </is>
      </c>
      <c r="J6" s="124" t="inlineStr">
        <is>
          <t>Quantité</t>
        </is>
      </c>
      <c r="K6" s="124" t="inlineStr">
        <is>
          <t>Bénéficiaire / Fournisseur</t>
        </is>
      </c>
      <c r="L6" s="124" t="inlineStr">
        <is>
          <t>Remarque</t>
        </is>
      </c>
    </row>
    <row r="7" ht="21" customHeight="1">
      <c r="A7" s="1" t="n"/>
      <c r="B7" s="1" t="n"/>
      <c r="C7" s="2" t="n"/>
      <c r="E7" s="130">
        <f>IF($F7="","","MVT-"&amp;TEXT(ROW()-6,"0000"))</f>
        <v/>
      </c>
      <c r="F7" s="134" t="n">
        <v>46209</v>
      </c>
      <c r="G7" s="127" t="inlineStr">
        <is>
          <t>FOU-002</t>
        </is>
      </c>
      <c r="H7" s="130">
        <f>IF($G7="","",IFERROR(INDEX(FOU_Article,MATCH($G7,FOU_Code,0)),"⚠ Code inconnu"))</f>
        <v/>
      </c>
      <c r="I7" s="127" t="inlineStr">
        <is>
          <t>Sortie</t>
        </is>
      </c>
      <c r="J7" s="128" t="n">
        <v>2</v>
      </c>
      <c r="K7" s="127" t="inlineStr">
        <is>
          <t>Secrétariat</t>
        </is>
      </c>
      <c r="L7" s="127" t="inlineStr"/>
    </row>
    <row r="8" ht="21" customHeight="1">
      <c r="A8" s="1" t="n"/>
      <c r="B8" s="53">
        <f>HYPERLINK("#'Tableau de bord'!A1","▦   Tableau de bord")</f>
        <v/>
      </c>
      <c r="C8" s="54" t="n"/>
      <c r="E8" s="130">
        <f>IF($F8="","","MVT-"&amp;TEXT(ROW()-6,"0000"))</f>
        <v/>
      </c>
      <c r="F8" s="134" t="n">
        <v>46209</v>
      </c>
      <c r="G8" s="127" t="inlineStr">
        <is>
          <t>FOU-007</t>
        </is>
      </c>
      <c r="H8" s="130">
        <f>IF($G8="","",IFERROR(INDEX(FOU_Article,MATCH($G8,FOU_Code,0)),"⚠ Code inconnu"))</f>
        <v/>
      </c>
      <c r="I8" s="127" t="inlineStr">
        <is>
          <t>Sortie</t>
        </is>
      </c>
      <c r="J8" s="128" t="n">
        <v>2</v>
      </c>
      <c r="K8" s="127" t="inlineStr">
        <is>
          <t>Primaire</t>
        </is>
      </c>
      <c r="L8" s="127" t="inlineStr"/>
    </row>
    <row r="9" ht="21" customHeight="1">
      <c r="A9" s="1" t="n"/>
      <c r="B9" s="53">
        <f>HYPERLINK("#'Livres'!A1","📚   Livres")</f>
        <v/>
      </c>
      <c r="C9" s="54" t="n"/>
      <c r="E9" s="130">
        <f>IF($F9="","","MVT-"&amp;TEXT(ROW()-6,"0000"))</f>
        <v/>
      </c>
      <c r="F9" s="134" t="n">
        <v>46210</v>
      </c>
      <c r="G9" s="127" t="inlineStr">
        <is>
          <t>FOU-016</t>
        </is>
      </c>
      <c r="H9" s="130">
        <f>IF($G9="","",IFERROR(INDEX(FOU_Article,MATCH($G9,FOU_Code,0)),"⚠ Code inconnu"))</f>
        <v/>
      </c>
      <c r="I9" s="127" t="inlineStr">
        <is>
          <t>Sortie</t>
        </is>
      </c>
      <c r="J9" s="128" t="n">
        <v>3</v>
      </c>
      <c r="K9" s="127" t="inlineStr">
        <is>
          <t>Primaire</t>
        </is>
      </c>
      <c r="L9" s="127" t="inlineStr"/>
    </row>
    <row r="10" ht="21" customHeight="1">
      <c r="A10" s="1" t="n"/>
      <c r="B10" s="53">
        <f>HYPERLINK("#'Membres'!A1","👥   Membres")</f>
        <v/>
      </c>
      <c r="C10" s="54" t="n"/>
      <c r="E10" s="130">
        <f>IF($F10="","","MVT-"&amp;TEXT(ROW()-6,"0000"))</f>
        <v/>
      </c>
      <c r="F10" s="134" t="n">
        <v>46211</v>
      </c>
      <c r="G10" s="127" t="inlineStr">
        <is>
          <t>FOU-006</t>
        </is>
      </c>
      <c r="H10" s="130">
        <f>IF($G10="","",IFERROR(INDEX(FOU_Article,MATCH($G10,FOU_Code,0)),"⚠ Code inconnu"))</f>
        <v/>
      </c>
      <c r="I10" s="127" t="inlineStr">
        <is>
          <t>Sortie</t>
        </is>
      </c>
      <c r="J10" s="128" t="n">
        <v>5</v>
      </c>
      <c r="K10" s="127" t="inlineStr">
        <is>
          <t>Secrétariat</t>
        </is>
      </c>
      <c r="L10" s="127" t="inlineStr"/>
    </row>
    <row r="11" ht="21" customHeight="1">
      <c r="A11" s="1" t="n"/>
      <c r="B11" s="53">
        <f>HYPERLINK("#'Emprunts'!A1","🔄   Emprunts")</f>
        <v/>
      </c>
      <c r="C11" s="54" t="n"/>
      <c r="E11" s="130">
        <f>IF($F11="","","MVT-"&amp;TEXT(ROW()-6,"0000"))</f>
        <v/>
      </c>
      <c r="F11" s="134" t="n">
        <v>46212</v>
      </c>
      <c r="G11" s="127" t="inlineStr">
        <is>
          <t>FOU-009</t>
        </is>
      </c>
      <c r="H11" s="130">
        <f>IF($G11="","",IFERROR(INDEX(FOU_Article,MATCH($G11,FOU_Code,0)),"⚠ Code inconnu"))</f>
        <v/>
      </c>
      <c r="I11" s="127" t="inlineStr">
        <is>
          <t>Sortie</t>
        </is>
      </c>
      <c r="J11" s="128" t="n">
        <v>3</v>
      </c>
      <c r="K11" s="127" t="inlineStr">
        <is>
          <t>Secrétariat</t>
        </is>
      </c>
      <c r="L11" s="127" t="inlineStr"/>
    </row>
    <row r="12" ht="21" customHeight="1">
      <c r="A12" s="1" t="n"/>
      <c r="B12" s="53">
        <f>HYPERLINK("#'Fournitures'!A1","📦   Fournitures")</f>
        <v/>
      </c>
      <c r="C12" s="54" t="n"/>
      <c r="E12" s="130">
        <f>IF($F12="","","MVT-"&amp;TEXT(ROW()-6,"0000"))</f>
        <v/>
      </c>
      <c r="F12" s="134" t="n">
        <v>46215</v>
      </c>
      <c r="G12" s="127" t="inlineStr">
        <is>
          <t>FOU-006</t>
        </is>
      </c>
      <c r="H12" s="130">
        <f>IF($G12="","",IFERROR(INDEX(FOU_Article,MATCH($G12,FOU_Code,0)),"⚠ Code inconnu"))</f>
        <v/>
      </c>
      <c r="I12" s="127" t="inlineStr">
        <is>
          <t>Sortie</t>
        </is>
      </c>
      <c r="J12" s="128" t="n">
        <v>2</v>
      </c>
      <c r="K12" s="127" t="inlineStr">
        <is>
          <t>Secrétariat</t>
        </is>
      </c>
      <c r="L12" s="127" t="inlineStr"/>
    </row>
    <row r="13" ht="21" customHeight="1">
      <c r="A13" s="45" t="n"/>
      <c r="B13" s="46">
        <f>HYPERLINK("#'Mouvements'!A1","↕   Mouvements de stock")</f>
        <v/>
      </c>
      <c r="C13" s="47" t="n"/>
      <c r="E13" s="130">
        <f>IF($F13="","","MVT-"&amp;TEXT(ROW()-6,"0000"))</f>
        <v/>
      </c>
      <c r="F13" s="134" t="n">
        <v>46216</v>
      </c>
      <c r="G13" s="127" t="inlineStr">
        <is>
          <t>FOU-014</t>
        </is>
      </c>
      <c r="H13" s="130">
        <f>IF($G13="","",IFERROR(INDEX(FOU_Article,MATCH($G13,FOU_Code,0)),"⚠ Code inconnu"))</f>
        <v/>
      </c>
      <c r="I13" s="127" t="inlineStr">
        <is>
          <t>Sortie</t>
        </is>
      </c>
      <c r="J13" s="128" t="n">
        <v>8</v>
      </c>
      <c r="K13" s="127" t="inlineStr">
        <is>
          <t>Salle des profs</t>
        </is>
      </c>
      <c r="L13" s="127" t="inlineStr"/>
    </row>
    <row r="14" ht="21" customHeight="1">
      <c r="A14" s="1" t="n"/>
      <c r="B14" s="53">
        <f>HYPERLINK("#'Recherche'!A1","🔍   Recherche")</f>
        <v/>
      </c>
      <c r="C14" s="54" t="n"/>
      <c r="E14" s="130">
        <f>IF($F14="","","MVT-"&amp;TEXT(ROW()-6,"0000"))</f>
        <v/>
      </c>
      <c r="F14" s="134" t="n">
        <v>46217</v>
      </c>
      <c r="G14" s="127" t="inlineStr">
        <is>
          <t>FOU-007</t>
        </is>
      </c>
      <c r="H14" s="130">
        <f>IF($G14="","",IFERROR(INDEX(FOU_Article,MATCH($G14,FOU_Code,0)),"⚠ Code inconnu"))</f>
        <v/>
      </c>
      <c r="I14" s="127" t="inlineStr">
        <is>
          <t>Sortie</t>
        </is>
      </c>
      <c r="J14" s="128" t="n">
        <v>3</v>
      </c>
      <c r="K14" s="127" t="inlineStr">
        <is>
          <t>Classe de 3ème Hum</t>
        </is>
      </c>
      <c r="L14" s="127" t="inlineStr"/>
    </row>
    <row r="15" ht="21" customHeight="1">
      <c r="A15" s="1" t="n"/>
      <c r="B15" s="53">
        <f>HYPERLINK("#'Rapport mensuel'!A1","🖨   Rapport mensuel")</f>
        <v/>
      </c>
      <c r="C15" s="54" t="n"/>
      <c r="E15" s="130">
        <f>IF($F15="","","MVT-"&amp;TEXT(ROW()-6,"0000"))</f>
        <v/>
      </c>
      <c r="F15" s="134" t="n">
        <v>46219</v>
      </c>
      <c r="G15" s="127" t="inlineStr">
        <is>
          <t>FOU-009</t>
        </is>
      </c>
      <c r="H15" s="130">
        <f>IF($G15="","",IFERROR(INDEX(FOU_Article,MATCH($G15,FOU_Code,0)),"⚠ Code inconnu"))</f>
        <v/>
      </c>
      <c r="I15" s="127" t="inlineStr">
        <is>
          <t>Sortie</t>
        </is>
      </c>
      <c r="J15" s="128" t="n">
        <v>8</v>
      </c>
      <c r="K15" s="127" t="inlineStr">
        <is>
          <t>Bibliothèque</t>
        </is>
      </c>
      <c r="L15" s="127" t="inlineStr"/>
    </row>
    <row r="16" ht="21" customHeight="1">
      <c r="A16" s="1" t="n"/>
      <c r="B16" s="53">
        <f>HYPERLINK("#'Paramètres'!A1","⚙   Paramètres")</f>
        <v/>
      </c>
      <c r="C16" s="54" t="n"/>
      <c r="E16" s="130">
        <f>IF($F16="","","MVT-"&amp;TEXT(ROW()-6,"0000"))</f>
        <v/>
      </c>
      <c r="F16" s="134" t="n">
        <v>46220</v>
      </c>
      <c r="G16" s="127" t="inlineStr">
        <is>
          <t>FOU-003</t>
        </is>
      </c>
      <c r="H16" s="130">
        <f>IF($G16="","",IFERROR(INDEX(FOU_Article,MATCH($G16,FOU_Code,0)),"⚠ Code inconnu"))</f>
        <v/>
      </c>
      <c r="I16" s="127" t="inlineStr">
        <is>
          <t>Sortie</t>
        </is>
      </c>
      <c r="J16" s="128" t="n">
        <v>7</v>
      </c>
      <c r="K16" s="127" t="inlineStr">
        <is>
          <t>Direction</t>
        </is>
      </c>
      <c r="L16" s="127" t="inlineStr"/>
    </row>
    <row r="17" ht="21" customHeight="1">
      <c r="A17" s="1" t="n"/>
      <c r="B17" s="1" t="n"/>
      <c r="C17" s="2" t="n"/>
      <c r="E17" s="130">
        <f>IF($F17="","","MVT-"&amp;TEXT(ROW()-6,"0000"))</f>
        <v/>
      </c>
      <c r="F17" s="134" t="n">
        <v>46220</v>
      </c>
      <c r="G17" s="127" t="inlineStr">
        <is>
          <t>FOU-018</t>
        </is>
      </c>
      <c r="H17" s="130">
        <f>IF($G17="","",IFERROR(INDEX(FOU_Article,MATCH($G17,FOU_Code,0)),"⚠ Code inconnu"))</f>
        <v/>
      </c>
      <c r="I17" s="127" t="inlineStr">
        <is>
          <t>Sortie</t>
        </is>
      </c>
      <c r="J17" s="128" t="n">
        <v>5</v>
      </c>
      <c r="K17" s="127" t="inlineStr">
        <is>
          <t>Classe de 3ème Hum</t>
        </is>
      </c>
      <c r="L17" s="127" t="inlineStr"/>
    </row>
    <row r="18" ht="21" customHeight="1">
      <c r="A18" s="1" t="n"/>
      <c r="B18" s="1" t="n"/>
      <c r="C18" s="2" t="n"/>
      <c r="E18" s="130">
        <f>IF($F18="","","MVT-"&amp;TEXT(ROW()-6,"0000"))</f>
        <v/>
      </c>
      <c r="F18" s="134" t="n">
        <v>46221</v>
      </c>
      <c r="G18" s="127" t="inlineStr">
        <is>
          <t>FOU-006</t>
        </is>
      </c>
      <c r="H18" s="130">
        <f>IF($G18="","",IFERROR(INDEX(FOU_Article,MATCH($G18,FOU_Code,0)),"⚠ Code inconnu"))</f>
        <v/>
      </c>
      <c r="I18" s="127" t="inlineStr">
        <is>
          <t>Sortie</t>
        </is>
      </c>
      <c r="J18" s="128" t="n">
        <v>8</v>
      </c>
      <c r="K18" s="127" t="inlineStr">
        <is>
          <t>Primaire</t>
        </is>
      </c>
      <c r="L18" s="127" t="inlineStr"/>
    </row>
    <row r="19" ht="21" customHeight="1">
      <c r="A19" s="1" t="n"/>
      <c r="B19" s="1" t="n"/>
      <c r="C19" s="2" t="n"/>
      <c r="E19" s="130">
        <f>IF($F19="","","MVT-"&amp;TEXT(ROW()-6,"0000"))</f>
        <v/>
      </c>
      <c r="F19" s="134" t="n">
        <v>46222</v>
      </c>
      <c r="G19" s="127" t="inlineStr">
        <is>
          <t>FOU-013</t>
        </is>
      </c>
      <c r="H19" s="130">
        <f>IF($G19="","",IFERROR(INDEX(FOU_Article,MATCH($G19,FOU_Code,0)),"⚠ Code inconnu"))</f>
        <v/>
      </c>
      <c r="I19" s="127" t="inlineStr">
        <is>
          <t>Sortie</t>
        </is>
      </c>
      <c r="J19" s="128" t="n">
        <v>4</v>
      </c>
      <c r="K19" s="127" t="inlineStr">
        <is>
          <t>Direction</t>
        </is>
      </c>
      <c r="L19" s="127" t="inlineStr"/>
    </row>
    <row r="20" ht="21" customHeight="1">
      <c r="A20" s="1" t="n"/>
      <c r="B20" s="1" t="n"/>
      <c r="C20" s="2" t="n"/>
      <c r="E20" s="130">
        <f>IF($F20="","","MVT-"&amp;TEXT(ROW()-6,"0000"))</f>
        <v/>
      </c>
      <c r="F20" s="134" t="n">
        <v>46225</v>
      </c>
      <c r="G20" s="127" t="inlineStr">
        <is>
          <t>FOU-005</t>
        </is>
      </c>
      <c r="H20" s="130">
        <f>IF($G20="","",IFERROR(INDEX(FOU_Article,MATCH($G20,FOU_Code,0)),"⚠ Code inconnu"))</f>
        <v/>
      </c>
      <c r="I20" s="127" t="inlineStr">
        <is>
          <t>Sortie</t>
        </is>
      </c>
      <c r="J20" s="128" t="n">
        <v>4</v>
      </c>
      <c r="K20" s="127" t="inlineStr">
        <is>
          <t>Primaire</t>
        </is>
      </c>
      <c r="L20" s="127" t="inlineStr"/>
    </row>
    <row r="21" ht="21" customHeight="1">
      <c r="A21" s="1" t="n"/>
      <c r="B21" s="1" t="n"/>
      <c r="C21" s="2" t="n"/>
      <c r="E21" s="130">
        <f>IF($F21="","","MVT-"&amp;TEXT(ROW()-6,"0000"))</f>
        <v/>
      </c>
      <c r="F21" s="134" t="n">
        <v>46225</v>
      </c>
      <c r="G21" s="127" t="inlineStr">
        <is>
          <t>FOU-013</t>
        </is>
      </c>
      <c r="H21" s="130">
        <f>IF($G21="","",IFERROR(INDEX(FOU_Article,MATCH($G21,FOU_Code,0)),"⚠ Code inconnu"))</f>
        <v/>
      </c>
      <c r="I21" s="127" t="inlineStr">
        <is>
          <t>Sortie</t>
        </is>
      </c>
      <c r="J21" s="128" t="n">
        <v>8</v>
      </c>
      <c r="K21" s="127" t="inlineStr">
        <is>
          <t>Direction</t>
        </is>
      </c>
      <c r="L21" s="127" t="inlineStr"/>
    </row>
    <row r="22" ht="21" customHeight="1">
      <c r="A22" s="1" t="n"/>
      <c r="B22" s="1" t="n"/>
      <c r="C22" s="2" t="n"/>
      <c r="E22" s="130">
        <f>IF($F22="","","MVT-"&amp;TEXT(ROW()-6,"0000"))</f>
        <v/>
      </c>
      <c r="F22" s="134" t="n">
        <v>46225</v>
      </c>
      <c r="G22" s="127" t="inlineStr">
        <is>
          <t>FOU-018</t>
        </is>
      </c>
      <c r="H22" s="130">
        <f>IF($G22="","",IFERROR(INDEX(FOU_Article,MATCH($G22,FOU_Code,0)),"⚠ Code inconnu"))</f>
        <v/>
      </c>
      <c r="I22" s="127" t="inlineStr">
        <is>
          <t>Sortie</t>
        </is>
      </c>
      <c r="J22" s="128" t="n">
        <v>8</v>
      </c>
      <c r="K22" s="127" t="inlineStr">
        <is>
          <t>Secrétariat</t>
        </is>
      </c>
      <c r="L22" s="127" t="inlineStr"/>
    </row>
    <row r="23" ht="21" customHeight="1">
      <c r="A23" s="1" t="n"/>
      <c r="B23" s="1" t="n"/>
      <c r="C23" s="2" t="n"/>
      <c r="E23" s="130">
        <f>IF($F23="","","MVT-"&amp;TEXT(ROW()-6,"0000"))</f>
        <v/>
      </c>
      <c r="F23" s="134" t="n">
        <v>46227</v>
      </c>
      <c r="G23" s="127" t="inlineStr">
        <is>
          <t>FOU-005</t>
        </is>
      </c>
      <c r="H23" s="130">
        <f>IF($G23="","",IFERROR(INDEX(FOU_Article,MATCH($G23,FOU_Code,0)),"⚠ Code inconnu"))</f>
        <v/>
      </c>
      <c r="I23" s="127" t="inlineStr">
        <is>
          <t>Sortie</t>
        </is>
      </c>
      <c r="J23" s="128" t="n">
        <v>5</v>
      </c>
      <c r="K23" s="127" t="inlineStr">
        <is>
          <t>Classe de 3ème Hum</t>
        </is>
      </c>
      <c r="L23" s="127" t="inlineStr"/>
    </row>
    <row r="24" ht="21" customHeight="1">
      <c r="A24" s="1" t="n"/>
      <c r="B24" s="1" t="n"/>
      <c r="C24" s="2" t="n"/>
      <c r="E24" s="130">
        <f>IF($F24="","","MVT-"&amp;TEXT(ROW()-6,"0000"))</f>
        <v/>
      </c>
      <c r="F24" s="134" t="n">
        <v>46227</v>
      </c>
      <c r="G24" s="127" t="inlineStr">
        <is>
          <t>FOU-014</t>
        </is>
      </c>
      <c r="H24" s="130">
        <f>IF($G24="","",IFERROR(INDEX(FOU_Article,MATCH($G24,FOU_Code,0)),"⚠ Code inconnu"))</f>
        <v/>
      </c>
      <c r="I24" s="127" t="inlineStr">
        <is>
          <t>Sortie</t>
        </is>
      </c>
      <c r="J24" s="128" t="n">
        <v>2</v>
      </c>
      <c r="K24" s="127" t="inlineStr">
        <is>
          <t>Primaire</t>
        </is>
      </c>
      <c r="L24" s="127" t="inlineStr"/>
    </row>
    <row r="25" ht="21" customHeight="1">
      <c r="A25" s="1" t="n"/>
      <c r="B25" s="1" t="n"/>
      <c r="C25" s="2" t="n"/>
      <c r="E25" s="130">
        <f>IF($F25="","","MVT-"&amp;TEXT(ROW()-6,"0000"))</f>
        <v/>
      </c>
      <c r="F25" s="134" t="n">
        <v>46227</v>
      </c>
      <c r="G25" s="127" t="inlineStr">
        <is>
          <t>FOU-018</t>
        </is>
      </c>
      <c r="H25" s="130">
        <f>IF($G25="","",IFERROR(INDEX(FOU_Article,MATCH($G25,FOU_Code,0)),"⚠ Code inconnu"))</f>
        <v/>
      </c>
      <c r="I25" s="127" t="inlineStr">
        <is>
          <t>Sortie</t>
        </is>
      </c>
      <c r="J25" s="128" t="n">
        <v>4</v>
      </c>
      <c r="K25" s="127" t="inlineStr">
        <is>
          <t>Classe de 3ème Hum</t>
        </is>
      </c>
      <c r="L25" s="127" t="inlineStr"/>
    </row>
    <row r="26" ht="21" customHeight="1">
      <c r="A26" s="1" t="n"/>
      <c r="B26" s="1" t="n"/>
      <c r="C26" s="2" t="n"/>
      <c r="E26" s="130">
        <f>IF($F26="","","MVT-"&amp;TEXT(ROW()-6,"0000"))</f>
        <v/>
      </c>
      <c r="F26" s="134" t="n">
        <v>46229</v>
      </c>
      <c r="G26" s="127" t="inlineStr">
        <is>
          <t>FOU-008</t>
        </is>
      </c>
      <c r="H26" s="130">
        <f>IF($G26="","",IFERROR(INDEX(FOU_Article,MATCH($G26,FOU_Code,0)),"⚠ Code inconnu"))</f>
        <v/>
      </c>
      <c r="I26" s="127" t="inlineStr">
        <is>
          <t>Sortie</t>
        </is>
      </c>
      <c r="J26" s="128" t="n">
        <v>2</v>
      </c>
      <c r="K26" s="127" t="inlineStr">
        <is>
          <t>Direction</t>
        </is>
      </c>
      <c r="L26" s="127" t="inlineStr"/>
    </row>
    <row r="27" ht="21" customHeight="1">
      <c r="A27" s="1" t="n"/>
      <c r="B27" s="1" t="n"/>
      <c r="C27" s="2" t="n"/>
      <c r="E27" s="130">
        <f>IF($F27="","","MVT-"&amp;TEXT(ROW()-6,"0000"))</f>
        <v/>
      </c>
      <c r="F27" s="134" t="n">
        <v>46233</v>
      </c>
      <c r="G27" s="127" t="inlineStr">
        <is>
          <t>FOU-012</t>
        </is>
      </c>
      <c r="H27" s="130">
        <f>IF($G27="","",IFERROR(INDEX(FOU_Article,MATCH($G27,FOU_Code,0)),"⚠ Code inconnu"))</f>
        <v/>
      </c>
      <c r="I27" s="127" t="inlineStr">
        <is>
          <t>Sortie</t>
        </is>
      </c>
      <c r="J27" s="128" t="n">
        <v>8</v>
      </c>
      <c r="K27" s="127" t="inlineStr">
        <is>
          <t>Salle des profs</t>
        </is>
      </c>
      <c r="L27" s="127" t="inlineStr"/>
    </row>
    <row r="28" ht="21" customHeight="1">
      <c r="A28" s="1" t="n"/>
      <c r="B28" s="1" t="n"/>
      <c r="C28" s="2" t="n"/>
      <c r="E28" s="130">
        <f>IF($F28="","","MVT-"&amp;TEXT(ROW()-6,"0000"))</f>
        <v/>
      </c>
      <c r="F28" s="134" t="n">
        <v>46233</v>
      </c>
      <c r="G28" s="127" t="inlineStr">
        <is>
          <t>FOU-013</t>
        </is>
      </c>
      <c r="H28" s="130">
        <f>IF($G28="","",IFERROR(INDEX(FOU_Article,MATCH($G28,FOU_Code,0)),"⚠ Code inconnu"))</f>
        <v/>
      </c>
      <c r="I28" s="127" t="inlineStr">
        <is>
          <t>Sortie</t>
        </is>
      </c>
      <c r="J28" s="128" t="n">
        <v>8</v>
      </c>
      <c r="K28" s="127" t="inlineStr">
        <is>
          <t>Bibliothèque</t>
        </is>
      </c>
      <c r="L28" s="127" t="inlineStr"/>
    </row>
    <row r="29" ht="21" customHeight="1">
      <c r="A29" s="1" t="n"/>
      <c r="B29" s="1" t="n"/>
      <c r="C29" s="2" t="n"/>
      <c r="E29" s="130">
        <f>IF($F29="","","MVT-"&amp;TEXT(ROW()-6,"0000"))</f>
        <v/>
      </c>
      <c r="F29" s="134" t="n">
        <v>46234</v>
      </c>
      <c r="G29" s="127" t="inlineStr">
        <is>
          <t>FOU-005</t>
        </is>
      </c>
      <c r="H29" s="130">
        <f>IF($G29="","",IFERROR(INDEX(FOU_Article,MATCH($G29,FOU_Code,0)),"⚠ Code inconnu"))</f>
        <v/>
      </c>
      <c r="I29" s="127" t="inlineStr">
        <is>
          <t>Sortie</t>
        </is>
      </c>
      <c r="J29" s="128" t="n">
        <v>6</v>
      </c>
      <c r="K29" s="127" t="inlineStr">
        <is>
          <t>Primaire</t>
        </is>
      </c>
      <c r="L29" s="127" t="inlineStr"/>
    </row>
    <row r="30" ht="21" customHeight="1">
      <c r="A30" s="1" t="n"/>
      <c r="B30" s="1" t="n"/>
      <c r="C30" s="2" t="n"/>
      <c r="E30" s="130">
        <f>IF($F30="","","MVT-"&amp;TEXT(ROW()-6,"0000"))</f>
        <v/>
      </c>
      <c r="F30" s="134" t="n">
        <v>46234</v>
      </c>
      <c r="G30" s="127" t="inlineStr">
        <is>
          <t>FOU-006</t>
        </is>
      </c>
      <c r="H30" s="130">
        <f>IF($G30="","",IFERROR(INDEX(FOU_Article,MATCH($G30,FOU_Code,0)),"⚠ Code inconnu"))</f>
        <v/>
      </c>
      <c r="I30" s="127" t="inlineStr">
        <is>
          <t>Sortie</t>
        </is>
      </c>
      <c r="J30" s="128" t="n">
        <v>8</v>
      </c>
      <c r="K30" s="127" t="inlineStr">
        <is>
          <t>Primaire</t>
        </is>
      </c>
      <c r="L30" s="127" t="inlineStr"/>
    </row>
    <row r="31" ht="21" customHeight="1">
      <c r="A31" s="1" t="n"/>
      <c r="B31" s="1" t="n"/>
      <c r="C31" s="2" t="n"/>
      <c r="E31" s="130">
        <f>IF($F31="","","MVT-"&amp;TEXT(ROW()-6,"0000"))</f>
        <v/>
      </c>
      <c r="F31" s="134" t="n">
        <v>46239</v>
      </c>
      <c r="G31" s="127" t="inlineStr">
        <is>
          <t>FOU-002</t>
        </is>
      </c>
      <c r="H31" s="130">
        <f>IF($G31="","",IFERROR(INDEX(FOU_Article,MATCH($G31,FOU_Code,0)),"⚠ Code inconnu"))</f>
        <v/>
      </c>
      <c r="I31" s="127" t="inlineStr">
        <is>
          <t>Sortie</t>
        </is>
      </c>
      <c r="J31" s="128" t="n">
        <v>4</v>
      </c>
      <c r="K31" s="127" t="inlineStr">
        <is>
          <t>Direction</t>
        </is>
      </c>
      <c r="L31" s="127" t="inlineStr"/>
    </row>
    <row r="32" ht="21" customHeight="1">
      <c r="A32" s="1" t="n"/>
      <c r="B32" s="1" t="n"/>
      <c r="C32" s="2" t="n"/>
      <c r="E32" s="130">
        <f>IF($F32="","","MVT-"&amp;TEXT(ROW()-6,"0000"))</f>
        <v/>
      </c>
      <c r="F32" s="134" t="n">
        <v>46239</v>
      </c>
      <c r="G32" s="127" t="inlineStr">
        <is>
          <t>FOU-020</t>
        </is>
      </c>
      <c r="H32" s="130">
        <f>IF($G32="","",IFERROR(INDEX(FOU_Article,MATCH($G32,FOU_Code,0)),"⚠ Code inconnu"))</f>
        <v/>
      </c>
      <c r="I32" s="127" t="inlineStr">
        <is>
          <t>Sortie</t>
        </is>
      </c>
      <c r="J32" s="128" t="n">
        <v>8</v>
      </c>
      <c r="K32" s="127" t="inlineStr">
        <is>
          <t>Secrétariat</t>
        </is>
      </c>
      <c r="L32" s="127" t="inlineStr"/>
    </row>
    <row r="33" ht="21" customHeight="1">
      <c r="A33" s="1" t="n"/>
      <c r="B33" s="1" t="n"/>
      <c r="C33" s="2" t="n"/>
      <c r="E33" s="130">
        <f>IF($F33="","","MVT-"&amp;TEXT(ROW()-6,"0000"))</f>
        <v/>
      </c>
      <c r="F33" s="134" t="n">
        <v>46243</v>
      </c>
      <c r="G33" s="127" t="inlineStr">
        <is>
          <t>FOU-011</t>
        </is>
      </c>
      <c r="H33" s="130">
        <f>IF($G33="","",IFERROR(INDEX(FOU_Article,MATCH($G33,FOU_Code,0)),"⚠ Code inconnu"))</f>
        <v/>
      </c>
      <c r="I33" s="127" t="inlineStr">
        <is>
          <t>Sortie</t>
        </is>
      </c>
      <c r="J33" s="128" t="n">
        <v>5</v>
      </c>
      <c r="K33" s="127" t="inlineStr">
        <is>
          <t>Classe de 7ème EB</t>
        </is>
      </c>
      <c r="L33" s="127" t="inlineStr"/>
    </row>
    <row r="34" ht="21" customHeight="1">
      <c r="A34" s="1" t="n"/>
      <c r="B34" s="1" t="n"/>
      <c r="C34" s="2" t="n"/>
      <c r="E34" s="130">
        <f>IF($F34="","","MVT-"&amp;TEXT(ROW()-6,"0000"))</f>
        <v/>
      </c>
      <c r="F34" s="134" t="n">
        <v>46246</v>
      </c>
      <c r="G34" s="127" t="inlineStr">
        <is>
          <t>FOU-003</t>
        </is>
      </c>
      <c r="H34" s="130">
        <f>IF($G34="","",IFERROR(INDEX(FOU_Article,MATCH($G34,FOU_Code,0)),"⚠ Code inconnu"))</f>
        <v/>
      </c>
      <c r="I34" s="127" t="inlineStr">
        <is>
          <t>Sortie</t>
        </is>
      </c>
      <c r="J34" s="128" t="n">
        <v>4</v>
      </c>
      <c r="K34" s="127" t="inlineStr">
        <is>
          <t>Primaire</t>
        </is>
      </c>
      <c r="L34" s="127" t="inlineStr"/>
    </row>
    <row r="35" ht="21" customHeight="1">
      <c r="A35" s="1" t="n"/>
      <c r="B35" s="1" t="n"/>
      <c r="C35" s="2" t="n"/>
      <c r="E35" s="130">
        <f>IF($F35="","","MVT-"&amp;TEXT(ROW()-6,"0000"))</f>
        <v/>
      </c>
      <c r="F35" s="134" t="n">
        <v>46246</v>
      </c>
      <c r="G35" s="127" t="inlineStr">
        <is>
          <t>FOU-006</t>
        </is>
      </c>
      <c r="H35" s="130">
        <f>IF($G35="","",IFERROR(INDEX(FOU_Article,MATCH($G35,FOU_Code,0)),"⚠ Code inconnu"))</f>
        <v/>
      </c>
      <c r="I35" s="127" t="inlineStr">
        <is>
          <t>Sortie</t>
        </is>
      </c>
      <c r="J35" s="128" t="n">
        <v>4</v>
      </c>
      <c r="K35" s="127" t="inlineStr">
        <is>
          <t>Classe de 3ème Hum</t>
        </is>
      </c>
      <c r="L35" s="127" t="inlineStr"/>
    </row>
    <row r="36" ht="21" customHeight="1">
      <c r="A36" s="1" t="n"/>
      <c r="B36" s="1" t="n"/>
      <c r="C36" s="2" t="n"/>
      <c r="E36" s="130">
        <f>IF($F36="","","MVT-"&amp;TEXT(ROW()-6,"0000"))</f>
        <v/>
      </c>
      <c r="F36" s="134" t="n">
        <v>46246</v>
      </c>
      <c r="G36" s="127" t="inlineStr">
        <is>
          <t>FOU-017</t>
        </is>
      </c>
      <c r="H36" s="130">
        <f>IF($G36="","",IFERROR(INDEX(FOU_Article,MATCH($G36,FOU_Code,0)),"⚠ Code inconnu"))</f>
        <v/>
      </c>
      <c r="I36" s="127" t="inlineStr">
        <is>
          <t>Sortie</t>
        </is>
      </c>
      <c r="J36" s="128" t="n">
        <v>5</v>
      </c>
      <c r="K36" s="127" t="inlineStr">
        <is>
          <t>Salle des profs</t>
        </is>
      </c>
      <c r="L36" s="127" t="inlineStr"/>
    </row>
    <row r="37" ht="21" customHeight="1">
      <c r="A37" s="1" t="n"/>
      <c r="B37" s="1" t="n"/>
      <c r="C37" s="2" t="n"/>
      <c r="E37" s="130">
        <f>IF($F37="","","MVT-"&amp;TEXT(ROW()-6,"0000"))</f>
        <v/>
      </c>
      <c r="F37" s="134" t="n">
        <v>46247</v>
      </c>
      <c r="G37" s="127" t="inlineStr">
        <is>
          <t>FOU-002</t>
        </is>
      </c>
      <c r="H37" s="130">
        <f>IF($G37="","",IFERROR(INDEX(FOU_Article,MATCH($G37,FOU_Code,0)),"⚠ Code inconnu"))</f>
        <v/>
      </c>
      <c r="I37" s="127" t="inlineStr">
        <is>
          <t>Sortie</t>
        </is>
      </c>
      <c r="J37" s="128" t="n">
        <v>5</v>
      </c>
      <c r="K37" s="127" t="inlineStr">
        <is>
          <t>Bibliothèque</t>
        </is>
      </c>
      <c r="L37" s="127" t="inlineStr"/>
    </row>
    <row r="38" ht="21" customHeight="1">
      <c r="A38" s="1" t="n"/>
      <c r="B38" s="1" t="n"/>
      <c r="C38" s="2" t="n"/>
      <c r="E38" s="130">
        <f>IF($F38="","","MVT-"&amp;TEXT(ROW()-6,"0000"))</f>
        <v/>
      </c>
      <c r="F38" s="134" t="n">
        <v>46247</v>
      </c>
      <c r="G38" s="127" t="inlineStr">
        <is>
          <t>FOU-002</t>
        </is>
      </c>
      <c r="H38" s="130">
        <f>IF($G38="","",IFERROR(INDEX(FOU_Article,MATCH($G38,FOU_Code,0)),"⚠ Code inconnu"))</f>
        <v/>
      </c>
      <c r="I38" s="127" t="inlineStr">
        <is>
          <t>Sortie</t>
        </is>
      </c>
      <c r="J38" s="128" t="n">
        <v>1</v>
      </c>
      <c r="K38" s="127" t="inlineStr">
        <is>
          <t>Direction</t>
        </is>
      </c>
      <c r="L38" s="127" t="inlineStr"/>
    </row>
    <row r="39" ht="21" customHeight="1">
      <c r="A39" s="1" t="n"/>
      <c r="B39" s="1" t="n"/>
      <c r="C39" s="2" t="n"/>
      <c r="E39" s="130">
        <f>IF($F39="","","MVT-"&amp;TEXT(ROW()-6,"0000"))</f>
        <v/>
      </c>
      <c r="F39" s="134" t="n">
        <v>46249</v>
      </c>
      <c r="G39" s="127" t="inlineStr">
        <is>
          <t>FOU-020</t>
        </is>
      </c>
      <c r="H39" s="130">
        <f>IF($G39="","",IFERROR(INDEX(FOU_Article,MATCH($G39,FOU_Code,0)),"⚠ Code inconnu"))</f>
        <v/>
      </c>
      <c r="I39" s="127" t="inlineStr">
        <is>
          <t>Sortie</t>
        </is>
      </c>
      <c r="J39" s="128" t="n">
        <v>1</v>
      </c>
      <c r="K39" s="127" t="inlineStr">
        <is>
          <t>Secrétariat</t>
        </is>
      </c>
      <c r="L39" s="127" t="inlineStr"/>
    </row>
    <row r="40" ht="21" customHeight="1">
      <c r="A40" s="1" t="n"/>
      <c r="B40" s="1" t="n"/>
      <c r="C40" s="2" t="n"/>
      <c r="E40" s="130">
        <f>IF($F40="","","MVT-"&amp;TEXT(ROW()-6,"0000"))</f>
        <v/>
      </c>
      <c r="F40" s="134" t="n">
        <v>46250</v>
      </c>
      <c r="G40" s="127" t="inlineStr">
        <is>
          <t>FOU-006</t>
        </is>
      </c>
      <c r="H40" s="130">
        <f>IF($G40="","",IFERROR(INDEX(FOU_Article,MATCH($G40,FOU_Code,0)),"⚠ Code inconnu"))</f>
        <v/>
      </c>
      <c r="I40" s="127" t="inlineStr">
        <is>
          <t>Sortie</t>
        </is>
      </c>
      <c r="J40" s="128" t="n">
        <v>4</v>
      </c>
      <c r="K40" s="127" t="inlineStr">
        <is>
          <t>Salle des profs</t>
        </is>
      </c>
      <c r="L40" s="127" t="inlineStr"/>
    </row>
    <row r="41" ht="21" customHeight="1">
      <c r="A41" s="1" t="n"/>
      <c r="B41" s="1" t="n"/>
      <c r="C41" s="2" t="n"/>
      <c r="E41" s="130">
        <f>IF($F41="","","MVT-"&amp;TEXT(ROW()-6,"0000"))</f>
        <v/>
      </c>
      <c r="F41" s="134" t="n">
        <v>46251</v>
      </c>
      <c r="G41" s="127" t="inlineStr">
        <is>
          <t>FOU-001</t>
        </is>
      </c>
      <c r="H41" s="130">
        <f>IF($G41="","",IFERROR(INDEX(FOU_Article,MATCH($G41,FOU_Code,0)),"⚠ Code inconnu"))</f>
        <v/>
      </c>
      <c r="I41" s="127" t="inlineStr">
        <is>
          <t>Sortie</t>
        </is>
      </c>
      <c r="J41" s="128" t="n">
        <v>5</v>
      </c>
      <c r="K41" s="127" t="inlineStr">
        <is>
          <t>Direction</t>
        </is>
      </c>
      <c r="L41" s="127" t="inlineStr"/>
    </row>
    <row r="42" ht="21" customHeight="1">
      <c r="A42" s="1" t="n"/>
      <c r="B42" s="1" t="n"/>
      <c r="C42" s="2" t="n"/>
      <c r="E42" s="130">
        <f>IF($F42="","","MVT-"&amp;TEXT(ROW()-6,"0000"))</f>
        <v/>
      </c>
      <c r="F42" s="134" t="n">
        <v>46252</v>
      </c>
      <c r="G42" s="127" t="inlineStr">
        <is>
          <t>FOU-008</t>
        </is>
      </c>
      <c r="H42" s="130">
        <f>IF($G42="","",IFERROR(INDEX(FOU_Article,MATCH($G42,FOU_Code,0)),"⚠ Code inconnu"))</f>
        <v/>
      </c>
      <c r="I42" s="127" t="inlineStr">
        <is>
          <t>Sortie</t>
        </is>
      </c>
      <c r="J42" s="128" t="n">
        <v>2</v>
      </c>
      <c r="K42" s="127" t="inlineStr">
        <is>
          <t>Salle des profs</t>
        </is>
      </c>
      <c r="L42" s="127" t="inlineStr"/>
    </row>
    <row r="43" ht="21" customHeight="1">
      <c r="A43" s="1" t="n"/>
      <c r="B43" s="1" t="n"/>
      <c r="C43" s="2" t="n"/>
      <c r="E43" s="130">
        <f>IF($F43="","","MVT-"&amp;TEXT(ROW()-6,"0000"))</f>
        <v/>
      </c>
      <c r="F43" s="134" t="n">
        <v>46253</v>
      </c>
      <c r="G43" s="127" t="inlineStr">
        <is>
          <t>FOU-003</t>
        </is>
      </c>
      <c r="H43" s="130">
        <f>IF($G43="","",IFERROR(INDEX(FOU_Article,MATCH($G43,FOU_Code,0)),"⚠ Code inconnu"))</f>
        <v/>
      </c>
      <c r="I43" s="127" t="inlineStr">
        <is>
          <t>Sortie</t>
        </is>
      </c>
      <c r="J43" s="128" t="n">
        <v>8</v>
      </c>
      <c r="K43" s="127" t="inlineStr">
        <is>
          <t>Classe de 3ème Hum</t>
        </is>
      </c>
      <c r="L43" s="127" t="inlineStr"/>
    </row>
    <row r="44" ht="21" customHeight="1">
      <c r="A44" s="1" t="n"/>
      <c r="B44" s="1" t="n"/>
      <c r="C44" s="2" t="n"/>
      <c r="E44" s="130">
        <f>IF($F44="","","MVT-"&amp;TEXT(ROW()-6,"0000"))</f>
        <v/>
      </c>
      <c r="F44" s="134" t="n">
        <v>46253</v>
      </c>
      <c r="G44" s="127" t="inlineStr">
        <is>
          <t>FOU-015</t>
        </is>
      </c>
      <c r="H44" s="130">
        <f>IF($G44="","",IFERROR(INDEX(FOU_Article,MATCH($G44,FOU_Code,0)),"⚠ Code inconnu"))</f>
        <v/>
      </c>
      <c r="I44" s="127" t="inlineStr">
        <is>
          <t>Sortie</t>
        </is>
      </c>
      <c r="J44" s="128" t="n">
        <v>3</v>
      </c>
      <c r="K44" s="127" t="inlineStr">
        <is>
          <t>Secrétariat</t>
        </is>
      </c>
      <c r="L44" s="127" t="inlineStr"/>
    </row>
    <row r="45" ht="21" customHeight="1">
      <c r="A45" s="1" t="n"/>
      <c r="B45" s="1" t="n"/>
      <c r="C45" s="2" t="n"/>
      <c r="E45" s="130">
        <f>IF($F45="","","MVT-"&amp;TEXT(ROW()-6,"0000"))</f>
        <v/>
      </c>
      <c r="F45" s="134" t="n">
        <v>46256</v>
      </c>
      <c r="G45" s="127" t="inlineStr">
        <is>
          <t>FOU-004</t>
        </is>
      </c>
      <c r="H45" s="130">
        <f>IF($G45="","",IFERROR(INDEX(FOU_Article,MATCH($G45,FOU_Code,0)),"⚠ Code inconnu"))</f>
        <v/>
      </c>
      <c r="I45" s="127" t="inlineStr">
        <is>
          <t>Entrée</t>
        </is>
      </c>
      <c r="J45" s="128" t="n">
        <v>10</v>
      </c>
      <c r="K45" s="127" t="inlineStr">
        <is>
          <t>Papeterie Kivu</t>
        </is>
      </c>
      <c r="L45" s="127" t="inlineStr">
        <is>
          <t>Réapprovisionnement</t>
        </is>
      </c>
    </row>
    <row r="46" ht="21" customHeight="1">
      <c r="A46" s="1" t="n"/>
      <c r="B46" s="1" t="n"/>
      <c r="C46" s="2" t="n"/>
      <c r="E46" s="130">
        <f>IF($F46="","","MVT-"&amp;TEXT(ROW()-6,"0000"))</f>
        <v/>
      </c>
      <c r="F46" s="134" t="n">
        <v>46256</v>
      </c>
      <c r="G46" s="127" t="inlineStr">
        <is>
          <t>FOU-005</t>
        </is>
      </c>
      <c r="H46" s="130">
        <f>IF($G46="","",IFERROR(INDEX(FOU_Article,MATCH($G46,FOU_Code,0)),"⚠ Code inconnu"))</f>
        <v/>
      </c>
      <c r="I46" s="127" t="inlineStr">
        <is>
          <t>Sortie</t>
        </is>
      </c>
      <c r="J46" s="128" t="n">
        <v>4</v>
      </c>
      <c r="K46" s="127" t="inlineStr">
        <is>
          <t>Direction</t>
        </is>
      </c>
      <c r="L46" s="127" t="inlineStr"/>
    </row>
    <row r="47" ht="21" customHeight="1">
      <c r="A47" s="1" t="n"/>
      <c r="B47" s="1" t="n"/>
      <c r="C47" s="2" t="n"/>
      <c r="E47" s="130">
        <f>IF($F47="","","MVT-"&amp;TEXT(ROW()-6,"0000"))</f>
        <v/>
      </c>
      <c r="F47" s="134" t="n">
        <v>46257</v>
      </c>
      <c r="G47" s="127" t="inlineStr">
        <is>
          <t>FOU-017</t>
        </is>
      </c>
      <c r="H47" s="130">
        <f>IF($G47="","",IFERROR(INDEX(FOU_Article,MATCH($G47,FOU_Code,0)),"⚠ Code inconnu"))</f>
        <v/>
      </c>
      <c r="I47" s="127" t="inlineStr">
        <is>
          <t>Sortie</t>
        </is>
      </c>
      <c r="J47" s="128" t="n">
        <v>3</v>
      </c>
      <c r="K47" s="127" t="inlineStr">
        <is>
          <t>Salle des profs</t>
        </is>
      </c>
      <c r="L47" s="127" t="inlineStr"/>
    </row>
    <row r="48" ht="21" customHeight="1">
      <c r="A48" s="1" t="n"/>
      <c r="B48" s="1" t="n"/>
      <c r="C48" s="2" t="n"/>
      <c r="E48" s="130">
        <f>IF($F48="","","MVT-"&amp;TEXT(ROW()-6,"0000"))</f>
        <v/>
      </c>
      <c r="F48" s="134" t="n">
        <v>46259</v>
      </c>
      <c r="G48" s="127" t="inlineStr">
        <is>
          <t>FOU-001</t>
        </is>
      </c>
      <c r="H48" s="130">
        <f>IF($G48="","",IFERROR(INDEX(FOU_Article,MATCH($G48,FOU_Code,0)),"⚠ Code inconnu"))</f>
        <v/>
      </c>
      <c r="I48" s="127" t="inlineStr">
        <is>
          <t>Sortie</t>
        </is>
      </c>
      <c r="J48" s="128" t="n">
        <v>2</v>
      </c>
      <c r="K48" s="127" t="inlineStr">
        <is>
          <t>Bibliothèque</t>
        </is>
      </c>
      <c r="L48" s="127" t="inlineStr"/>
    </row>
    <row r="49" ht="21" customHeight="1">
      <c r="A49" s="1" t="n"/>
      <c r="B49" s="1" t="n"/>
      <c r="C49" s="2" t="n"/>
      <c r="E49" s="130">
        <f>IF($F49="","","MVT-"&amp;TEXT(ROW()-6,"0000"))</f>
        <v/>
      </c>
      <c r="F49" s="134" t="n">
        <v>46262</v>
      </c>
      <c r="G49" s="127" t="inlineStr">
        <is>
          <t>FOU-008</t>
        </is>
      </c>
      <c r="H49" s="130">
        <f>IF($G49="","",IFERROR(INDEX(FOU_Article,MATCH($G49,FOU_Code,0)),"⚠ Code inconnu"))</f>
        <v/>
      </c>
      <c r="I49" s="127" t="inlineStr">
        <is>
          <t>Sortie</t>
        </is>
      </c>
      <c r="J49" s="128" t="n">
        <v>6</v>
      </c>
      <c r="K49" s="127" t="inlineStr">
        <is>
          <t>Primaire</t>
        </is>
      </c>
      <c r="L49" s="127" t="inlineStr"/>
    </row>
    <row r="50" ht="21" customHeight="1">
      <c r="A50" s="1" t="n"/>
      <c r="B50" s="1" t="n"/>
      <c r="C50" s="2" t="n"/>
      <c r="E50" s="130">
        <f>IF($F50="","","MVT-"&amp;TEXT(ROW()-6,"0000"))</f>
        <v/>
      </c>
      <c r="F50" s="134" t="n">
        <v>46262</v>
      </c>
      <c r="G50" s="127" t="inlineStr">
        <is>
          <t>FOU-014</t>
        </is>
      </c>
      <c r="H50" s="130">
        <f>IF($G50="","",IFERROR(INDEX(FOU_Article,MATCH($G50,FOU_Code,0)),"⚠ Code inconnu"))</f>
        <v/>
      </c>
      <c r="I50" s="127" t="inlineStr">
        <is>
          <t>Entrée</t>
        </is>
      </c>
      <c r="J50" s="128" t="n">
        <v>10</v>
      </c>
      <c r="K50" s="127" t="inlineStr">
        <is>
          <t>Papeterie Kivu</t>
        </is>
      </c>
      <c r="L50" s="127" t="inlineStr">
        <is>
          <t>Réapprovisionnement</t>
        </is>
      </c>
    </row>
    <row r="51" ht="21" customHeight="1">
      <c r="A51" s="1" t="n"/>
      <c r="B51" s="1" t="n"/>
      <c r="C51" s="2" t="n"/>
      <c r="E51" s="130">
        <f>IF($F51="","","MVT-"&amp;TEXT(ROW()-6,"0000"))</f>
        <v/>
      </c>
      <c r="F51" s="134" t="n">
        <v>46263</v>
      </c>
      <c r="G51" s="127" t="inlineStr">
        <is>
          <t>FOU-005</t>
        </is>
      </c>
      <c r="H51" s="130">
        <f>IF($G51="","",IFERROR(INDEX(FOU_Article,MATCH($G51,FOU_Code,0)),"⚠ Code inconnu"))</f>
        <v/>
      </c>
      <c r="I51" s="127" t="inlineStr">
        <is>
          <t>Sortie</t>
        </is>
      </c>
      <c r="J51" s="128" t="n">
        <v>2</v>
      </c>
      <c r="K51" s="127" t="inlineStr">
        <is>
          <t>Direction</t>
        </is>
      </c>
      <c r="L51" s="127" t="inlineStr"/>
    </row>
    <row r="52" ht="21" customHeight="1">
      <c r="A52" s="1" t="n"/>
      <c r="B52" s="1" t="n"/>
      <c r="C52" s="2" t="n"/>
      <c r="E52" s="130">
        <f>IF($F52="","","MVT-"&amp;TEXT(ROW()-6,"0000"))</f>
        <v/>
      </c>
      <c r="F52" s="134" t="n">
        <v>46264</v>
      </c>
      <c r="G52" s="127" t="inlineStr">
        <is>
          <t>FOU-017</t>
        </is>
      </c>
      <c r="H52" s="130">
        <f>IF($G52="","",IFERROR(INDEX(FOU_Article,MATCH($G52,FOU_Code,0)),"⚠ Code inconnu"))</f>
        <v/>
      </c>
      <c r="I52" s="127" t="inlineStr">
        <is>
          <t>Entrée</t>
        </is>
      </c>
      <c r="J52" s="128" t="n">
        <v>10</v>
      </c>
      <c r="K52" s="127" t="inlineStr">
        <is>
          <t>Supermarché Kivu</t>
        </is>
      </c>
      <c r="L52" s="127" t="inlineStr">
        <is>
          <t>Réapprovisionnement</t>
        </is>
      </c>
    </row>
    <row r="53" ht="21" customHeight="1">
      <c r="A53" s="1" t="n"/>
      <c r="B53" s="1" t="n"/>
      <c r="C53" s="2" t="n"/>
      <c r="E53" s="130">
        <f>IF($F53="","","MVT-"&amp;TEXT(ROW()-6,"0000"))</f>
        <v/>
      </c>
      <c r="F53" s="134" t="n">
        <v>46265</v>
      </c>
      <c r="G53" s="127" t="inlineStr">
        <is>
          <t>FOU-014</t>
        </is>
      </c>
      <c r="H53" s="130">
        <f>IF($G53="","",IFERROR(INDEX(FOU_Article,MATCH($G53,FOU_Code,0)),"⚠ Code inconnu"))</f>
        <v/>
      </c>
      <c r="I53" s="127" t="inlineStr">
        <is>
          <t>Sortie</t>
        </is>
      </c>
      <c r="J53" s="128" t="n">
        <v>4</v>
      </c>
      <c r="K53" s="127" t="inlineStr">
        <is>
          <t>Salle des profs</t>
        </is>
      </c>
      <c r="L53" s="127" t="inlineStr"/>
    </row>
    <row r="54" ht="21" customHeight="1">
      <c r="A54" s="1" t="n"/>
      <c r="B54" s="1" t="n"/>
      <c r="C54" s="2" t="n"/>
      <c r="E54" s="130">
        <f>IF($F54="","","MVT-"&amp;TEXT(ROW()-6,"0000"))</f>
        <v/>
      </c>
      <c r="F54" s="134" t="n">
        <v>46266</v>
      </c>
      <c r="G54" s="127" t="inlineStr">
        <is>
          <t>FOU-009</t>
        </is>
      </c>
      <c r="H54" s="130">
        <f>IF($G54="","",IFERROR(INDEX(FOU_Article,MATCH($G54,FOU_Code,0)),"⚠ Code inconnu"))</f>
        <v/>
      </c>
      <c r="I54" s="127" t="inlineStr">
        <is>
          <t>Entrée</t>
        </is>
      </c>
      <c r="J54" s="128" t="n">
        <v>15</v>
      </c>
      <c r="K54" s="127" t="inlineStr">
        <is>
          <t>Librairie Le Phare</t>
        </is>
      </c>
      <c r="L54" s="127" t="inlineStr">
        <is>
          <t>Réapprovisionnement</t>
        </is>
      </c>
    </row>
    <row r="55" ht="21" customHeight="1">
      <c r="A55" s="1" t="n"/>
      <c r="B55" s="1" t="n"/>
      <c r="C55" s="2" t="n"/>
      <c r="E55" s="130">
        <f>IF($F55="","","MVT-"&amp;TEXT(ROW()-6,"0000"))</f>
        <v/>
      </c>
      <c r="F55" s="134" t="n">
        <v>46267</v>
      </c>
      <c r="G55" s="127" t="inlineStr">
        <is>
          <t>FOU-005</t>
        </is>
      </c>
      <c r="H55" s="130">
        <f>IF($G55="","",IFERROR(INDEX(FOU_Article,MATCH($G55,FOU_Code,0)),"⚠ Code inconnu"))</f>
        <v/>
      </c>
      <c r="I55" s="127" t="inlineStr">
        <is>
          <t>Sortie</t>
        </is>
      </c>
      <c r="J55" s="128" t="n">
        <v>6</v>
      </c>
      <c r="K55" s="127" t="inlineStr">
        <is>
          <t>Classe de 3ème Hum</t>
        </is>
      </c>
      <c r="L55" s="127" t="inlineStr"/>
    </row>
    <row r="56" ht="21" customHeight="1">
      <c r="A56" s="1" t="n"/>
      <c r="B56" s="1" t="n"/>
      <c r="C56" s="2" t="n"/>
      <c r="E56" s="130">
        <f>IF($F56="","","MVT-"&amp;TEXT(ROW()-6,"0000"))</f>
        <v/>
      </c>
      <c r="F56" s="134" t="n">
        <v>46269</v>
      </c>
      <c r="G56" s="127" t="inlineStr">
        <is>
          <t>FOU-012</t>
        </is>
      </c>
      <c r="H56" s="130">
        <f>IF($G56="","",IFERROR(INDEX(FOU_Article,MATCH($G56,FOU_Code,0)),"⚠ Code inconnu"))</f>
        <v/>
      </c>
      <c r="I56" s="127" t="inlineStr">
        <is>
          <t>Sortie</t>
        </is>
      </c>
      <c r="J56" s="128" t="n">
        <v>2</v>
      </c>
      <c r="K56" s="127" t="inlineStr">
        <is>
          <t>Direction</t>
        </is>
      </c>
      <c r="L56" s="127" t="inlineStr"/>
    </row>
    <row r="57" ht="21" customHeight="1">
      <c r="A57" s="1" t="n"/>
      <c r="B57" s="1" t="n"/>
      <c r="C57" s="2" t="n"/>
      <c r="E57" s="130">
        <f>IF($F57="","","MVT-"&amp;TEXT(ROW()-6,"0000"))</f>
        <v/>
      </c>
      <c r="F57" s="134" t="n">
        <v>46270</v>
      </c>
      <c r="G57" s="127" t="inlineStr">
        <is>
          <t>FOU-002</t>
        </is>
      </c>
      <c r="H57" s="130">
        <f>IF($G57="","",IFERROR(INDEX(FOU_Article,MATCH($G57,FOU_Code,0)),"⚠ Code inconnu"))</f>
        <v/>
      </c>
      <c r="I57" s="127" t="inlineStr">
        <is>
          <t>Entrée</t>
        </is>
      </c>
      <c r="J57" s="128" t="n">
        <v>10</v>
      </c>
      <c r="K57" s="127" t="inlineStr">
        <is>
          <t>Librairie Le Phare</t>
        </is>
      </c>
      <c r="L57" s="127" t="inlineStr">
        <is>
          <t>Réapprovisionnement</t>
        </is>
      </c>
    </row>
    <row r="58" ht="21" customHeight="1">
      <c r="A58" s="1" t="n"/>
      <c r="B58" s="1" t="n"/>
      <c r="C58" s="2" t="n"/>
      <c r="E58" s="130">
        <f>IF($F58="","","MVT-"&amp;TEXT(ROW()-6,"0000"))</f>
        <v/>
      </c>
      <c r="F58" s="134" t="n">
        <v>46270</v>
      </c>
      <c r="G58" s="127" t="inlineStr">
        <is>
          <t>FOU-012</t>
        </is>
      </c>
      <c r="H58" s="130">
        <f>IF($G58="","",IFERROR(INDEX(FOU_Article,MATCH($G58,FOU_Code,0)),"⚠ Code inconnu"))</f>
        <v/>
      </c>
      <c r="I58" s="127" t="inlineStr">
        <is>
          <t>Entrée</t>
        </is>
      </c>
      <c r="J58" s="128" t="n">
        <v>20</v>
      </c>
      <c r="K58" s="127" t="inlineStr">
        <is>
          <t>Papeterie Kivu</t>
        </is>
      </c>
      <c r="L58" s="127" t="inlineStr">
        <is>
          <t>Réapprovisionnement</t>
        </is>
      </c>
    </row>
    <row r="59" ht="21" customHeight="1">
      <c r="A59" s="1" t="n"/>
      <c r="B59" s="1" t="n"/>
      <c r="C59" s="2" t="n"/>
      <c r="E59" s="130">
        <f>IF($F59="","","MVT-"&amp;TEXT(ROW()-6,"0000"))</f>
        <v/>
      </c>
      <c r="F59" s="134" t="n">
        <v>46270</v>
      </c>
      <c r="G59" s="127" t="inlineStr">
        <is>
          <t>FOU-019</t>
        </is>
      </c>
      <c r="H59" s="130">
        <f>IF($G59="","",IFERROR(INDEX(FOU_Article,MATCH($G59,FOU_Code,0)),"⚠ Code inconnu"))</f>
        <v/>
      </c>
      <c r="I59" s="127" t="inlineStr">
        <is>
          <t>Sortie</t>
        </is>
      </c>
      <c r="J59" s="128" t="n">
        <v>3</v>
      </c>
      <c r="K59" s="127" t="inlineStr">
        <is>
          <t>Classe de 7ème EB</t>
        </is>
      </c>
      <c r="L59" s="127" t="inlineStr"/>
    </row>
    <row r="60" ht="21" customHeight="1">
      <c r="A60" s="1" t="n"/>
      <c r="B60" s="1" t="n"/>
      <c r="C60" s="2" t="n"/>
      <c r="E60" s="130">
        <f>IF($F60="","","MVT-"&amp;TEXT(ROW()-6,"0000"))</f>
        <v/>
      </c>
      <c r="F60" s="134" t="n">
        <v>46272</v>
      </c>
      <c r="G60" s="127" t="inlineStr">
        <is>
          <t>FOU-006</t>
        </is>
      </c>
      <c r="H60" s="130">
        <f>IF($G60="","",IFERROR(INDEX(FOU_Article,MATCH($G60,FOU_Code,0)),"⚠ Code inconnu"))</f>
        <v/>
      </c>
      <c r="I60" s="127" t="inlineStr">
        <is>
          <t>Sortie</t>
        </is>
      </c>
      <c r="J60" s="128" t="n">
        <v>1</v>
      </c>
      <c r="K60" s="127" t="inlineStr">
        <is>
          <t>Salle des profs</t>
        </is>
      </c>
      <c r="L60" s="127" t="inlineStr"/>
    </row>
    <row r="61" ht="21" customHeight="1">
      <c r="A61" s="1" t="n"/>
      <c r="B61" s="1" t="n"/>
      <c r="C61" s="2" t="n"/>
      <c r="E61" s="130">
        <f>IF($F61="","","MVT-"&amp;TEXT(ROW()-6,"0000"))</f>
        <v/>
      </c>
      <c r="F61" s="134" t="n">
        <v>46274</v>
      </c>
      <c r="G61" s="127" t="inlineStr">
        <is>
          <t>FOU-001</t>
        </is>
      </c>
      <c r="H61" s="130">
        <f>IF($G61="","",IFERROR(INDEX(FOU_Article,MATCH($G61,FOU_Code,0)),"⚠ Code inconnu"))</f>
        <v/>
      </c>
      <c r="I61" s="127" t="inlineStr">
        <is>
          <t>Sortie</t>
        </is>
      </c>
      <c r="J61" s="128" t="n">
        <v>8</v>
      </c>
      <c r="K61" s="127" t="inlineStr">
        <is>
          <t>Direction</t>
        </is>
      </c>
      <c r="L61" s="127" t="inlineStr"/>
    </row>
    <row r="62" ht="21" customHeight="1">
      <c r="A62" s="1" t="n"/>
      <c r="B62" s="1" t="n"/>
      <c r="C62" s="2" t="n"/>
      <c r="E62" s="130">
        <f>IF($F62="","","MVT-"&amp;TEXT(ROW()-6,"0000"))</f>
        <v/>
      </c>
      <c r="F62" s="134" t="n">
        <v>46275</v>
      </c>
      <c r="G62" s="127" t="inlineStr">
        <is>
          <t>FOU-006</t>
        </is>
      </c>
      <c r="H62" s="130">
        <f>IF($G62="","",IFERROR(INDEX(FOU_Article,MATCH($G62,FOU_Code,0)),"⚠ Code inconnu"))</f>
        <v/>
      </c>
      <c r="I62" s="127" t="inlineStr">
        <is>
          <t>Sortie</t>
        </is>
      </c>
      <c r="J62" s="128" t="n">
        <v>5</v>
      </c>
      <c r="K62" s="127" t="inlineStr">
        <is>
          <t>Classe de 3ème Hum</t>
        </is>
      </c>
      <c r="L62" s="127" t="inlineStr"/>
    </row>
    <row r="63" ht="21" customHeight="1">
      <c r="A63" s="1" t="n"/>
      <c r="B63" s="1" t="n"/>
      <c r="C63" s="2" t="n"/>
      <c r="E63" s="130">
        <f>IF($F63="","","MVT-"&amp;TEXT(ROW()-6,"0000"))</f>
        <v/>
      </c>
      <c r="F63" s="134" t="n">
        <v>46277</v>
      </c>
      <c r="G63" s="127" t="inlineStr">
        <is>
          <t>FOU-006</t>
        </is>
      </c>
      <c r="H63" s="130">
        <f>IF($G63="","",IFERROR(INDEX(FOU_Article,MATCH($G63,FOU_Code,0)),"⚠ Code inconnu"))</f>
        <v/>
      </c>
      <c r="I63" s="127" t="inlineStr">
        <is>
          <t>Sortie</t>
        </is>
      </c>
      <c r="J63" s="128" t="n">
        <v>8</v>
      </c>
      <c r="K63" s="127" t="inlineStr">
        <is>
          <t>Classe de 3ème Hum</t>
        </is>
      </c>
      <c r="L63" s="127" t="inlineStr"/>
    </row>
    <row r="64" ht="21" customHeight="1">
      <c r="A64" s="1" t="n"/>
      <c r="B64" s="1" t="n"/>
      <c r="C64" s="2" t="n"/>
      <c r="E64" s="130">
        <f>IF($F64="","","MVT-"&amp;TEXT(ROW()-6,"0000"))</f>
        <v/>
      </c>
      <c r="F64" s="134" t="n">
        <v>46277</v>
      </c>
      <c r="G64" s="127" t="inlineStr">
        <is>
          <t>FOU-010</t>
        </is>
      </c>
      <c r="H64" s="130">
        <f>IF($G64="","",IFERROR(INDEX(FOU_Article,MATCH($G64,FOU_Code,0)),"⚠ Code inconnu"))</f>
        <v/>
      </c>
      <c r="I64" s="127" t="inlineStr">
        <is>
          <t>Sortie</t>
        </is>
      </c>
      <c r="J64" s="128" t="n">
        <v>3</v>
      </c>
      <c r="K64" s="127" t="inlineStr">
        <is>
          <t>Classe de 7ème EB</t>
        </is>
      </c>
      <c r="L64" s="127" t="inlineStr"/>
    </row>
    <row r="65" ht="21" customHeight="1">
      <c r="A65" s="1" t="n"/>
      <c r="B65" s="1" t="n"/>
      <c r="C65" s="2" t="n"/>
      <c r="E65" s="130">
        <f>IF($F65="","","MVT-"&amp;TEXT(ROW()-6,"0000"))</f>
        <v/>
      </c>
      <c r="F65" s="134" t="n">
        <v>46277</v>
      </c>
      <c r="G65" s="127" t="inlineStr">
        <is>
          <t>FOU-017</t>
        </is>
      </c>
      <c r="H65" s="130">
        <f>IF($G65="","",IFERROR(INDEX(FOU_Article,MATCH($G65,FOU_Code,0)),"⚠ Code inconnu"))</f>
        <v/>
      </c>
      <c r="I65" s="127" t="inlineStr">
        <is>
          <t>Sortie</t>
        </is>
      </c>
      <c r="J65" s="128" t="n">
        <v>6</v>
      </c>
      <c r="K65" s="127" t="inlineStr">
        <is>
          <t>Classe de 3ème Hum</t>
        </is>
      </c>
      <c r="L65" s="127" t="inlineStr"/>
    </row>
    <row r="66" ht="21" customHeight="1">
      <c r="A66" s="1" t="n"/>
      <c r="B66" s="1" t="n"/>
      <c r="C66" s="2" t="n"/>
      <c r="E66" s="130">
        <f>IF($F66="","","MVT-"&amp;TEXT(ROW()-6,"0000"))</f>
        <v/>
      </c>
      <c r="F66" s="134" t="n">
        <v>46281</v>
      </c>
      <c r="G66" s="127" t="inlineStr">
        <is>
          <t>FOU-014</t>
        </is>
      </c>
      <c r="H66" s="130">
        <f>IF($G66="","",IFERROR(INDEX(FOU_Article,MATCH($G66,FOU_Code,0)),"⚠ Code inconnu"))</f>
        <v/>
      </c>
      <c r="I66" s="127" t="inlineStr">
        <is>
          <t>Sortie</t>
        </is>
      </c>
      <c r="J66" s="128" t="n">
        <v>2</v>
      </c>
      <c r="K66" s="127" t="inlineStr">
        <is>
          <t>Salle des profs</t>
        </is>
      </c>
      <c r="L66" s="127" t="inlineStr"/>
    </row>
    <row r="67" ht="21" customHeight="1">
      <c r="A67" s="1" t="n"/>
      <c r="B67" s="1" t="n"/>
      <c r="C67" s="2" t="n"/>
      <c r="E67" s="130">
        <f>IF($F67="","","MVT-"&amp;TEXT(ROW()-6,"0000"))</f>
        <v/>
      </c>
      <c r="F67" s="134" t="n">
        <v>46282</v>
      </c>
      <c r="G67" s="127" t="inlineStr">
        <is>
          <t>FOU-001</t>
        </is>
      </c>
      <c r="H67" s="130">
        <f>IF($G67="","",IFERROR(INDEX(FOU_Article,MATCH($G67,FOU_Code,0)),"⚠ Code inconnu"))</f>
        <v/>
      </c>
      <c r="I67" s="127" t="inlineStr">
        <is>
          <t>Sortie</t>
        </is>
      </c>
      <c r="J67" s="128" t="n">
        <v>4</v>
      </c>
      <c r="K67" s="127" t="inlineStr">
        <is>
          <t>Secrétariat</t>
        </is>
      </c>
      <c r="L67" s="127" t="inlineStr"/>
    </row>
    <row r="68" ht="21" customHeight="1">
      <c r="A68" s="1" t="n"/>
      <c r="B68" s="1" t="n"/>
      <c r="C68" s="2" t="n"/>
      <c r="E68" s="130">
        <f>IF($F68="","","MVT-"&amp;TEXT(ROW()-6,"0000"))</f>
        <v/>
      </c>
      <c r="F68" s="134" t="n">
        <v>46285</v>
      </c>
      <c r="G68" s="127" t="inlineStr">
        <is>
          <t>FOU-018</t>
        </is>
      </c>
      <c r="H68" s="130">
        <f>IF($G68="","",IFERROR(INDEX(FOU_Article,MATCH($G68,FOU_Code,0)),"⚠ Code inconnu"))</f>
        <v/>
      </c>
      <c r="I68" s="127" t="inlineStr">
        <is>
          <t>Sortie</t>
        </is>
      </c>
      <c r="J68" s="128" t="n">
        <v>2</v>
      </c>
      <c r="K68" s="127" t="inlineStr">
        <is>
          <t>Classe de 7ème EB</t>
        </is>
      </c>
      <c r="L68" s="127" t="inlineStr"/>
    </row>
    <row r="69" ht="21" customHeight="1">
      <c r="A69" s="1" t="n"/>
      <c r="B69" s="1" t="n"/>
      <c r="C69" s="2" t="n"/>
      <c r="E69" s="130">
        <f>IF($F69="","","MVT-"&amp;TEXT(ROW()-6,"0000"))</f>
        <v/>
      </c>
      <c r="F69" s="134" t="n">
        <v>46286</v>
      </c>
      <c r="G69" s="127" t="inlineStr">
        <is>
          <t>FOU-015</t>
        </is>
      </c>
      <c r="H69" s="130">
        <f>IF($G69="","",IFERROR(INDEX(FOU_Article,MATCH($G69,FOU_Code,0)),"⚠ Code inconnu"))</f>
        <v/>
      </c>
      <c r="I69" s="127" t="inlineStr">
        <is>
          <t>Sortie</t>
        </is>
      </c>
      <c r="J69" s="128" t="n">
        <v>3</v>
      </c>
      <c r="K69" s="127" t="inlineStr">
        <is>
          <t>Direction</t>
        </is>
      </c>
      <c r="L69" s="127" t="inlineStr"/>
    </row>
    <row r="70" ht="21" customHeight="1">
      <c r="A70" s="1" t="n"/>
      <c r="B70" s="1" t="n"/>
      <c r="C70" s="2" t="n"/>
      <c r="E70" s="130">
        <f>IF($F70="","","MVT-"&amp;TEXT(ROW()-6,"0000"))</f>
        <v/>
      </c>
      <c r="F70" s="134" t="n">
        <v>46288</v>
      </c>
      <c r="G70" s="127" t="inlineStr">
        <is>
          <t>FOU-008</t>
        </is>
      </c>
      <c r="H70" s="130">
        <f>IF($G70="","",IFERROR(INDEX(FOU_Article,MATCH($G70,FOU_Code,0)),"⚠ Code inconnu"))</f>
        <v/>
      </c>
      <c r="I70" s="127" t="inlineStr">
        <is>
          <t>Sortie</t>
        </is>
      </c>
      <c r="J70" s="128" t="n">
        <v>4</v>
      </c>
      <c r="K70" s="127" t="inlineStr">
        <is>
          <t>Direction</t>
        </is>
      </c>
      <c r="L70" s="127" t="inlineStr"/>
    </row>
    <row r="71" ht="21" customHeight="1">
      <c r="A71" s="1" t="n"/>
      <c r="B71" s="1" t="n"/>
      <c r="C71" s="2" t="n"/>
      <c r="E71" s="130">
        <f>IF($F71="","","MVT-"&amp;TEXT(ROW()-6,"0000"))</f>
        <v/>
      </c>
      <c r="F71" s="134" t="n">
        <v>46291</v>
      </c>
      <c r="G71" s="127" t="inlineStr">
        <is>
          <t>FOU-004</t>
        </is>
      </c>
      <c r="H71" s="130">
        <f>IF($G71="","",IFERROR(INDEX(FOU_Article,MATCH($G71,FOU_Code,0)),"⚠ Code inconnu"))</f>
        <v/>
      </c>
      <c r="I71" s="127" t="inlineStr">
        <is>
          <t>Sortie</t>
        </is>
      </c>
      <c r="J71" s="128" t="n">
        <v>6</v>
      </c>
      <c r="K71" s="127" t="inlineStr">
        <is>
          <t>Classe de 3ème Hum</t>
        </is>
      </c>
      <c r="L71" s="127" t="inlineStr"/>
    </row>
    <row r="72" ht="21" customHeight="1">
      <c r="A72" s="1" t="n"/>
      <c r="B72" s="1" t="n"/>
      <c r="C72" s="2" t="n"/>
      <c r="E72" s="130">
        <f>IF($F72="","","MVT-"&amp;TEXT(ROW()-6,"0000"))</f>
        <v/>
      </c>
      <c r="F72" s="134" t="n">
        <v>46291</v>
      </c>
      <c r="G72" s="127" t="inlineStr">
        <is>
          <t>FOU-010</t>
        </is>
      </c>
      <c r="H72" s="130">
        <f>IF($G72="","",IFERROR(INDEX(FOU_Article,MATCH($G72,FOU_Code,0)),"⚠ Code inconnu"))</f>
        <v/>
      </c>
      <c r="I72" s="127" t="inlineStr">
        <is>
          <t>Sortie</t>
        </is>
      </c>
      <c r="J72" s="128" t="n">
        <v>4</v>
      </c>
      <c r="K72" s="127" t="inlineStr">
        <is>
          <t>Direction</t>
        </is>
      </c>
      <c r="L72" s="127" t="inlineStr"/>
    </row>
    <row r="73" ht="21" customHeight="1">
      <c r="A73" s="1" t="n"/>
      <c r="B73" s="1" t="n"/>
      <c r="C73" s="2" t="n"/>
      <c r="E73" s="130">
        <f>IF($F73="","","MVT-"&amp;TEXT(ROW()-6,"0000"))</f>
        <v/>
      </c>
      <c r="F73" s="134" t="n">
        <v>46291</v>
      </c>
      <c r="G73" s="127" t="inlineStr">
        <is>
          <t>FOU-012</t>
        </is>
      </c>
      <c r="H73" s="130">
        <f>IF($G73="","",IFERROR(INDEX(FOU_Article,MATCH($G73,FOU_Code,0)),"⚠ Code inconnu"))</f>
        <v/>
      </c>
      <c r="I73" s="127" t="inlineStr">
        <is>
          <t>Sortie</t>
        </is>
      </c>
      <c r="J73" s="128" t="n">
        <v>8</v>
      </c>
      <c r="K73" s="127" t="inlineStr">
        <is>
          <t>Salle des profs</t>
        </is>
      </c>
      <c r="L73" s="127" t="inlineStr"/>
    </row>
    <row r="74" ht="21" customHeight="1">
      <c r="A74" s="1" t="n"/>
      <c r="B74" s="1" t="n"/>
      <c r="C74" s="2" t="n"/>
      <c r="E74" s="130">
        <f>IF($F74="","","MVT-"&amp;TEXT(ROW()-6,"0000"))</f>
        <v/>
      </c>
      <c r="F74" s="134" t="n">
        <v>46293</v>
      </c>
      <c r="G74" s="127" t="inlineStr">
        <is>
          <t>FOU-007</t>
        </is>
      </c>
      <c r="H74" s="130">
        <f>IF($G74="","",IFERROR(INDEX(FOU_Article,MATCH($G74,FOU_Code,0)),"⚠ Code inconnu"))</f>
        <v/>
      </c>
      <c r="I74" s="127" t="inlineStr">
        <is>
          <t>Sortie</t>
        </is>
      </c>
      <c r="J74" s="128" t="n">
        <v>2</v>
      </c>
      <c r="K74" s="127" t="inlineStr">
        <is>
          <t>Bibliothèque</t>
        </is>
      </c>
      <c r="L74" s="127" t="inlineStr"/>
    </row>
    <row r="75" ht="21" customHeight="1">
      <c r="A75" s="1" t="n"/>
      <c r="B75" s="1" t="n"/>
      <c r="C75" s="2" t="n"/>
      <c r="E75" s="130">
        <f>IF($F75="","","MVT-"&amp;TEXT(ROW()-6,"0000"))</f>
        <v/>
      </c>
      <c r="F75" s="134" t="n">
        <v>46293</v>
      </c>
      <c r="G75" s="127" t="inlineStr">
        <is>
          <t>FOU-007</t>
        </is>
      </c>
      <c r="H75" s="130">
        <f>IF($G75="","",IFERROR(INDEX(FOU_Article,MATCH($G75,FOU_Code,0)),"⚠ Code inconnu"))</f>
        <v/>
      </c>
      <c r="I75" s="127" t="inlineStr">
        <is>
          <t>Sortie</t>
        </is>
      </c>
      <c r="J75" s="128" t="n">
        <v>2</v>
      </c>
      <c r="K75" s="127" t="inlineStr">
        <is>
          <t>Classe de 3ème Hum</t>
        </is>
      </c>
      <c r="L75" s="127" t="inlineStr"/>
    </row>
    <row r="76" ht="21" customHeight="1">
      <c r="A76" s="1" t="n"/>
      <c r="B76" s="1" t="n"/>
      <c r="C76" s="2" t="n"/>
      <c r="E76" s="130">
        <f>IF($F76="","","MVT-"&amp;TEXT(ROW()-6,"0000"))</f>
        <v/>
      </c>
      <c r="F76" s="134" t="n">
        <v>46293</v>
      </c>
      <c r="G76" s="127" t="inlineStr">
        <is>
          <t>FOU-016</t>
        </is>
      </c>
      <c r="H76" s="130">
        <f>IF($G76="","",IFERROR(INDEX(FOU_Article,MATCH($G76,FOU_Code,0)),"⚠ Code inconnu"))</f>
        <v/>
      </c>
      <c r="I76" s="127" t="inlineStr">
        <is>
          <t>Sortie</t>
        </is>
      </c>
      <c r="J76" s="128" t="n">
        <v>1</v>
      </c>
      <c r="K76" s="127" t="inlineStr">
        <is>
          <t>Primaire</t>
        </is>
      </c>
      <c r="L76" s="127" t="inlineStr"/>
    </row>
    <row r="77" ht="21" customHeight="1">
      <c r="A77" s="1" t="n"/>
      <c r="B77" s="1" t="n"/>
      <c r="C77" s="2" t="n"/>
      <c r="E77" s="130">
        <f>IF($F77="","","MVT-"&amp;TEXT(ROW()-6,"0000"))</f>
        <v/>
      </c>
      <c r="F77" s="134" t="n">
        <v>46294</v>
      </c>
      <c r="G77" s="127" t="inlineStr">
        <is>
          <t>FOU-018</t>
        </is>
      </c>
      <c r="H77" s="130">
        <f>IF($G77="","",IFERROR(INDEX(FOU_Article,MATCH($G77,FOU_Code,0)),"⚠ Code inconnu"))</f>
        <v/>
      </c>
      <c r="I77" s="127" t="inlineStr">
        <is>
          <t>Sortie</t>
        </is>
      </c>
      <c r="J77" s="128" t="n">
        <v>7</v>
      </c>
      <c r="K77" s="127" t="inlineStr">
        <is>
          <t>Salle des profs</t>
        </is>
      </c>
      <c r="L77" s="127" t="inlineStr"/>
    </row>
    <row r="78" ht="21" customHeight="1">
      <c r="A78" s="1" t="n"/>
      <c r="B78" s="1" t="n"/>
      <c r="C78" s="2" t="n"/>
      <c r="E78" s="130">
        <f>IF($F78="","","MVT-"&amp;TEXT(ROW()-6,"0000"))</f>
        <v/>
      </c>
      <c r="F78" s="134" t="n">
        <v>46296</v>
      </c>
      <c r="G78" s="127" t="inlineStr">
        <is>
          <t>FOU-005</t>
        </is>
      </c>
      <c r="H78" s="130">
        <f>IF($G78="","",IFERROR(INDEX(FOU_Article,MATCH($G78,FOU_Code,0)),"⚠ Code inconnu"))</f>
        <v/>
      </c>
      <c r="I78" s="127" t="inlineStr">
        <is>
          <t>Sortie</t>
        </is>
      </c>
      <c r="J78" s="128" t="n">
        <v>3</v>
      </c>
      <c r="K78" s="127" t="inlineStr">
        <is>
          <t>Classe de 7ème EB</t>
        </is>
      </c>
      <c r="L78" s="127" t="inlineStr"/>
    </row>
    <row r="79" ht="21" customHeight="1">
      <c r="A79" s="1" t="n"/>
      <c r="B79" s="1" t="n"/>
      <c r="C79" s="2" t="n"/>
      <c r="E79" s="130">
        <f>IF($F79="","","MVT-"&amp;TEXT(ROW()-6,"0000"))</f>
        <v/>
      </c>
      <c r="F79" s="134" t="n">
        <v>46297</v>
      </c>
      <c r="G79" s="127" t="inlineStr">
        <is>
          <t>FOU-003</t>
        </is>
      </c>
      <c r="H79" s="130">
        <f>IF($G79="","",IFERROR(INDEX(FOU_Article,MATCH($G79,FOU_Code,0)),"⚠ Code inconnu"))</f>
        <v/>
      </c>
      <c r="I79" s="127" t="inlineStr">
        <is>
          <t>Sortie</t>
        </is>
      </c>
      <c r="J79" s="128" t="n">
        <v>2</v>
      </c>
      <c r="K79" s="127" t="inlineStr">
        <is>
          <t>Classe de 3ème Hum</t>
        </is>
      </c>
      <c r="L79" s="127" t="inlineStr"/>
    </row>
    <row r="80" ht="21" customHeight="1">
      <c r="A80" s="1" t="n"/>
      <c r="B80" s="1" t="n"/>
      <c r="C80" s="2" t="n"/>
      <c r="E80" s="130">
        <f>IF($F80="","","MVT-"&amp;TEXT(ROW()-6,"0000"))</f>
        <v/>
      </c>
      <c r="F80" s="134" t="n">
        <v>46298</v>
      </c>
      <c r="G80" s="127" t="inlineStr">
        <is>
          <t>FOU-001</t>
        </is>
      </c>
      <c r="H80" s="130">
        <f>IF($G80="","",IFERROR(INDEX(FOU_Article,MATCH($G80,FOU_Code,0)),"⚠ Code inconnu"))</f>
        <v/>
      </c>
      <c r="I80" s="127" t="inlineStr">
        <is>
          <t>Sortie</t>
        </is>
      </c>
      <c r="J80" s="128" t="n">
        <v>4</v>
      </c>
      <c r="K80" s="127" t="inlineStr">
        <is>
          <t>Classe de 7ème EB</t>
        </is>
      </c>
      <c r="L80" s="127" t="inlineStr"/>
    </row>
    <row r="81" ht="21" customHeight="1">
      <c r="A81" s="1" t="n"/>
      <c r="B81" s="1" t="n"/>
      <c r="C81" s="2" t="n"/>
      <c r="E81" s="130">
        <f>IF($F81="","","MVT-"&amp;TEXT(ROW()-6,"0000"))</f>
        <v/>
      </c>
      <c r="F81" s="134" t="n">
        <v>46301</v>
      </c>
      <c r="G81" s="127" t="inlineStr">
        <is>
          <t>FOU-001</t>
        </is>
      </c>
      <c r="H81" s="130">
        <f>IF($G81="","",IFERROR(INDEX(FOU_Article,MATCH($G81,FOU_Code,0)),"⚠ Code inconnu"))</f>
        <v/>
      </c>
      <c r="I81" s="127" t="inlineStr">
        <is>
          <t>Sortie</t>
        </is>
      </c>
      <c r="J81" s="128" t="n">
        <v>7</v>
      </c>
      <c r="K81" s="127" t="inlineStr">
        <is>
          <t>Classe de 7ème EB</t>
        </is>
      </c>
      <c r="L81" s="127" t="inlineStr"/>
    </row>
    <row r="82" ht="21" customHeight="1">
      <c r="A82" s="1" t="n"/>
      <c r="B82" s="1" t="n"/>
      <c r="C82" s="2" t="n"/>
      <c r="E82" s="130">
        <f>IF($F82="","","MVT-"&amp;TEXT(ROW()-6,"0000"))</f>
        <v/>
      </c>
      <c r="F82" s="134" t="n">
        <v>46302</v>
      </c>
      <c r="G82" s="127" t="inlineStr">
        <is>
          <t>FOU-001</t>
        </is>
      </c>
      <c r="H82" s="130">
        <f>IF($G82="","",IFERROR(INDEX(FOU_Article,MATCH($G82,FOU_Code,0)),"⚠ Code inconnu"))</f>
        <v/>
      </c>
      <c r="I82" s="127" t="inlineStr">
        <is>
          <t>Sortie</t>
        </is>
      </c>
      <c r="J82" s="128" t="n">
        <v>4</v>
      </c>
      <c r="K82" s="127" t="inlineStr">
        <is>
          <t>Classe de 7ème EB</t>
        </is>
      </c>
      <c r="L82" s="127" t="inlineStr"/>
    </row>
    <row r="83" ht="21" customHeight="1">
      <c r="A83" s="1" t="n"/>
      <c r="B83" s="1" t="n"/>
      <c r="C83" s="2" t="n"/>
      <c r="E83" s="130">
        <f>IF($F83="","","MVT-"&amp;TEXT(ROW()-6,"0000"))</f>
        <v/>
      </c>
      <c r="F83" s="134" t="n"/>
      <c r="G83" s="127" t="n"/>
      <c r="H83" s="130">
        <f>IF($G83="","",IFERROR(INDEX(FOU_Article,MATCH($G83,FOU_Code,0)),"⚠ Code inconnu"))</f>
        <v/>
      </c>
      <c r="I83" s="127" t="n"/>
      <c r="J83" s="128" t="n"/>
      <c r="K83" s="127" t="n"/>
      <c r="L83" s="127" t="n"/>
    </row>
    <row r="84" ht="21" customHeight="1">
      <c r="A84" s="1" t="n"/>
      <c r="B84" s="1" t="n"/>
      <c r="C84" s="2" t="n"/>
      <c r="E84" s="130">
        <f>IF($F84="","","MVT-"&amp;TEXT(ROW()-6,"0000"))</f>
        <v/>
      </c>
      <c r="F84" s="134" t="n"/>
      <c r="G84" s="127" t="n"/>
      <c r="H84" s="130">
        <f>IF($G84="","",IFERROR(INDEX(FOU_Article,MATCH($G84,FOU_Code,0)),"⚠ Code inconnu"))</f>
        <v/>
      </c>
      <c r="I84" s="127" t="n"/>
      <c r="J84" s="128" t="n"/>
      <c r="K84" s="127" t="n"/>
      <c r="L84" s="127" t="n"/>
    </row>
    <row r="85" ht="21" customHeight="1">
      <c r="A85" s="1" t="n"/>
      <c r="B85" s="1" t="n"/>
      <c r="C85" s="2" t="n"/>
      <c r="E85" s="130">
        <f>IF($F85="","","MVT-"&amp;TEXT(ROW()-6,"0000"))</f>
        <v/>
      </c>
      <c r="F85" s="134" t="n"/>
      <c r="G85" s="127" t="n"/>
      <c r="H85" s="130">
        <f>IF($G85="","",IFERROR(INDEX(FOU_Article,MATCH($G85,FOU_Code,0)),"⚠ Code inconnu"))</f>
        <v/>
      </c>
      <c r="I85" s="127" t="n"/>
      <c r="J85" s="128" t="n"/>
      <c r="K85" s="127" t="n"/>
      <c r="L85" s="127" t="n"/>
    </row>
    <row r="86" ht="21" customHeight="1">
      <c r="A86" s="1" t="n"/>
      <c r="B86" s="1" t="n"/>
      <c r="C86" s="2" t="n"/>
      <c r="E86" s="130">
        <f>IF($F86="","","MVT-"&amp;TEXT(ROW()-6,"0000"))</f>
        <v/>
      </c>
      <c r="F86" s="134" t="n"/>
      <c r="G86" s="127" t="n"/>
      <c r="H86" s="130">
        <f>IF($G86="","",IFERROR(INDEX(FOU_Article,MATCH($G86,FOU_Code,0)),"⚠ Code inconnu"))</f>
        <v/>
      </c>
      <c r="I86" s="127" t="n"/>
      <c r="J86" s="128" t="n"/>
      <c r="K86" s="127" t="n"/>
      <c r="L86" s="127" t="n"/>
    </row>
    <row r="87" ht="21" customHeight="1">
      <c r="A87" s="1" t="n"/>
      <c r="B87" s="1" t="n"/>
      <c r="C87" s="2" t="n"/>
      <c r="E87" s="130">
        <f>IF($F87="","","MVT-"&amp;TEXT(ROW()-6,"0000"))</f>
        <v/>
      </c>
      <c r="F87" s="134" t="n"/>
      <c r="G87" s="127" t="n"/>
      <c r="H87" s="130">
        <f>IF($G87="","",IFERROR(INDEX(FOU_Article,MATCH($G87,FOU_Code,0)),"⚠ Code inconnu"))</f>
        <v/>
      </c>
      <c r="I87" s="127" t="n"/>
      <c r="J87" s="128" t="n"/>
      <c r="K87" s="127" t="n"/>
      <c r="L87" s="127" t="n"/>
    </row>
    <row r="88" ht="21" customHeight="1">
      <c r="A88" s="1" t="n"/>
      <c r="B88" s="1" t="n"/>
      <c r="C88" s="2" t="n"/>
      <c r="E88" s="130">
        <f>IF($F88="","","MVT-"&amp;TEXT(ROW()-6,"0000"))</f>
        <v/>
      </c>
      <c r="F88" s="134" t="n"/>
      <c r="G88" s="127" t="n"/>
      <c r="H88" s="130">
        <f>IF($G88="","",IFERROR(INDEX(FOU_Article,MATCH($G88,FOU_Code,0)),"⚠ Code inconnu"))</f>
        <v/>
      </c>
      <c r="I88" s="127" t="n"/>
      <c r="J88" s="128" t="n"/>
      <c r="K88" s="127" t="n"/>
      <c r="L88" s="127" t="n"/>
    </row>
    <row r="89" ht="21" customHeight="1">
      <c r="A89" s="1" t="n"/>
      <c r="B89" s="1" t="n"/>
      <c r="C89" s="2" t="n"/>
      <c r="E89" s="130">
        <f>IF($F89="","","MVT-"&amp;TEXT(ROW()-6,"0000"))</f>
        <v/>
      </c>
      <c r="F89" s="134" t="n"/>
      <c r="G89" s="127" t="n"/>
      <c r="H89" s="130">
        <f>IF($G89="","",IFERROR(INDEX(FOU_Article,MATCH($G89,FOU_Code,0)),"⚠ Code inconnu"))</f>
        <v/>
      </c>
      <c r="I89" s="127" t="n"/>
      <c r="J89" s="128" t="n"/>
      <c r="K89" s="127" t="n"/>
      <c r="L89" s="127" t="n"/>
    </row>
    <row r="90" ht="21" customHeight="1">
      <c r="A90" s="1" t="n"/>
      <c r="B90" s="1" t="n"/>
      <c r="C90" s="2" t="n"/>
      <c r="E90" s="130">
        <f>IF($F90="","","MVT-"&amp;TEXT(ROW()-6,"0000"))</f>
        <v/>
      </c>
      <c r="F90" s="134" t="n"/>
      <c r="G90" s="127" t="n"/>
      <c r="H90" s="130">
        <f>IF($G90="","",IFERROR(INDEX(FOU_Article,MATCH($G90,FOU_Code,0)),"⚠ Code inconnu"))</f>
        <v/>
      </c>
      <c r="I90" s="127" t="n"/>
      <c r="J90" s="128" t="n"/>
      <c r="K90" s="127" t="n"/>
      <c r="L90" s="127" t="n"/>
    </row>
    <row r="91" ht="21" customHeight="1">
      <c r="A91" s="1" t="n"/>
      <c r="B91" s="1" t="n"/>
      <c r="C91" s="2" t="n"/>
      <c r="E91" s="130">
        <f>IF($F91="","","MVT-"&amp;TEXT(ROW()-6,"0000"))</f>
        <v/>
      </c>
      <c r="F91" s="134" t="n"/>
      <c r="G91" s="127" t="n"/>
      <c r="H91" s="130">
        <f>IF($G91="","",IFERROR(INDEX(FOU_Article,MATCH($G91,FOU_Code,0)),"⚠ Code inconnu"))</f>
        <v/>
      </c>
      <c r="I91" s="127" t="n"/>
      <c r="J91" s="128" t="n"/>
      <c r="K91" s="127" t="n"/>
      <c r="L91" s="127" t="n"/>
    </row>
    <row r="92" ht="21" customHeight="1">
      <c r="A92" s="1" t="n"/>
      <c r="B92" s="1" t="n"/>
      <c r="C92" s="2" t="n"/>
      <c r="E92" s="130">
        <f>IF($F92="","","MVT-"&amp;TEXT(ROW()-6,"0000"))</f>
        <v/>
      </c>
      <c r="F92" s="134" t="n"/>
      <c r="G92" s="127" t="n"/>
      <c r="H92" s="130">
        <f>IF($G92="","",IFERROR(INDEX(FOU_Article,MATCH($G92,FOU_Code,0)),"⚠ Code inconnu"))</f>
        <v/>
      </c>
      <c r="I92" s="127" t="n"/>
      <c r="J92" s="128" t="n"/>
      <c r="K92" s="127" t="n"/>
      <c r="L92" s="127" t="n"/>
    </row>
    <row r="93" ht="21" customHeight="1">
      <c r="A93" s="1" t="n"/>
      <c r="B93" s="1" t="n"/>
      <c r="C93" s="2" t="n"/>
      <c r="E93" s="130">
        <f>IF($F93="","","MVT-"&amp;TEXT(ROW()-6,"0000"))</f>
        <v/>
      </c>
      <c r="F93" s="134" t="n"/>
      <c r="G93" s="127" t="n"/>
      <c r="H93" s="130">
        <f>IF($G93="","",IFERROR(INDEX(FOU_Article,MATCH($G93,FOU_Code,0)),"⚠ Code inconnu"))</f>
        <v/>
      </c>
      <c r="I93" s="127" t="n"/>
      <c r="J93" s="128" t="n"/>
      <c r="K93" s="127" t="n"/>
      <c r="L93" s="127" t="n"/>
    </row>
    <row r="94" ht="21" customHeight="1">
      <c r="A94" s="1" t="n"/>
      <c r="B94" s="1" t="n"/>
      <c r="C94" s="2" t="n"/>
      <c r="E94" s="130">
        <f>IF($F94="","","MVT-"&amp;TEXT(ROW()-6,"0000"))</f>
        <v/>
      </c>
      <c r="F94" s="134" t="n"/>
      <c r="G94" s="127" t="n"/>
      <c r="H94" s="130">
        <f>IF($G94="","",IFERROR(INDEX(FOU_Article,MATCH($G94,FOU_Code,0)),"⚠ Code inconnu"))</f>
        <v/>
      </c>
      <c r="I94" s="127" t="n"/>
      <c r="J94" s="128" t="n"/>
      <c r="K94" s="127" t="n"/>
      <c r="L94" s="127" t="n"/>
    </row>
    <row r="95" ht="21" customHeight="1">
      <c r="A95" s="1" t="n"/>
      <c r="B95" s="1" t="n"/>
      <c r="C95" s="2" t="n"/>
      <c r="E95" s="130">
        <f>IF($F95="","","MVT-"&amp;TEXT(ROW()-6,"0000"))</f>
        <v/>
      </c>
      <c r="F95" s="134" t="n"/>
      <c r="G95" s="127" t="n"/>
      <c r="H95" s="130">
        <f>IF($G95="","",IFERROR(INDEX(FOU_Article,MATCH($G95,FOU_Code,0)),"⚠ Code inconnu"))</f>
        <v/>
      </c>
      <c r="I95" s="127" t="n"/>
      <c r="J95" s="128" t="n"/>
      <c r="K95" s="127" t="n"/>
      <c r="L95" s="127" t="n"/>
    </row>
    <row r="96" ht="21" customHeight="1">
      <c r="A96" s="1" t="n"/>
      <c r="B96" s="1" t="n"/>
      <c r="C96" s="2" t="n"/>
      <c r="E96" s="130">
        <f>IF($F96="","","MVT-"&amp;TEXT(ROW()-6,"0000"))</f>
        <v/>
      </c>
      <c r="F96" s="134" t="n"/>
      <c r="G96" s="127" t="n"/>
      <c r="H96" s="130">
        <f>IF($G96="","",IFERROR(INDEX(FOU_Article,MATCH($G96,FOU_Code,0)),"⚠ Code inconnu"))</f>
        <v/>
      </c>
      <c r="I96" s="127" t="n"/>
      <c r="J96" s="128" t="n"/>
      <c r="K96" s="127" t="n"/>
      <c r="L96" s="127" t="n"/>
    </row>
    <row r="97" ht="21" customHeight="1">
      <c r="A97" s="1" t="n"/>
      <c r="B97" s="1" t="n"/>
      <c r="C97" s="2" t="n"/>
      <c r="E97" s="130">
        <f>IF($F97="","","MVT-"&amp;TEXT(ROW()-6,"0000"))</f>
        <v/>
      </c>
      <c r="F97" s="134" t="n"/>
      <c r="G97" s="127" t="n"/>
      <c r="H97" s="130">
        <f>IF($G97="","",IFERROR(INDEX(FOU_Article,MATCH($G97,FOU_Code,0)),"⚠ Code inconnu"))</f>
        <v/>
      </c>
      <c r="I97" s="127" t="n"/>
      <c r="J97" s="128" t="n"/>
      <c r="K97" s="127" t="n"/>
      <c r="L97" s="127" t="n"/>
    </row>
    <row r="98" ht="21" customHeight="1">
      <c r="A98" s="1" t="n"/>
      <c r="B98" s="1" t="n"/>
      <c r="C98" s="2" t="n"/>
      <c r="E98" s="130">
        <f>IF($F98="","","MVT-"&amp;TEXT(ROW()-6,"0000"))</f>
        <v/>
      </c>
      <c r="F98" s="134" t="n"/>
      <c r="G98" s="127" t="n"/>
      <c r="H98" s="130">
        <f>IF($G98="","",IFERROR(INDEX(FOU_Article,MATCH($G98,FOU_Code,0)),"⚠ Code inconnu"))</f>
        <v/>
      </c>
      <c r="I98" s="127" t="n"/>
      <c r="J98" s="128" t="n"/>
      <c r="K98" s="127" t="n"/>
      <c r="L98" s="127" t="n"/>
    </row>
    <row r="99" ht="21" customHeight="1">
      <c r="A99" s="1" t="n"/>
      <c r="B99" s="1" t="n"/>
      <c r="C99" s="2" t="n"/>
      <c r="E99" s="130">
        <f>IF($F99="","","MVT-"&amp;TEXT(ROW()-6,"0000"))</f>
        <v/>
      </c>
      <c r="F99" s="134" t="n"/>
      <c r="G99" s="127" t="n"/>
      <c r="H99" s="130">
        <f>IF($G99="","",IFERROR(INDEX(FOU_Article,MATCH($G99,FOU_Code,0)),"⚠ Code inconnu"))</f>
        <v/>
      </c>
      <c r="I99" s="127" t="n"/>
      <c r="J99" s="128" t="n"/>
      <c r="K99" s="127" t="n"/>
      <c r="L99" s="127" t="n"/>
    </row>
    <row r="100" ht="21" customHeight="1">
      <c r="A100" s="1" t="n"/>
      <c r="B100" s="1" t="n"/>
      <c r="C100" s="2" t="n"/>
      <c r="E100" s="130">
        <f>IF($F100="","","MVT-"&amp;TEXT(ROW()-6,"0000"))</f>
        <v/>
      </c>
      <c r="F100" s="134" t="n"/>
      <c r="G100" s="127" t="n"/>
      <c r="H100" s="130">
        <f>IF($G100="","",IFERROR(INDEX(FOU_Article,MATCH($G100,FOU_Code,0)),"⚠ Code inconnu"))</f>
        <v/>
      </c>
      <c r="I100" s="127" t="n"/>
      <c r="J100" s="128" t="n"/>
      <c r="K100" s="127" t="n"/>
      <c r="L100" s="127" t="n"/>
    </row>
    <row r="101" ht="21" customHeight="1">
      <c r="A101" s="1" t="n"/>
      <c r="B101" s="1" t="n"/>
      <c r="C101" s="2" t="n"/>
      <c r="E101" s="130">
        <f>IF($F101="","","MVT-"&amp;TEXT(ROW()-6,"0000"))</f>
        <v/>
      </c>
      <c r="F101" s="134" t="n"/>
      <c r="G101" s="127" t="n"/>
      <c r="H101" s="130">
        <f>IF($G101="","",IFERROR(INDEX(FOU_Article,MATCH($G101,FOU_Code,0)),"⚠ Code inconnu"))</f>
        <v/>
      </c>
      <c r="I101" s="127" t="n"/>
      <c r="J101" s="128" t="n"/>
      <c r="K101" s="127" t="n"/>
      <c r="L101" s="127" t="n"/>
    </row>
    <row r="102" ht="21" customHeight="1">
      <c r="A102" s="1" t="n"/>
      <c r="B102" s="1" t="n"/>
      <c r="C102" s="2" t="n"/>
      <c r="E102" s="130">
        <f>IF($F102="","","MVT-"&amp;TEXT(ROW()-6,"0000"))</f>
        <v/>
      </c>
      <c r="F102" s="134" t="n"/>
      <c r="G102" s="127" t="n"/>
      <c r="H102" s="130">
        <f>IF($G102="","",IFERROR(INDEX(FOU_Article,MATCH($G102,FOU_Code,0)),"⚠ Code inconnu"))</f>
        <v/>
      </c>
      <c r="I102" s="127" t="n"/>
      <c r="J102" s="128" t="n"/>
      <c r="K102" s="127" t="n"/>
      <c r="L102" s="127" t="n"/>
    </row>
    <row r="103" ht="21" customHeight="1">
      <c r="A103" s="1" t="n"/>
      <c r="B103" s="1" t="n"/>
      <c r="C103" s="2" t="n"/>
      <c r="E103" s="130">
        <f>IF($F103="","","MVT-"&amp;TEXT(ROW()-6,"0000"))</f>
        <v/>
      </c>
      <c r="F103" s="134" t="n"/>
      <c r="G103" s="127" t="n"/>
      <c r="H103" s="130">
        <f>IF($G103="","",IFERROR(INDEX(FOU_Article,MATCH($G103,FOU_Code,0)),"⚠ Code inconnu"))</f>
        <v/>
      </c>
      <c r="I103" s="127" t="n"/>
      <c r="J103" s="128" t="n"/>
      <c r="K103" s="127" t="n"/>
      <c r="L103" s="127" t="n"/>
    </row>
    <row r="104" ht="21" customHeight="1">
      <c r="A104" s="1" t="n"/>
      <c r="B104" s="1" t="n"/>
      <c r="C104" s="2" t="n"/>
      <c r="E104" s="130">
        <f>IF($F104="","","MVT-"&amp;TEXT(ROW()-6,"0000"))</f>
        <v/>
      </c>
      <c r="F104" s="134" t="n"/>
      <c r="G104" s="127" t="n"/>
      <c r="H104" s="130">
        <f>IF($G104="","",IFERROR(INDEX(FOU_Article,MATCH($G104,FOU_Code,0)),"⚠ Code inconnu"))</f>
        <v/>
      </c>
      <c r="I104" s="127" t="n"/>
      <c r="J104" s="128" t="n"/>
      <c r="K104" s="127" t="n"/>
      <c r="L104" s="127" t="n"/>
    </row>
    <row r="105" ht="21" customHeight="1">
      <c r="A105" s="1" t="n"/>
      <c r="B105" s="1" t="n"/>
      <c r="C105" s="2" t="n"/>
      <c r="E105" s="130">
        <f>IF($F105="","","MVT-"&amp;TEXT(ROW()-6,"0000"))</f>
        <v/>
      </c>
      <c r="F105" s="134" t="n"/>
      <c r="G105" s="127" t="n"/>
      <c r="H105" s="130">
        <f>IF($G105="","",IFERROR(INDEX(FOU_Article,MATCH($G105,FOU_Code,0)),"⚠ Code inconnu"))</f>
        <v/>
      </c>
      <c r="I105" s="127" t="n"/>
      <c r="J105" s="128" t="n"/>
      <c r="K105" s="127" t="n"/>
      <c r="L105" s="127" t="n"/>
    </row>
    <row r="106" ht="21" customHeight="1">
      <c r="A106" s="1" t="n"/>
      <c r="B106" s="1" t="n"/>
      <c r="C106" s="2" t="n"/>
      <c r="E106" s="130">
        <f>IF($F106="","","MVT-"&amp;TEXT(ROW()-6,"0000"))</f>
        <v/>
      </c>
      <c r="F106" s="134" t="n"/>
      <c r="G106" s="127" t="n"/>
      <c r="H106" s="130">
        <f>IF($G106="","",IFERROR(INDEX(FOU_Article,MATCH($G106,FOU_Code,0)),"⚠ Code inconnu"))</f>
        <v/>
      </c>
      <c r="I106" s="127" t="n"/>
      <c r="J106" s="128" t="n"/>
      <c r="K106" s="127" t="n"/>
      <c r="L106" s="127" t="n"/>
    </row>
    <row r="107" ht="21" customHeight="1">
      <c r="A107" s="1" t="n"/>
      <c r="B107" s="1" t="n"/>
      <c r="C107" s="2" t="n"/>
      <c r="E107" s="130">
        <f>IF($F107="","","MVT-"&amp;TEXT(ROW()-6,"0000"))</f>
        <v/>
      </c>
      <c r="F107" s="134" t="n"/>
      <c r="G107" s="127" t="n"/>
      <c r="H107" s="130">
        <f>IF($G107="","",IFERROR(INDEX(FOU_Article,MATCH($G107,FOU_Code,0)),"⚠ Code inconnu"))</f>
        <v/>
      </c>
      <c r="I107" s="127" t="n"/>
      <c r="J107" s="128" t="n"/>
      <c r="K107" s="127" t="n"/>
      <c r="L107" s="127" t="n"/>
    </row>
    <row r="108" ht="21" customHeight="1">
      <c r="A108" s="1" t="n"/>
      <c r="B108" s="1" t="n"/>
      <c r="C108" s="2" t="n"/>
      <c r="E108" s="130">
        <f>IF($F108="","","MVT-"&amp;TEXT(ROW()-6,"0000"))</f>
        <v/>
      </c>
      <c r="F108" s="134" t="n"/>
      <c r="G108" s="127" t="n"/>
      <c r="H108" s="130">
        <f>IF($G108="","",IFERROR(INDEX(FOU_Article,MATCH($G108,FOU_Code,0)),"⚠ Code inconnu"))</f>
        <v/>
      </c>
      <c r="I108" s="127" t="n"/>
      <c r="J108" s="128" t="n"/>
      <c r="K108" s="127" t="n"/>
      <c r="L108" s="127" t="n"/>
    </row>
    <row r="109" ht="21" customHeight="1">
      <c r="A109" s="1" t="n"/>
      <c r="B109" s="1" t="n"/>
      <c r="C109" s="2" t="n"/>
      <c r="E109" s="130">
        <f>IF($F109="","","MVT-"&amp;TEXT(ROW()-6,"0000"))</f>
        <v/>
      </c>
      <c r="F109" s="134" t="n"/>
      <c r="G109" s="127" t="n"/>
      <c r="H109" s="130">
        <f>IF($G109="","",IFERROR(INDEX(FOU_Article,MATCH($G109,FOU_Code,0)),"⚠ Code inconnu"))</f>
        <v/>
      </c>
      <c r="I109" s="127" t="n"/>
      <c r="J109" s="128" t="n"/>
      <c r="K109" s="127" t="n"/>
      <c r="L109" s="127" t="n"/>
    </row>
    <row r="110" ht="21" customHeight="1">
      <c r="A110" s="1" t="n"/>
      <c r="B110" s="1" t="n"/>
      <c r="C110" s="2" t="n"/>
      <c r="E110" s="130">
        <f>IF($F110="","","MVT-"&amp;TEXT(ROW()-6,"0000"))</f>
        <v/>
      </c>
      <c r="F110" s="134" t="n"/>
      <c r="G110" s="127" t="n"/>
      <c r="H110" s="130">
        <f>IF($G110="","",IFERROR(INDEX(FOU_Article,MATCH($G110,FOU_Code,0)),"⚠ Code inconnu"))</f>
        <v/>
      </c>
      <c r="I110" s="127" t="n"/>
      <c r="J110" s="128" t="n"/>
      <c r="K110" s="127" t="n"/>
      <c r="L110" s="127" t="n"/>
    </row>
    <row r="111" ht="21" customHeight="1">
      <c r="A111" s="1" t="n"/>
      <c r="B111" s="1" t="n"/>
      <c r="C111" s="2" t="n"/>
      <c r="E111" s="130">
        <f>IF($F111="","","MVT-"&amp;TEXT(ROW()-6,"0000"))</f>
        <v/>
      </c>
      <c r="F111" s="134" t="n"/>
      <c r="G111" s="127" t="n"/>
      <c r="H111" s="130">
        <f>IF($G111="","",IFERROR(INDEX(FOU_Article,MATCH($G111,FOU_Code,0)),"⚠ Code inconnu"))</f>
        <v/>
      </c>
      <c r="I111" s="127" t="n"/>
      <c r="J111" s="128" t="n"/>
      <c r="K111" s="127" t="n"/>
      <c r="L111" s="127" t="n"/>
    </row>
    <row r="112" ht="21" customHeight="1">
      <c r="A112" s="1" t="n"/>
      <c r="B112" s="1" t="n"/>
      <c r="C112" s="2" t="n"/>
      <c r="E112" s="130">
        <f>IF($F112="","","MVT-"&amp;TEXT(ROW()-6,"0000"))</f>
        <v/>
      </c>
      <c r="F112" s="134" t="n"/>
      <c r="G112" s="127" t="n"/>
      <c r="H112" s="130">
        <f>IF($G112="","",IFERROR(INDEX(FOU_Article,MATCH($G112,FOU_Code,0)),"⚠ Code inconnu"))</f>
        <v/>
      </c>
      <c r="I112" s="127" t="n"/>
      <c r="J112" s="128" t="n"/>
      <c r="K112" s="127" t="n"/>
      <c r="L112" s="127" t="n"/>
    </row>
    <row r="113" ht="21" customHeight="1">
      <c r="A113" s="1" t="n"/>
      <c r="B113" s="1" t="n"/>
      <c r="C113" s="2" t="n"/>
      <c r="E113" s="130">
        <f>IF($F113="","","MVT-"&amp;TEXT(ROW()-6,"0000"))</f>
        <v/>
      </c>
      <c r="F113" s="134" t="n"/>
      <c r="G113" s="127" t="n"/>
      <c r="H113" s="130">
        <f>IF($G113="","",IFERROR(INDEX(FOU_Article,MATCH($G113,FOU_Code,0)),"⚠ Code inconnu"))</f>
        <v/>
      </c>
      <c r="I113" s="127" t="n"/>
      <c r="J113" s="128" t="n"/>
      <c r="K113" s="127" t="n"/>
      <c r="L113" s="127" t="n"/>
    </row>
    <row r="114" ht="21" customHeight="1">
      <c r="A114" s="1" t="n"/>
      <c r="B114" s="1" t="n"/>
      <c r="C114" s="2" t="n"/>
      <c r="E114" s="130">
        <f>IF($F114="","","MVT-"&amp;TEXT(ROW()-6,"0000"))</f>
        <v/>
      </c>
      <c r="F114" s="134" t="n"/>
      <c r="G114" s="127" t="n"/>
      <c r="H114" s="130">
        <f>IF($G114="","",IFERROR(INDEX(FOU_Article,MATCH($G114,FOU_Code,0)),"⚠ Code inconnu"))</f>
        <v/>
      </c>
      <c r="I114" s="127" t="n"/>
      <c r="J114" s="128" t="n"/>
      <c r="K114" s="127" t="n"/>
      <c r="L114" s="127" t="n"/>
    </row>
    <row r="115" ht="21" customHeight="1">
      <c r="A115" s="1" t="n"/>
      <c r="B115" s="1" t="n"/>
      <c r="C115" s="2" t="n"/>
      <c r="E115" s="130">
        <f>IF($F115="","","MVT-"&amp;TEXT(ROW()-6,"0000"))</f>
        <v/>
      </c>
      <c r="F115" s="134" t="n"/>
      <c r="G115" s="127" t="n"/>
      <c r="H115" s="130">
        <f>IF($G115="","",IFERROR(INDEX(FOU_Article,MATCH($G115,FOU_Code,0)),"⚠ Code inconnu"))</f>
        <v/>
      </c>
      <c r="I115" s="127" t="n"/>
      <c r="J115" s="128" t="n"/>
      <c r="K115" s="127" t="n"/>
      <c r="L115" s="127" t="n"/>
    </row>
    <row r="116" ht="21" customHeight="1">
      <c r="A116" s="1" t="n"/>
      <c r="B116" s="1" t="n"/>
      <c r="C116" s="2" t="n"/>
      <c r="E116" s="130">
        <f>IF($F116="","","MVT-"&amp;TEXT(ROW()-6,"0000"))</f>
        <v/>
      </c>
      <c r="F116" s="134" t="n"/>
      <c r="G116" s="127" t="n"/>
      <c r="H116" s="130">
        <f>IF($G116="","",IFERROR(INDEX(FOU_Article,MATCH($G116,FOU_Code,0)),"⚠ Code inconnu"))</f>
        <v/>
      </c>
      <c r="I116" s="127" t="n"/>
      <c r="J116" s="128" t="n"/>
      <c r="K116" s="127" t="n"/>
      <c r="L116" s="127" t="n"/>
    </row>
    <row r="117" ht="21" customHeight="1">
      <c r="A117" s="1" t="n"/>
      <c r="B117" s="1" t="n"/>
      <c r="C117" s="2" t="n"/>
      <c r="E117" s="130">
        <f>IF($F117="","","MVT-"&amp;TEXT(ROW()-6,"0000"))</f>
        <v/>
      </c>
      <c r="F117" s="134" t="n"/>
      <c r="G117" s="127" t="n"/>
      <c r="H117" s="130">
        <f>IF($G117="","",IFERROR(INDEX(FOU_Article,MATCH($G117,FOU_Code,0)),"⚠ Code inconnu"))</f>
        <v/>
      </c>
      <c r="I117" s="127" t="n"/>
      <c r="J117" s="128" t="n"/>
      <c r="K117" s="127" t="n"/>
      <c r="L117" s="127" t="n"/>
    </row>
    <row r="118" ht="21" customHeight="1">
      <c r="A118" s="1" t="n"/>
      <c r="B118" s="1" t="n"/>
      <c r="C118" s="2" t="n"/>
      <c r="E118" s="130">
        <f>IF($F118="","","MVT-"&amp;TEXT(ROW()-6,"0000"))</f>
        <v/>
      </c>
      <c r="F118" s="134" t="n"/>
      <c r="G118" s="127" t="n"/>
      <c r="H118" s="130">
        <f>IF($G118="","",IFERROR(INDEX(FOU_Article,MATCH($G118,FOU_Code,0)),"⚠ Code inconnu"))</f>
        <v/>
      </c>
      <c r="I118" s="127" t="n"/>
      <c r="J118" s="128" t="n"/>
      <c r="K118" s="127" t="n"/>
      <c r="L118" s="127" t="n"/>
    </row>
    <row r="119" ht="21" customHeight="1">
      <c r="A119" s="1" t="n"/>
      <c r="B119" s="1" t="n"/>
      <c r="C119" s="2" t="n"/>
      <c r="E119" s="130">
        <f>IF($F119="","","MVT-"&amp;TEXT(ROW()-6,"0000"))</f>
        <v/>
      </c>
      <c r="F119" s="134" t="n"/>
      <c r="G119" s="127" t="n"/>
      <c r="H119" s="130">
        <f>IF($G119="","",IFERROR(INDEX(FOU_Article,MATCH($G119,FOU_Code,0)),"⚠ Code inconnu"))</f>
        <v/>
      </c>
      <c r="I119" s="127" t="n"/>
      <c r="J119" s="128" t="n"/>
      <c r="K119" s="127" t="n"/>
      <c r="L119" s="127" t="n"/>
    </row>
    <row r="120" ht="21" customHeight="1">
      <c r="A120" s="1" t="n"/>
      <c r="B120" s="1" t="n"/>
      <c r="C120" s="2" t="n"/>
      <c r="E120" s="130">
        <f>IF($F120="","","MVT-"&amp;TEXT(ROW()-6,"0000"))</f>
        <v/>
      </c>
      <c r="F120" s="134" t="n"/>
      <c r="G120" s="127" t="n"/>
      <c r="H120" s="130">
        <f>IF($G120="","",IFERROR(INDEX(FOU_Article,MATCH($G120,FOU_Code,0)),"⚠ Code inconnu"))</f>
        <v/>
      </c>
      <c r="I120" s="127" t="n"/>
      <c r="J120" s="128" t="n"/>
      <c r="K120" s="127" t="n"/>
      <c r="L120" s="127" t="n"/>
    </row>
    <row r="121" ht="21" customHeight="1">
      <c r="A121" s="1" t="n"/>
      <c r="B121" s="1" t="n"/>
      <c r="C121" s="2" t="n"/>
      <c r="E121" s="130">
        <f>IF($F121="","","MVT-"&amp;TEXT(ROW()-6,"0000"))</f>
        <v/>
      </c>
      <c r="F121" s="134" t="n"/>
      <c r="G121" s="127" t="n"/>
      <c r="H121" s="130">
        <f>IF($G121="","",IFERROR(INDEX(FOU_Article,MATCH($G121,FOU_Code,0)),"⚠ Code inconnu"))</f>
        <v/>
      </c>
      <c r="I121" s="127" t="n"/>
      <c r="J121" s="128" t="n"/>
      <c r="K121" s="127" t="n"/>
      <c r="L121" s="127" t="n"/>
    </row>
    <row r="122" ht="21" customHeight="1">
      <c r="A122" s="1" t="n"/>
      <c r="B122" s="1" t="n"/>
      <c r="C122" s="2" t="n"/>
      <c r="E122" s="130">
        <f>IF($F122="","","MVT-"&amp;TEXT(ROW()-6,"0000"))</f>
        <v/>
      </c>
      <c r="F122" s="134" t="n"/>
      <c r="G122" s="127" t="n"/>
      <c r="H122" s="130">
        <f>IF($G122="","",IFERROR(INDEX(FOU_Article,MATCH($G122,FOU_Code,0)),"⚠ Code inconnu"))</f>
        <v/>
      </c>
      <c r="I122" s="127" t="n"/>
      <c r="J122" s="128" t="n"/>
      <c r="K122" s="127" t="n"/>
      <c r="L122" s="127" t="n"/>
    </row>
    <row r="123" ht="21" customHeight="1">
      <c r="A123" s="1" t="n"/>
      <c r="B123" s="1" t="n"/>
      <c r="C123" s="2" t="n"/>
      <c r="E123" s="130">
        <f>IF($F123="","","MVT-"&amp;TEXT(ROW()-6,"0000"))</f>
        <v/>
      </c>
      <c r="F123" s="134" t="n"/>
      <c r="G123" s="127" t="n"/>
      <c r="H123" s="130">
        <f>IF($G123="","",IFERROR(INDEX(FOU_Article,MATCH($G123,FOU_Code,0)),"⚠ Code inconnu"))</f>
        <v/>
      </c>
      <c r="I123" s="127" t="n"/>
      <c r="J123" s="128" t="n"/>
      <c r="K123" s="127" t="n"/>
      <c r="L123" s="127" t="n"/>
    </row>
    <row r="124" ht="21" customHeight="1">
      <c r="A124" s="1" t="n"/>
      <c r="B124" s="1" t="n"/>
      <c r="C124" s="2" t="n"/>
      <c r="E124" s="130">
        <f>IF($F124="","","MVT-"&amp;TEXT(ROW()-6,"0000"))</f>
        <v/>
      </c>
      <c r="F124" s="134" t="n"/>
      <c r="G124" s="127" t="n"/>
      <c r="H124" s="130">
        <f>IF($G124="","",IFERROR(INDEX(FOU_Article,MATCH($G124,FOU_Code,0)),"⚠ Code inconnu"))</f>
        <v/>
      </c>
      <c r="I124" s="127" t="n"/>
      <c r="J124" s="128" t="n"/>
      <c r="K124" s="127" t="n"/>
      <c r="L124" s="127" t="n"/>
    </row>
    <row r="125" ht="21" customHeight="1">
      <c r="A125" s="1" t="n"/>
      <c r="B125" s="1" t="n"/>
      <c r="C125" s="2" t="n"/>
      <c r="E125" s="130">
        <f>IF($F125="","","MVT-"&amp;TEXT(ROW()-6,"0000"))</f>
        <v/>
      </c>
      <c r="F125" s="134" t="n"/>
      <c r="G125" s="127" t="n"/>
      <c r="H125" s="130">
        <f>IF($G125="","",IFERROR(INDEX(FOU_Article,MATCH($G125,FOU_Code,0)),"⚠ Code inconnu"))</f>
        <v/>
      </c>
      <c r="I125" s="127" t="n"/>
      <c r="J125" s="128" t="n"/>
      <c r="K125" s="127" t="n"/>
      <c r="L125" s="127" t="n"/>
    </row>
    <row r="126" ht="21" customHeight="1">
      <c r="A126" s="1" t="n"/>
      <c r="B126" s="1" t="n"/>
      <c r="C126" s="2" t="n"/>
      <c r="E126" s="130">
        <f>IF($F126="","","MVT-"&amp;TEXT(ROW()-6,"0000"))</f>
        <v/>
      </c>
      <c r="F126" s="134" t="n"/>
      <c r="G126" s="127" t="n"/>
      <c r="H126" s="130">
        <f>IF($G126="","",IFERROR(INDEX(FOU_Article,MATCH($G126,FOU_Code,0)),"⚠ Code inconnu"))</f>
        <v/>
      </c>
      <c r="I126" s="127" t="n"/>
      <c r="J126" s="128" t="n"/>
      <c r="K126" s="127" t="n"/>
      <c r="L126" s="127" t="n"/>
    </row>
    <row r="127" ht="21" customHeight="1">
      <c r="A127" s="1" t="n"/>
      <c r="B127" s="1" t="n"/>
      <c r="C127" s="2" t="n"/>
      <c r="E127" s="130">
        <f>IF($F127="","","MVT-"&amp;TEXT(ROW()-6,"0000"))</f>
        <v/>
      </c>
      <c r="F127" s="134" t="n"/>
      <c r="G127" s="127" t="n"/>
      <c r="H127" s="130">
        <f>IF($G127="","",IFERROR(INDEX(FOU_Article,MATCH($G127,FOU_Code,0)),"⚠ Code inconnu"))</f>
        <v/>
      </c>
      <c r="I127" s="127" t="n"/>
      <c r="J127" s="128" t="n"/>
      <c r="K127" s="127" t="n"/>
      <c r="L127" s="127" t="n"/>
    </row>
    <row r="128" ht="21" customHeight="1">
      <c r="A128" s="1" t="n"/>
      <c r="B128" s="1" t="n"/>
      <c r="C128" s="2" t="n"/>
      <c r="E128" s="130">
        <f>IF($F128="","","MVT-"&amp;TEXT(ROW()-6,"0000"))</f>
        <v/>
      </c>
      <c r="F128" s="134" t="n"/>
      <c r="G128" s="127" t="n"/>
      <c r="H128" s="130">
        <f>IF($G128="","",IFERROR(INDEX(FOU_Article,MATCH($G128,FOU_Code,0)),"⚠ Code inconnu"))</f>
        <v/>
      </c>
      <c r="I128" s="127" t="n"/>
      <c r="J128" s="128" t="n"/>
      <c r="K128" s="127" t="n"/>
      <c r="L128" s="127" t="n"/>
    </row>
    <row r="129" ht="21" customHeight="1">
      <c r="A129" s="1" t="n"/>
      <c r="B129" s="1" t="n"/>
      <c r="C129" s="2" t="n"/>
      <c r="E129" s="130">
        <f>IF($F129="","","MVT-"&amp;TEXT(ROW()-6,"0000"))</f>
        <v/>
      </c>
      <c r="F129" s="134" t="n"/>
      <c r="G129" s="127" t="n"/>
      <c r="H129" s="130">
        <f>IF($G129="","",IFERROR(INDEX(FOU_Article,MATCH($G129,FOU_Code,0)),"⚠ Code inconnu"))</f>
        <v/>
      </c>
      <c r="I129" s="127" t="n"/>
      <c r="J129" s="128" t="n"/>
      <c r="K129" s="127" t="n"/>
      <c r="L129" s="127" t="n"/>
    </row>
    <row r="130" ht="21" customHeight="1">
      <c r="A130" s="1" t="n"/>
      <c r="B130" s="1" t="n"/>
      <c r="C130" s="2" t="n"/>
      <c r="E130" s="130">
        <f>IF($F130="","","MVT-"&amp;TEXT(ROW()-6,"0000"))</f>
        <v/>
      </c>
      <c r="F130" s="134" t="n"/>
      <c r="G130" s="127" t="n"/>
      <c r="H130" s="130">
        <f>IF($G130="","",IFERROR(INDEX(FOU_Article,MATCH($G130,FOU_Code,0)),"⚠ Code inconnu"))</f>
        <v/>
      </c>
      <c r="I130" s="127" t="n"/>
      <c r="J130" s="128" t="n"/>
      <c r="K130" s="127" t="n"/>
      <c r="L130" s="127" t="n"/>
    </row>
    <row r="131" ht="21" customHeight="1">
      <c r="A131" s="1" t="n"/>
      <c r="B131" s="1" t="n"/>
      <c r="C131" s="2" t="n"/>
      <c r="E131" s="130">
        <f>IF($F131="","","MVT-"&amp;TEXT(ROW()-6,"0000"))</f>
        <v/>
      </c>
      <c r="F131" s="134" t="n"/>
      <c r="G131" s="127" t="n"/>
      <c r="H131" s="130">
        <f>IF($G131="","",IFERROR(INDEX(FOU_Article,MATCH($G131,FOU_Code,0)),"⚠ Code inconnu"))</f>
        <v/>
      </c>
      <c r="I131" s="127" t="n"/>
      <c r="J131" s="128" t="n"/>
      <c r="K131" s="127" t="n"/>
      <c r="L131" s="127" t="n"/>
    </row>
    <row r="132" ht="21" customHeight="1">
      <c r="A132" s="1" t="n"/>
      <c r="B132" s="1" t="n"/>
      <c r="C132" s="2" t="n"/>
      <c r="E132" s="130">
        <f>IF($F132="","","MVT-"&amp;TEXT(ROW()-6,"0000"))</f>
        <v/>
      </c>
      <c r="F132" s="134" t="n"/>
      <c r="G132" s="127" t="n"/>
      <c r="H132" s="130">
        <f>IF($G132="","",IFERROR(INDEX(FOU_Article,MATCH($G132,FOU_Code,0)),"⚠ Code inconnu"))</f>
        <v/>
      </c>
      <c r="I132" s="127" t="n"/>
      <c r="J132" s="128" t="n"/>
      <c r="K132" s="127" t="n"/>
      <c r="L132" s="127" t="n"/>
    </row>
    <row r="133" ht="21" customHeight="1">
      <c r="A133" s="1" t="n"/>
      <c r="B133" s="1" t="n"/>
      <c r="C133" s="2" t="n"/>
      <c r="E133" s="130">
        <f>IF($F133="","","MVT-"&amp;TEXT(ROW()-6,"0000"))</f>
        <v/>
      </c>
      <c r="F133" s="134" t="n"/>
      <c r="G133" s="127" t="n"/>
      <c r="H133" s="130">
        <f>IF($G133="","",IFERROR(INDEX(FOU_Article,MATCH($G133,FOU_Code,0)),"⚠ Code inconnu"))</f>
        <v/>
      </c>
      <c r="I133" s="127" t="n"/>
      <c r="J133" s="128" t="n"/>
      <c r="K133" s="127" t="n"/>
      <c r="L133" s="127" t="n"/>
    </row>
    <row r="134" ht="21" customHeight="1">
      <c r="A134" s="1" t="n"/>
      <c r="B134" s="1" t="n"/>
      <c r="C134" s="2" t="n"/>
      <c r="E134" s="130">
        <f>IF($F134="","","MVT-"&amp;TEXT(ROW()-6,"0000"))</f>
        <v/>
      </c>
      <c r="F134" s="134" t="n"/>
      <c r="G134" s="127" t="n"/>
      <c r="H134" s="130">
        <f>IF($G134="","",IFERROR(INDEX(FOU_Article,MATCH($G134,FOU_Code,0)),"⚠ Code inconnu"))</f>
        <v/>
      </c>
      <c r="I134" s="127" t="n"/>
      <c r="J134" s="128" t="n"/>
      <c r="K134" s="127" t="n"/>
      <c r="L134" s="127" t="n"/>
    </row>
    <row r="135" ht="21" customHeight="1">
      <c r="A135" s="1" t="n"/>
      <c r="B135" s="1" t="n"/>
      <c r="C135" s="2" t="n"/>
      <c r="E135" s="130">
        <f>IF($F135="","","MVT-"&amp;TEXT(ROW()-6,"0000"))</f>
        <v/>
      </c>
      <c r="F135" s="134" t="n"/>
      <c r="G135" s="127" t="n"/>
      <c r="H135" s="130">
        <f>IF($G135="","",IFERROR(INDEX(FOU_Article,MATCH($G135,FOU_Code,0)),"⚠ Code inconnu"))</f>
        <v/>
      </c>
      <c r="I135" s="127" t="n"/>
      <c r="J135" s="128" t="n"/>
      <c r="K135" s="127" t="n"/>
      <c r="L135" s="127" t="n"/>
    </row>
    <row r="136" ht="21" customHeight="1">
      <c r="A136" s="1" t="n"/>
      <c r="B136" s="1" t="n"/>
      <c r="C136" s="2" t="n"/>
      <c r="E136" s="130">
        <f>IF($F136="","","MVT-"&amp;TEXT(ROW()-6,"0000"))</f>
        <v/>
      </c>
      <c r="F136" s="134" t="n"/>
      <c r="G136" s="127" t="n"/>
      <c r="H136" s="130">
        <f>IF($G136="","",IFERROR(INDEX(FOU_Article,MATCH($G136,FOU_Code,0)),"⚠ Code inconnu"))</f>
        <v/>
      </c>
      <c r="I136" s="127" t="n"/>
      <c r="J136" s="128" t="n"/>
      <c r="K136" s="127" t="n"/>
      <c r="L136" s="127" t="n"/>
    </row>
    <row r="137" ht="21" customHeight="1">
      <c r="A137" s="1" t="n"/>
      <c r="B137" s="1" t="n"/>
      <c r="C137" s="2" t="n"/>
      <c r="E137" s="130">
        <f>IF($F137="","","MVT-"&amp;TEXT(ROW()-6,"0000"))</f>
        <v/>
      </c>
      <c r="F137" s="134" t="n"/>
      <c r="G137" s="127" t="n"/>
      <c r="H137" s="130">
        <f>IF($G137="","",IFERROR(INDEX(FOU_Article,MATCH($G137,FOU_Code,0)),"⚠ Code inconnu"))</f>
        <v/>
      </c>
      <c r="I137" s="127" t="n"/>
      <c r="J137" s="128" t="n"/>
      <c r="K137" s="127" t="n"/>
      <c r="L137" s="127" t="n"/>
    </row>
    <row r="138" ht="21" customHeight="1">
      <c r="A138" s="1" t="n"/>
      <c r="B138" s="1" t="n"/>
      <c r="C138" s="2" t="n"/>
      <c r="E138" s="130">
        <f>IF($F138="","","MVT-"&amp;TEXT(ROW()-6,"0000"))</f>
        <v/>
      </c>
      <c r="F138" s="134" t="n"/>
      <c r="G138" s="127" t="n"/>
      <c r="H138" s="130">
        <f>IF($G138="","",IFERROR(INDEX(FOU_Article,MATCH($G138,FOU_Code,0)),"⚠ Code inconnu"))</f>
        <v/>
      </c>
      <c r="I138" s="127" t="n"/>
      <c r="J138" s="128" t="n"/>
      <c r="K138" s="127" t="n"/>
      <c r="L138" s="127" t="n"/>
    </row>
    <row r="139" ht="21" customHeight="1">
      <c r="A139" s="1" t="n"/>
      <c r="B139" s="1" t="n"/>
      <c r="C139" s="2" t="n"/>
      <c r="E139" s="130">
        <f>IF($F139="","","MVT-"&amp;TEXT(ROW()-6,"0000"))</f>
        <v/>
      </c>
      <c r="F139" s="134" t="n"/>
      <c r="G139" s="127" t="n"/>
      <c r="H139" s="130">
        <f>IF($G139="","",IFERROR(INDEX(FOU_Article,MATCH($G139,FOU_Code,0)),"⚠ Code inconnu"))</f>
        <v/>
      </c>
      <c r="I139" s="127" t="n"/>
      <c r="J139" s="128" t="n"/>
      <c r="K139" s="127" t="n"/>
      <c r="L139" s="127" t="n"/>
    </row>
    <row r="140" ht="21" customHeight="1">
      <c r="A140" s="1" t="n"/>
      <c r="B140" s="1" t="n"/>
      <c r="C140" s="2" t="n"/>
      <c r="E140" s="130">
        <f>IF($F140="","","MVT-"&amp;TEXT(ROW()-6,"0000"))</f>
        <v/>
      </c>
      <c r="F140" s="134" t="n"/>
      <c r="G140" s="127" t="n"/>
      <c r="H140" s="130">
        <f>IF($G140="","",IFERROR(INDEX(FOU_Article,MATCH($G140,FOU_Code,0)),"⚠ Code inconnu"))</f>
        <v/>
      </c>
      <c r="I140" s="127" t="n"/>
      <c r="J140" s="128" t="n"/>
      <c r="K140" s="127" t="n"/>
      <c r="L140" s="127" t="n"/>
    </row>
    <row r="141" ht="21" customHeight="1">
      <c r="A141" s="1" t="n"/>
      <c r="B141" s="1" t="n"/>
      <c r="C141" s="2" t="n"/>
      <c r="E141" s="130">
        <f>IF($F141="","","MVT-"&amp;TEXT(ROW()-6,"0000"))</f>
        <v/>
      </c>
      <c r="F141" s="134" t="n"/>
      <c r="G141" s="127" t="n"/>
      <c r="H141" s="130">
        <f>IF($G141="","",IFERROR(INDEX(FOU_Article,MATCH($G141,FOU_Code,0)),"⚠ Code inconnu"))</f>
        <v/>
      </c>
      <c r="I141" s="127" t="n"/>
      <c r="J141" s="128" t="n"/>
      <c r="K141" s="127" t="n"/>
      <c r="L141" s="127" t="n"/>
    </row>
    <row r="142" ht="21" customHeight="1">
      <c r="A142" s="1" t="n"/>
      <c r="B142" s="1" t="n"/>
      <c r="C142" s="2" t="n"/>
      <c r="E142" s="130">
        <f>IF($F142="","","MVT-"&amp;TEXT(ROW()-6,"0000"))</f>
        <v/>
      </c>
      <c r="F142" s="134" t="n"/>
      <c r="G142" s="127" t="n"/>
      <c r="H142" s="130">
        <f>IF($G142="","",IFERROR(INDEX(FOU_Article,MATCH($G142,FOU_Code,0)),"⚠ Code inconnu"))</f>
        <v/>
      </c>
      <c r="I142" s="127" t="n"/>
      <c r="J142" s="128" t="n"/>
      <c r="K142" s="127" t="n"/>
      <c r="L142" s="127" t="n"/>
    </row>
    <row r="143" ht="21" customHeight="1">
      <c r="A143" s="1" t="n"/>
      <c r="B143" s="1" t="n"/>
      <c r="C143" s="2" t="n"/>
      <c r="E143" s="130">
        <f>IF($F143="","","MVT-"&amp;TEXT(ROW()-6,"0000"))</f>
        <v/>
      </c>
      <c r="F143" s="134" t="n"/>
      <c r="G143" s="127" t="n"/>
      <c r="H143" s="130">
        <f>IF($G143="","",IFERROR(INDEX(FOU_Article,MATCH($G143,FOU_Code,0)),"⚠ Code inconnu"))</f>
        <v/>
      </c>
      <c r="I143" s="127" t="n"/>
      <c r="J143" s="128" t="n"/>
      <c r="K143" s="127" t="n"/>
      <c r="L143" s="127" t="n"/>
    </row>
    <row r="144" ht="21" customHeight="1">
      <c r="A144" s="1" t="n"/>
      <c r="B144" s="1" t="n"/>
      <c r="C144" s="2" t="n"/>
      <c r="E144" s="130">
        <f>IF($F144="","","MVT-"&amp;TEXT(ROW()-6,"0000"))</f>
        <v/>
      </c>
      <c r="F144" s="134" t="n"/>
      <c r="G144" s="127" t="n"/>
      <c r="H144" s="130">
        <f>IF($G144="","",IFERROR(INDEX(FOU_Article,MATCH($G144,FOU_Code,0)),"⚠ Code inconnu"))</f>
        <v/>
      </c>
      <c r="I144" s="127" t="n"/>
      <c r="J144" s="128" t="n"/>
      <c r="K144" s="127" t="n"/>
      <c r="L144" s="127" t="n"/>
    </row>
    <row r="145" ht="21" customHeight="1">
      <c r="A145" s="1" t="n"/>
      <c r="B145" s="1" t="n"/>
      <c r="C145" s="2" t="n"/>
      <c r="E145" s="130">
        <f>IF($F145="","","MVT-"&amp;TEXT(ROW()-6,"0000"))</f>
        <v/>
      </c>
      <c r="F145" s="134" t="n"/>
      <c r="G145" s="127" t="n"/>
      <c r="H145" s="130">
        <f>IF($G145="","",IFERROR(INDEX(FOU_Article,MATCH($G145,FOU_Code,0)),"⚠ Code inconnu"))</f>
        <v/>
      </c>
      <c r="I145" s="127" t="n"/>
      <c r="J145" s="128" t="n"/>
      <c r="K145" s="127" t="n"/>
      <c r="L145" s="127" t="n"/>
    </row>
    <row r="146" ht="21" customHeight="1">
      <c r="A146" s="1" t="n"/>
      <c r="B146" s="1" t="n"/>
      <c r="C146" s="2" t="n"/>
      <c r="E146" s="130">
        <f>IF($F146="","","MVT-"&amp;TEXT(ROW()-6,"0000"))</f>
        <v/>
      </c>
      <c r="F146" s="134" t="n"/>
      <c r="G146" s="127" t="n"/>
      <c r="H146" s="130">
        <f>IF($G146="","",IFERROR(INDEX(FOU_Article,MATCH($G146,FOU_Code,0)),"⚠ Code inconnu"))</f>
        <v/>
      </c>
      <c r="I146" s="127" t="n"/>
      <c r="J146" s="128" t="n"/>
      <c r="K146" s="127" t="n"/>
      <c r="L146" s="127" t="n"/>
    </row>
    <row r="147" ht="21" customHeight="1">
      <c r="A147" s="1" t="n"/>
      <c r="B147" s="1" t="n"/>
      <c r="C147" s="2" t="n"/>
      <c r="E147" s="130">
        <f>IF($F147="","","MVT-"&amp;TEXT(ROW()-6,"0000"))</f>
        <v/>
      </c>
      <c r="F147" s="134" t="n"/>
      <c r="G147" s="127" t="n"/>
      <c r="H147" s="130">
        <f>IF($G147="","",IFERROR(INDEX(FOU_Article,MATCH($G147,FOU_Code,0)),"⚠ Code inconnu"))</f>
        <v/>
      </c>
      <c r="I147" s="127" t="n"/>
      <c r="J147" s="128" t="n"/>
      <c r="K147" s="127" t="n"/>
      <c r="L147" s="127" t="n"/>
    </row>
    <row r="148" ht="21" customHeight="1">
      <c r="A148" s="1" t="n"/>
      <c r="B148" s="1" t="n"/>
      <c r="C148" s="2" t="n"/>
      <c r="E148" s="130">
        <f>IF($F148="","","MVT-"&amp;TEXT(ROW()-6,"0000"))</f>
        <v/>
      </c>
      <c r="F148" s="134" t="n"/>
      <c r="G148" s="127" t="n"/>
      <c r="H148" s="130">
        <f>IF($G148="","",IFERROR(INDEX(FOU_Article,MATCH($G148,FOU_Code,0)),"⚠ Code inconnu"))</f>
        <v/>
      </c>
      <c r="I148" s="127" t="n"/>
      <c r="J148" s="128" t="n"/>
      <c r="K148" s="127" t="n"/>
      <c r="L148" s="127" t="n"/>
    </row>
    <row r="149" ht="21" customHeight="1">
      <c r="A149" s="1" t="n"/>
      <c r="B149" s="1" t="n"/>
      <c r="C149" s="2" t="n"/>
      <c r="E149" s="130">
        <f>IF($F149="","","MVT-"&amp;TEXT(ROW()-6,"0000"))</f>
        <v/>
      </c>
      <c r="F149" s="134" t="n"/>
      <c r="G149" s="127" t="n"/>
      <c r="H149" s="130">
        <f>IF($G149="","",IFERROR(INDEX(FOU_Article,MATCH($G149,FOU_Code,0)),"⚠ Code inconnu"))</f>
        <v/>
      </c>
      <c r="I149" s="127" t="n"/>
      <c r="J149" s="128" t="n"/>
      <c r="K149" s="127" t="n"/>
      <c r="L149" s="127" t="n"/>
    </row>
    <row r="150" ht="21" customHeight="1">
      <c r="A150" s="1" t="n"/>
      <c r="B150" s="1" t="n"/>
      <c r="C150" s="2" t="n"/>
      <c r="E150" s="130">
        <f>IF($F150="","","MVT-"&amp;TEXT(ROW()-6,"0000"))</f>
        <v/>
      </c>
      <c r="F150" s="134" t="n"/>
      <c r="G150" s="127" t="n"/>
      <c r="H150" s="130">
        <f>IF($G150="","",IFERROR(INDEX(FOU_Article,MATCH($G150,FOU_Code,0)),"⚠ Code inconnu"))</f>
        <v/>
      </c>
      <c r="I150" s="127" t="n"/>
      <c r="J150" s="128" t="n"/>
      <c r="K150" s="127" t="n"/>
      <c r="L150" s="127" t="n"/>
    </row>
    <row r="151" ht="21" customHeight="1">
      <c r="A151" s="1" t="n"/>
      <c r="B151" s="1" t="n"/>
      <c r="C151" s="2" t="n"/>
      <c r="E151" s="130">
        <f>IF($F151="","","MVT-"&amp;TEXT(ROW()-6,"0000"))</f>
        <v/>
      </c>
      <c r="F151" s="134" t="n"/>
      <c r="G151" s="127" t="n"/>
      <c r="H151" s="130">
        <f>IF($G151="","",IFERROR(INDEX(FOU_Article,MATCH($G151,FOU_Code,0)),"⚠ Code inconnu"))</f>
        <v/>
      </c>
      <c r="I151" s="127" t="n"/>
      <c r="J151" s="128" t="n"/>
      <c r="K151" s="127" t="n"/>
      <c r="L151" s="127" t="n"/>
    </row>
    <row r="152" ht="21" customHeight="1">
      <c r="A152" s="1" t="n"/>
      <c r="B152" s="1" t="n"/>
      <c r="C152" s="2" t="n"/>
      <c r="E152" s="130">
        <f>IF($F152="","","MVT-"&amp;TEXT(ROW()-6,"0000"))</f>
        <v/>
      </c>
      <c r="F152" s="134" t="n"/>
      <c r="G152" s="127" t="n"/>
      <c r="H152" s="130">
        <f>IF($G152="","",IFERROR(INDEX(FOU_Article,MATCH($G152,FOU_Code,0)),"⚠ Code inconnu"))</f>
        <v/>
      </c>
      <c r="I152" s="127" t="n"/>
      <c r="J152" s="128" t="n"/>
      <c r="K152" s="127" t="n"/>
      <c r="L152" s="127" t="n"/>
    </row>
    <row r="153" ht="21" customHeight="1">
      <c r="A153" s="1" t="n"/>
      <c r="B153" s="1" t="n"/>
      <c r="C153" s="2" t="n"/>
      <c r="E153" s="130">
        <f>IF($F153="","","MVT-"&amp;TEXT(ROW()-6,"0000"))</f>
        <v/>
      </c>
      <c r="F153" s="134" t="n"/>
      <c r="G153" s="127" t="n"/>
      <c r="H153" s="130">
        <f>IF($G153="","",IFERROR(INDEX(FOU_Article,MATCH($G153,FOU_Code,0)),"⚠ Code inconnu"))</f>
        <v/>
      </c>
      <c r="I153" s="127" t="n"/>
      <c r="J153" s="128" t="n"/>
      <c r="K153" s="127" t="n"/>
      <c r="L153" s="127" t="n"/>
    </row>
    <row r="154" ht="21" customHeight="1">
      <c r="A154" s="1" t="n"/>
      <c r="B154" s="1" t="n"/>
      <c r="C154" s="2" t="n"/>
      <c r="E154" s="130">
        <f>IF($F154="","","MVT-"&amp;TEXT(ROW()-6,"0000"))</f>
        <v/>
      </c>
      <c r="F154" s="134" t="n"/>
      <c r="G154" s="127" t="n"/>
      <c r="H154" s="130">
        <f>IF($G154="","",IFERROR(INDEX(FOU_Article,MATCH($G154,FOU_Code,0)),"⚠ Code inconnu"))</f>
        <v/>
      </c>
      <c r="I154" s="127" t="n"/>
      <c r="J154" s="128" t="n"/>
      <c r="K154" s="127" t="n"/>
      <c r="L154" s="127" t="n"/>
    </row>
    <row r="155" ht="21" customHeight="1">
      <c r="A155" s="1" t="n"/>
      <c r="B155" s="1" t="n"/>
      <c r="C155" s="2" t="n"/>
      <c r="E155" s="130">
        <f>IF($F155="","","MVT-"&amp;TEXT(ROW()-6,"0000"))</f>
        <v/>
      </c>
      <c r="F155" s="134" t="n"/>
      <c r="G155" s="127" t="n"/>
      <c r="H155" s="130">
        <f>IF($G155="","",IFERROR(INDEX(FOU_Article,MATCH($G155,FOU_Code,0)),"⚠ Code inconnu"))</f>
        <v/>
      </c>
      <c r="I155" s="127" t="n"/>
      <c r="J155" s="128" t="n"/>
      <c r="K155" s="127" t="n"/>
      <c r="L155" s="127" t="n"/>
    </row>
    <row r="156" ht="21" customHeight="1">
      <c r="A156" s="1" t="n"/>
      <c r="B156" s="1" t="n"/>
      <c r="C156" s="2" t="n"/>
      <c r="E156" s="130">
        <f>IF($F156="","","MVT-"&amp;TEXT(ROW()-6,"0000"))</f>
        <v/>
      </c>
      <c r="F156" s="134" t="n"/>
      <c r="G156" s="127" t="n"/>
      <c r="H156" s="130">
        <f>IF($G156="","",IFERROR(INDEX(FOU_Article,MATCH($G156,FOU_Code,0)),"⚠ Code inconnu"))</f>
        <v/>
      </c>
      <c r="I156" s="127" t="n"/>
      <c r="J156" s="128" t="n"/>
      <c r="K156" s="127" t="n"/>
      <c r="L156" s="127" t="n"/>
    </row>
    <row r="157" ht="21" customHeight="1">
      <c r="A157" s="1" t="n"/>
      <c r="B157" s="1" t="n"/>
      <c r="C157" s="2" t="n"/>
      <c r="E157" s="130">
        <f>IF($F157="","","MVT-"&amp;TEXT(ROW()-6,"0000"))</f>
        <v/>
      </c>
      <c r="F157" s="134" t="n"/>
      <c r="G157" s="127" t="n"/>
      <c r="H157" s="130">
        <f>IF($G157="","",IFERROR(INDEX(FOU_Article,MATCH($G157,FOU_Code,0)),"⚠ Code inconnu"))</f>
        <v/>
      </c>
      <c r="I157" s="127" t="n"/>
      <c r="J157" s="128" t="n"/>
      <c r="K157" s="127" t="n"/>
      <c r="L157" s="127" t="n"/>
    </row>
    <row r="158" ht="21" customHeight="1">
      <c r="A158" s="1" t="n"/>
      <c r="B158" s="1" t="n"/>
      <c r="C158" s="2" t="n"/>
      <c r="E158" s="130">
        <f>IF($F158="","","MVT-"&amp;TEXT(ROW()-6,"0000"))</f>
        <v/>
      </c>
      <c r="F158" s="134" t="n"/>
      <c r="G158" s="127" t="n"/>
      <c r="H158" s="130">
        <f>IF($G158="","",IFERROR(INDEX(FOU_Article,MATCH($G158,FOU_Code,0)),"⚠ Code inconnu"))</f>
        <v/>
      </c>
      <c r="I158" s="127" t="n"/>
      <c r="J158" s="128" t="n"/>
      <c r="K158" s="127" t="n"/>
      <c r="L158" s="127" t="n"/>
    </row>
    <row r="159" ht="21" customHeight="1">
      <c r="A159" s="1" t="n"/>
      <c r="B159" s="1" t="n"/>
      <c r="C159" s="2" t="n"/>
      <c r="E159" s="130">
        <f>IF($F159="","","MVT-"&amp;TEXT(ROW()-6,"0000"))</f>
        <v/>
      </c>
      <c r="F159" s="134" t="n"/>
      <c r="G159" s="127" t="n"/>
      <c r="H159" s="130">
        <f>IF($G159="","",IFERROR(INDEX(FOU_Article,MATCH($G159,FOU_Code,0)),"⚠ Code inconnu"))</f>
        <v/>
      </c>
      <c r="I159" s="127" t="n"/>
      <c r="J159" s="128" t="n"/>
      <c r="K159" s="127" t="n"/>
      <c r="L159" s="127" t="n"/>
    </row>
    <row r="160" ht="21" customHeight="1">
      <c r="A160" s="1" t="n"/>
      <c r="B160" s="1" t="n"/>
      <c r="C160" s="2" t="n"/>
      <c r="E160" s="130">
        <f>IF($F160="","","MVT-"&amp;TEXT(ROW()-6,"0000"))</f>
        <v/>
      </c>
      <c r="F160" s="134" t="n"/>
      <c r="G160" s="127" t="n"/>
      <c r="H160" s="130">
        <f>IF($G160="","",IFERROR(INDEX(FOU_Article,MATCH($G160,FOU_Code,0)),"⚠ Code inconnu"))</f>
        <v/>
      </c>
      <c r="I160" s="127" t="n"/>
      <c r="J160" s="128" t="n"/>
      <c r="K160" s="127" t="n"/>
      <c r="L160" s="127" t="n"/>
    </row>
    <row r="161" ht="21" customHeight="1">
      <c r="A161" s="1" t="n"/>
      <c r="B161" s="1" t="n"/>
      <c r="C161" s="2" t="n"/>
      <c r="E161" s="130">
        <f>IF($F161="","","MVT-"&amp;TEXT(ROW()-6,"0000"))</f>
        <v/>
      </c>
      <c r="F161" s="134" t="n"/>
      <c r="G161" s="127" t="n"/>
      <c r="H161" s="130">
        <f>IF($G161="","",IFERROR(INDEX(FOU_Article,MATCH($G161,FOU_Code,0)),"⚠ Code inconnu"))</f>
        <v/>
      </c>
      <c r="I161" s="127" t="n"/>
      <c r="J161" s="128" t="n"/>
      <c r="K161" s="127" t="n"/>
      <c r="L161" s="127" t="n"/>
    </row>
    <row r="162" ht="21" customHeight="1">
      <c r="A162" s="1" t="n"/>
      <c r="B162" s="1" t="n"/>
      <c r="C162" s="2" t="n"/>
      <c r="E162" s="130">
        <f>IF($F162="","","MVT-"&amp;TEXT(ROW()-6,"0000"))</f>
        <v/>
      </c>
      <c r="F162" s="134" t="n"/>
      <c r="G162" s="127" t="n"/>
      <c r="H162" s="130">
        <f>IF($G162="","",IFERROR(INDEX(FOU_Article,MATCH($G162,FOU_Code,0)),"⚠ Code inconnu"))</f>
        <v/>
      </c>
      <c r="I162" s="127" t="n"/>
      <c r="J162" s="128" t="n"/>
      <c r="K162" s="127" t="n"/>
      <c r="L162" s="127" t="n"/>
    </row>
    <row r="163" ht="21" customHeight="1">
      <c r="A163" s="1" t="n"/>
      <c r="B163" s="1" t="n"/>
      <c r="C163" s="2" t="n"/>
      <c r="E163" s="130">
        <f>IF($F163="","","MVT-"&amp;TEXT(ROW()-6,"0000"))</f>
        <v/>
      </c>
      <c r="F163" s="134" t="n"/>
      <c r="G163" s="127" t="n"/>
      <c r="H163" s="130">
        <f>IF($G163="","",IFERROR(INDEX(FOU_Article,MATCH($G163,FOU_Code,0)),"⚠ Code inconnu"))</f>
        <v/>
      </c>
      <c r="I163" s="127" t="n"/>
      <c r="J163" s="128" t="n"/>
      <c r="K163" s="127" t="n"/>
      <c r="L163" s="127" t="n"/>
    </row>
    <row r="164" ht="21" customHeight="1">
      <c r="A164" s="1" t="n"/>
      <c r="B164" s="1" t="n"/>
      <c r="C164" s="2" t="n"/>
      <c r="E164" s="130">
        <f>IF($F164="","","MVT-"&amp;TEXT(ROW()-6,"0000"))</f>
        <v/>
      </c>
      <c r="F164" s="134" t="n"/>
      <c r="G164" s="127" t="n"/>
      <c r="H164" s="130">
        <f>IF($G164="","",IFERROR(INDEX(FOU_Article,MATCH($G164,FOU_Code,0)),"⚠ Code inconnu"))</f>
        <v/>
      </c>
      <c r="I164" s="127" t="n"/>
      <c r="J164" s="128" t="n"/>
      <c r="K164" s="127" t="n"/>
      <c r="L164" s="127" t="n"/>
    </row>
    <row r="165" ht="21" customHeight="1">
      <c r="A165" s="1" t="n"/>
      <c r="B165" s="1" t="n"/>
      <c r="C165" s="2" t="n"/>
      <c r="E165" s="130">
        <f>IF($F165="","","MVT-"&amp;TEXT(ROW()-6,"0000"))</f>
        <v/>
      </c>
      <c r="F165" s="134" t="n"/>
      <c r="G165" s="127" t="n"/>
      <c r="H165" s="130">
        <f>IF($G165="","",IFERROR(INDEX(FOU_Article,MATCH($G165,FOU_Code,0)),"⚠ Code inconnu"))</f>
        <v/>
      </c>
      <c r="I165" s="127" t="n"/>
      <c r="J165" s="128" t="n"/>
      <c r="K165" s="127" t="n"/>
      <c r="L165" s="127" t="n"/>
    </row>
    <row r="166" ht="21" customHeight="1">
      <c r="A166" s="1" t="n"/>
      <c r="B166" s="1" t="n"/>
      <c r="C166" s="2" t="n"/>
      <c r="E166" s="130">
        <f>IF($F166="","","MVT-"&amp;TEXT(ROW()-6,"0000"))</f>
        <v/>
      </c>
      <c r="F166" s="134" t="n"/>
      <c r="G166" s="127" t="n"/>
      <c r="H166" s="130">
        <f>IF($G166="","",IFERROR(INDEX(FOU_Article,MATCH($G166,FOU_Code,0)),"⚠ Code inconnu"))</f>
        <v/>
      </c>
      <c r="I166" s="127" t="n"/>
      <c r="J166" s="128" t="n"/>
      <c r="K166" s="127" t="n"/>
      <c r="L166" s="127" t="n"/>
    </row>
    <row r="167" ht="21" customHeight="1">
      <c r="A167" s="1" t="n"/>
      <c r="B167" s="1" t="n"/>
      <c r="C167" s="2" t="n"/>
      <c r="E167" s="130">
        <f>IF($F167="","","MVT-"&amp;TEXT(ROW()-6,"0000"))</f>
        <v/>
      </c>
      <c r="F167" s="134" t="n"/>
      <c r="G167" s="127" t="n"/>
      <c r="H167" s="130">
        <f>IF($G167="","",IFERROR(INDEX(FOU_Article,MATCH($G167,FOU_Code,0)),"⚠ Code inconnu"))</f>
        <v/>
      </c>
      <c r="I167" s="127" t="n"/>
      <c r="J167" s="128" t="n"/>
      <c r="K167" s="127" t="n"/>
      <c r="L167" s="127" t="n"/>
    </row>
    <row r="168" ht="21" customHeight="1">
      <c r="A168" s="1" t="n"/>
      <c r="B168" s="1" t="n"/>
      <c r="C168" s="2" t="n"/>
      <c r="E168" s="130">
        <f>IF($F168="","","MVT-"&amp;TEXT(ROW()-6,"0000"))</f>
        <v/>
      </c>
      <c r="F168" s="134" t="n"/>
      <c r="G168" s="127" t="n"/>
      <c r="H168" s="130">
        <f>IF($G168="","",IFERROR(INDEX(FOU_Article,MATCH($G168,FOU_Code,0)),"⚠ Code inconnu"))</f>
        <v/>
      </c>
      <c r="I168" s="127" t="n"/>
      <c r="J168" s="128" t="n"/>
      <c r="K168" s="127" t="n"/>
      <c r="L168" s="127" t="n"/>
    </row>
    <row r="169" ht="21" customHeight="1">
      <c r="A169" s="1" t="n"/>
      <c r="B169" s="1" t="n"/>
      <c r="C169" s="2" t="n"/>
      <c r="E169" s="130">
        <f>IF($F169="","","MVT-"&amp;TEXT(ROW()-6,"0000"))</f>
        <v/>
      </c>
      <c r="F169" s="134" t="n"/>
      <c r="G169" s="127" t="n"/>
      <c r="H169" s="130">
        <f>IF($G169="","",IFERROR(INDEX(FOU_Article,MATCH($G169,FOU_Code,0)),"⚠ Code inconnu"))</f>
        <v/>
      </c>
      <c r="I169" s="127" t="n"/>
      <c r="J169" s="128" t="n"/>
      <c r="K169" s="127" t="n"/>
      <c r="L169" s="127" t="n"/>
    </row>
    <row r="170" ht="21" customHeight="1">
      <c r="A170" s="1" t="n"/>
      <c r="B170" s="1" t="n"/>
      <c r="C170" s="2" t="n"/>
      <c r="E170" s="130">
        <f>IF($F170="","","MVT-"&amp;TEXT(ROW()-6,"0000"))</f>
        <v/>
      </c>
      <c r="F170" s="134" t="n"/>
      <c r="G170" s="127" t="n"/>
      <c r="H170" s="130">
        <f>IF($G170="","",IFERROR(INDEX(FOU_Article,MATCH($G170,FOU_Code,0)),"⚠ Code inconnu"))</f>
        <v/>
      </c>
      <c r="I170" s="127" t="n"/>
      <c r="J170" s="128" t="n"/>
      <c r="K170" s="127" t="n"/>
      <c r="L170" s="127" t="n"/>
    </row>
    <row r="171" ht="21" customHeight="1">
      <c r="A171" s="1" t="n"/>
      <c r="B171" s="1" t="n"/>
      <c r="C171" s="2" t="n"/>
      <c r="E171" s="130">
        <f>IF($F171="","","MVT-"&amp;TEXT(ROW()-6,"0000"))</f>
        <v/>
      </c>
      <c r="F171" s="134" t="n"/>
      <c r="G171" s="127" t="n"/>
      <c r="H171" s="130">
        <f>IF($G171="","",IFERROR(INDEX(FOU_Article,MATCH($G171,FOU_Code,0)),"⚠ Code inconnu"))</f>
        <v/>
      </c>
      <c r="I171" s="127" t="n"/>
      <c r="J171" s="128" t="n"/>
      <c r="K171" s="127" t="n"/>
      <c r="L171" s="127" t="n"/>
    </row>
    <row r="172" ht="21" customHeight="1">
      <c r="A172" s="1" t="n"/>
      <c r="B172" s="1" t="n"/>
      <c r="C172" s="2" t="n"/>
      <c r="E172" s="130">
        <f>IF($F172="","","MVT-"&amp;TEXT(ROW()-6,"0000"))</f>
        <v/>
      </c>
      <c r="F172" s="134" t="n"/>
      <c r="G172" s="127" t="n"/>
      <c r="H172" s="130">
        <f>IF($G172="","",IFERROR(INDEX(FOU_Article,MATCH($G172,FOU_Code,0)),"⚠ Code inconnu"))</f>
        <v/>
      </c>
      <c r="I172" s="127" t="n"/>
      <c r="J172" s="128" t="n"/>
      <c r="K172" s="127" t="n"/>
      <c r="L172" s="127" t="n"/>
    </row>
    <row r="173" ht="21" customHeight="1">
      <c r="A173" s="1" t="n"/>
      <c r="B173" s="1" t="n"/>
      <c r="C173" s="2" t="n"/>
      <c r="E173" s="130">
        <f>IF($F173="","","MVT-"&amp;TEXT(ROW()-6,"0000"))</f>
        <v/>
      </c>
      <c r="F173" s="134" t="n"/>
      <c r="G173" s="127" t="n"/>
      <c r="H173" s="130">
        <f>IF($G173="","",IFERROR(INDEX(FOU_Article,MATCH($G173,FOU_Code,0)),"⚠ Code inconnu"))</f>
        <v/>
      </c>
      <c r="I173" s="127" t="n"/>
      <c r="J173" s="128" t="n"/>
      <c r="K173" s="127" t="n"/>
      <c r="L173" s="127" t="n"/>
    </row>
    <row r="174" ht="21" customHeight="1">
      <c r="A174" s="1" t="n"/>
      <c r="B174" s="1" t="n"/>
      <c r="C174" s="2" t="n"/>
      <c r="E174" s="130">
        <f>IF($F174="","","MVT-"&amp;TEXT(ROW()-6,"0000"))</f>
        <v/>
      </c>
      <c r="F174" s="134" t="n"/>
      <c r="G174" s="127" t="n"/>
      <c r="H174" s="130">
        <f>IF($G174="","",IFERROR(INDEX(FOU_Article,MATCH($G174,FOU_Code,0)),"⚠ Code inconnu"))</f>
        <v/>
      </c>
      <c r="I174" s="127" t="n"/>
      <c r="J174" s="128" t="n"/>
      <c r="K174" s="127" t="n"/>
      <c r="L174" s="127" t="n"/>
    </row>
    <row r="175" ht="21" customHeight="1">
      <c r="A175" s="1" t="n"/>
      <c r="B175" s="1" t="n"/>
      <c r="C175" s="2" t="n"/>
      <c r="E175" s="130">
        <f>IF($F175="","","MVT-"&amp;TEXT(ROW()-6,"0000"))</f>
        <v/>
      </c>
      <c r="F175" s="134" t="n"/>
      <c r="G175" s="127" t="n"/>
      <c r="H175" s="130">
        <f>IF($G175="","",IFERROR(INDEX(FOU_Article,MATCH($G175,FOU_Code,0)),"⚠ Code inconnu"))</f>
        <v/>
      </c>
      <c r="I175" s="127" t="n"/>
      <c r="J175" s="128" t="n"/>
      <c r="K175" s="127" t="n"/>
      <c r="L175" s="127" t="n"/>
    </row>
    <row r="176" ht="21" customHeight="1">
      <c r="A176" s="1" t="n"/>
      <c r="B176" s="1" t="n"/>
      <c r="C176" s="2" t="n"/>
      <c r="E176" s="130">
        <f>IF($F176="","","MVT-"&amp;TEXT(ROW()-6,"0000"))</f>
        <v/>
      </c>
      <c r="F176" s="134" t="n"/>
      <c r="G176" s="127" t="n"/>
      <c r="H176" s="130">
        <f>IF($G176="","",IFERROR(INDEX(FOU_Article,MATCH($G176,FOU_Code,0)),"⚠ Code inconnu"))</f>
        <v/>
      </c>
      <c r="I176" s="127" t="n"/>
      <c r="J176" s="128" t="n"/>
      <c r="K176" s="127" t="n"/>
      <c r="L176" s="127" t="n"/>
    </row>
    <row r="177" ht="21" customHeight="1">
      <c r="A177" s="1" t="n"/>
      <c r="B177" s="1" t="n"/>
      <c r="C177" s="2" t="n"/>
      <c r="E177" s="130">
        <f>IF($F177="","","MVT-"&amp;TEXT(ROW()-6,"0000"))</f>
        <v/>
      </c>
      <c r="F177" s="134" t="n"/>
      <c r="G177" s="127" t="n"/>
      <c r="H177" s="130">
        <f>IF($G177="","",IFERROR(INDEX(FOU_Article,MATCH($G177,FOU_Code,0)),"⚠ Code inconnu"))</f>
        <v/>
      </c>
      <c r="I177" s="127" t="n"/>
      <c r="J177" s="128" t="n"/>
      <c r="K177" s="127" t="n"/>
      <c r="L177" s="127" t="n"/>
    </row>
    <row r="178" ht="21" customHeight="1">
      <c r="A178" s="1" t="n"/>
      <c r="B178" s="1" t="n"/>
      <c r="C178" s="2" t="n"/>
      <c r="E178" s="130">
        <f>IF($F178="","","MVT-"&amp;TEXT(ROW()-6,"0000"))</f>
        <v/>
      </c>
      <c r="F178" s="134" t="n"/>
      <c r="G178" s="127" t="n"/>
      <c r="H178" s="130">
        <f>IF($G178="","",IFERROR(INDEX(FOU_Article,MATCH($G178,FOU_Code,0)),"⚠ Code inconnu"))</f>
        <v/>
      </c>
      <c r="I178" s="127" t="n"/>
      <c r="J178" s="128" t="n"/>
      <c r="K178" s="127" t="n"/>
      <c r="L178" s="127" t="n"/>
    </row>
    <row r="179" ht="21" customHeight="1">
      <c r="A179" s="1" t="n"/>
      <c r="B179" s="1" t="n"/>
      <c r="C179" s="2" t="n"/>
      <c r="E179" s="130">
        <f>IF($F179="","","MVT-"&amp;TEXT(ROW()-6,"0000"))</f>
        <v/>
      </c>
      <c r="F179" s="134" t="n"/>
      <c r="G179" s="127" t="n"/>
      <c r="H179" s="130">
        <f>IF($G179="","",IFERROR(INDEX(FOU_Article,MATCH($G179,FOU_Code,0)),"⚠ Code inconnu"))</f>
        <v/>
      </c>
      <c r="I179" s="127" t="n"/>
      <c r="J179" s="128" t="n"/>
      <c r="K179" s="127" t="n"/>
      <c r="L179" s="127" t="n"/>
    </row>
    <row r="180" ht="21" customHeight="1">
      <c r="A180" s="1" t="n"/>
      <c r="B180" s="1" t="n"/>
      <c r="C180" s="2" t="n"/>
      <c r="E180" s="130">
        <f>IF($F180="","","MVT-"&amp;TEXT(ROW()-6,"0000"))</f>
        <v/>
      </c>
      <c r="F180" s="134" t="n"/>
      <c r="G180" s="127" t="n"/>
      <c r="H180" s="130">
        <f>IF($G180="","",IFERROR(INDEX(FOU_Article,MATCH($G180,FOU_Code,0)),"⚠ Code inconnu"))</f>
        <v/>
      </c>
      <c r="I180" s="127" t="n"/>
      <c r="J180" s="128" t="n"/>
      <c r="K180" s="127" t="n"/>
      <c r="L180" s="127" t="n"/>
    </row>
    <row r="181" ht="21" customHeight="1">
      <c r="A181" s="1" t="n"/>
      <c r="B181" s="1" t="n"/>
      <c r="C181" s="2" t="n"/>
      <c r="E181" s="130">
        <f>IF($F181="","","MVT-"&amp;TEXT(ROW()-6,"0000"))</f>
        <v/>
      </c>
      <c r="F181" s="134" t="n"/>
      <c r="G181" s="127" t="n"/>
      <c r="H181" s="130">
        <f>IF($G181="","",IFERROR(INDEX(FOU_Article,MATCH($G181,FOU_Code,0)),"⚠ Code inconnu"))</f>
        <v/>
      </c>
      <c r="I181" s="127" t="n"/>
      <c r="J181" s="128" t="n"/>
      <c r="K181" s="127" t="n"/>
      <c r="L181" s="127" t="n"/>
    </row>
    <row r="182" ht="21" customHeight="1">
      <c r="A182" s="1" t="n"/>
      <c r="B182" s="1" t="n"/>
      <c r="C182" s="2" t="n"/>
      <c r="E182" s="130">
        <f>IF($F182="","","MVT-"&amp;TEXT(ROW()-6,"0000"))</f>
        <v/>
      </c>
      <c r="F182" s="134" t="n"/>
      <c r="G182" s="127" t="n"/>
      <c r="H182" s="130">
        <f>IF($G182="","",IFERROR(INDEX(FOU_Article,MATCH($G182,FOU_Code,0)),"⚠ Code inconnu"))</f>
        <v/>
      </c>
      <c r="I182" s="127" t="n"/>
      <c r="J182" s="128" t="n"/>
      <c r="K182" s="127" t="n"/>
      <c r="L182" s="127" t="n"/>
    </row>
    <row r="183" ht="21" customHeight="1">
      <c r="A183" s="1" t="n"/>
      <c r="B183" s="1" t="n"/>
      <c r="C183" s="2" t="n"/>
      <c r="E183" s="130">
        <f>IF($F183="","","MVT-"&amp;TEXT(ROW()-6,"0000"))</f>
        <v/>
      </c>
      <c r="F183" s="134" t="n"/>
      <c r="G183" s="127" t="n"/>
      <c r="H183" s="130">
        <f>IF($G183="","",IFERROR(INDEX(FOU_Article,MATCH($G183,FOU_Code,0)),"⚠ Code inconnu"))</f>
        <v/>
      </c>
      <c r="I183" s="127" t="n"/>
      <c r="J183" s="128" t="n"/>
      <c r="K183" s="127" t="n"/>
      <c r="L183" s="127" t="n"/>
    </row>
    <row r="184" ht="21" customHeight="1">
      <c r="A184" s="1" t="n"/>
      <c r="B184" s="1" t="n"/>
      <c r="C184" s="2" t="n"/>
      <c r="E184" s="130">
        <f>IF($F184="","","MVT-"&amp;TEXT(ROW()-6,"0000"))</f>
        <v/>
      </c>
      <c r="F184" s="134" t="n"/>
      <c r="G184" s="127" t="n"/>
      <c r="H184" s="130">
        <f>IF($G184="","",IFERROR(INDEX(FOU_Article,MATCH($G184,FOU_Code,0)),"⚠ Code inconnu"))</f>
        <v/>
      </c>
      <c r="I184" s="127" t="n"/>
      <c r="J184" s="128" t="n"/>
      <c r="K184" s="127" t="n"/>
      <c r="L184" s="127" t="n"/>
    </row>
    <row r="185" ht="21" customHeight="1">
      <c r="A185" s="1" t="n"/>
      <c r="B185" s="1" t="n"/>
      <c r="C185" s="2" t="n"/>
      <c r="E185" s="130">
        <f>IF($F185="","","MVT-"&amp;TEXT(ROW()-6,"0000"))</f>
        <v/>
      </c>
      <c r="F185" s="134" t="n"/>
      <c r="G185" s="127" t="n"/>
      <c r="H185" s="130">
        <f>IF($G185="","",IFERROR(INDEX(FOU_Article,MATCH($G185,FOU_Code,0)),"⚠ Code inconnu"))</f>
        <v/>
      </c>
      <c r="I185" s="127" t="n"/>
      <c r="J185" s="128" t="n"/>
      <c r="K185" s="127" t="n"/>
      <c r="L185" s="127" t="n"/>
    </row>
    <row r="186" ht="21" customHeight="1">
      <c r="A186" s="1" t="n"/>
      <c r="B186" s="1" t="n"/>
      <c r="C186" s="2" t="n"/>
      <c r="E186" s="130">
        <f>IF($F186="","","MVT-"&amp;TEXT(ROW()-6,"0000"))</f>
        <v/>
      </c>
      <c r="F186" s="134" t="n"/>
      <c r="G186" s="127" t="n"/>
      <c r="H186" s="130">
        <f>IF($G186="","",IFERROR(INDEX(FOU_Article,MATCH($G186,FOU_Code,0)),"⚠ Code inconnu"))</f>
        <v/>
      </c>
      <c r="I186" s="127" t="n"/>
      <c r="J186" s="128" t="n"/>
      <c r="K186" s="127" t="n"/>
      <c r="L186" s="127" t="n"/>
    </row>
    <row r="187" ht="21" customHeight="1">
      <c r="A187" s="1" t="n"/>
      <c r="B187" s="1" t="n"/>
      <c r="C187" s="2" t="n"/>
      <c r="E187" s="130">
        <f>IF($F187="","","MVT-"&amp;TEXT(ROW()-6,"0000"))</f>
        <v/>
      </c>
      <c r="F187" s="134" t="n"/>
      <c r="G187" s="127" t="n"/>
      <c r="H187" s="130">
        <f>IF($G187="","",IFERROR(INDEX(FOU_Article,MATCH($G187,FOU_Code,0)),"⚠ Code inconnu"))</f>
        <v/>
      </c>
      <c r="I187" s="127" t="n"/>
      <c r="J187" s="128" t="n"/>
      <c r="K187" s="127" t="n"/>
      <c r="L187" s="127" t="n"/>
    </row>
    <row r="188" ht="21" customHeight="1">
      <c r="A188" s="1" t="n"/>
      <c r="B188" s="1" t="n"/>
      <c r="C188" s="2" t="n"/>
      <c r="E188" s="130">
        <f>IF($F188="","","MVT-"&amp;TEXT(ROW()-6,"0000"))</f>
        <v/>
      </c>
      <c r="F188" s="134" t="n"/>
      <c r="G188" s="127" t="n"/>
      <c r="H188" s="130">
        <f>IF($G188="","",IFERROR(INDEX(FOU_Article,MATCH($G188,FOU_Code,0)),"⚠ Code inconnu"))</f>
        <v/>
      </c>
      <c r="I188" s="127" t="n"/>
      <c r="J188" s="128" t="n"/>
      <c r="K188" s="127" t="n"/>
      <c r="L188" s="127" t="n"/>
    </row>
    <row r="189" ht="21" customHeight="1">
      <c r="A189" s="1" t="n"/>
      <c r="B189" s="1" t="n"/>
      <c r="C189" s="2" t="n"/>
      <c r="E189" s="130">
        <f>IF($F189="","","MVT-"&amp;TEXT(ROW()-6,"0000"))</f>
        <v/>
      </c>
      <c r="F189" s="134" t="n"/>
      <c r="G189" s="127" t="n"/>
      <c r="H189" s="130">
        <f>IF($G189="","",IFERROR(INDEX(FOU_Article,MATCH($G189,FOU_Code,0)),"⚠ Code inconnu"))</f>
        <v/>
      </c>
      <c r="I189" s="127" t="n"/>
      <c r="J189" s="128" t="n"/>
      <c r="K189" s="127" t="n"/>
      <c r="L189" s="127" t="n"/>
    </row>
    <row r="190" ht="21" customHeight="1">
      <c r="A190" s="1" t="n"/>
      <c r="B190" s="1" t="n"/>
      <c r="C190" s="2" t="n"/>
      <c r="E190" s="130">
        <f>IF($F190="","","MVT-"&amp;TEXT(ROW()-6,"0000"))</f>
        <v/>
      </c>
      <c r="F190" s="134" t="n"/>
      <c r="G190" s="127" t="n"/>
      <c r="H190" s="130">
        <f>IF($G190="","",IFERROR(INDEX(FOU_Article,MATCH($G190,FOU_Code,0)),"⚠ Code inconnu"))</f>
        <v/>
      </c>
      <c r="I190" s="127" t="n"/>
      <c r="J190" s="128" t="n"/>
      <c r="K190" s="127" t="n"/>
      <c r="L190" s="127" t="n"/>
    </row>
    <row r="191" ht="21" customHeight="1">
      <c r="A191" s="1" t="n"/>
      <c r="B191" s="1" t="n"/>
      <c r="C191" s="2" t="n"/>
      <c r="E191" s="130">
        <f>IF($F191="","","MVT-"&amp;TEXT(ROW()-6,"0000"))</f>
        <v/>
      </c>
      <c r="F191" s="134" t="n"/>
      <c r="G191" s="127" t="n"/>
      <c r="H191" s="130">
        <f>IF($G191="","",IFERROR(INDEX(FOU_Article,MATCH($G191,FOU_Code,0)),"⚠ Code inconnu"))</f>
        <v/>
      </c>
      <c r="I191" s="127" t="n"/>
      <c r="J191" s="128" t="n"/>
      <c r="K191" s="127" t="n"/>
      <c r="L191" s="127" t="n"/>
    </row>
    <row r="192" ht="21" customHeight="1">
      <c r="A192" s="1" t="n"/>
      <c r="B192" s="1" t="n"/>
      <c r="C192" s="2" t="n"/>
      <c r="E192" s="130">
        <f>IF($F192="","","MVT-"&amp;TEXT(ROW()-6,"0000"))</f>
        <v/>
      </c>
      <c r="F192" s="134" t="n"/>
      <c r="G192" s="127" t="n"/>
      <c r="H192" s="130">
        <f>IF($G192="","",IFERROR(INDEX(FOU_Article,MATCH($G192,FOU_Code,0)),"⚠ Code inconnu"))</f>
        <v/>
      </c>
      <c r="I192" s="127" t="n"/>
      <c r="J192" s="128" t="n"/>
      <c r="K192" s="127" t="n"/>
      <c r="L192" s="127" t="n"/>
    </row>
    <row r="193" ht="21" customHeight="1">
      <c r="A193" s="1" t="n"/>
      <c r="B193" s="1" t="n"/>
      <c r="C193" s="2" t="n"/>
      <c r="E193" s="130">
        <f>IF($F193="","","MVT-"&amp;TEXT(ROW()-6,"0000"))</f>
        <v/>
      </c>
      <c r="F193" s="134" t="n"/>
      <c r="G193" s="127" t="n"/>
      <c r="H193" s="130">
        <f>IF($G193="","",IFERROR(INDEX(FOU_Article,MATCH($G193,FOU_Code,0)),"⚠ Code inconnu"))</f>
        <v/>
      </c>
      <c r="I193" s="127" t="n"/>
      <c r="J193" s="128" t="n"/>
      <c r="K193" s="127" t="n"/>
      <c r="L193" s="127" t="n"/>
    </row>
    <row r="194" ht="21" customHeight="1">
      <c r="A194" s="1" t="n"/>
      <c r="B194" s="1" t="n"/>
      <c r="C194" s="2" t="n"/>
      <c r="E194" s="130">
        <f>IF($F194="","","MVT-"&amp;TEXT(ROW()-6,"0000"))</f>
        <v/>
      </c>
      <c r="F194" s="134" t="n"/>
      <c r="G194" s="127" t="n"/>
      <c r="H194" s="130">
        <f>IF($G194="","",IFERROR(INDEX(FOU_Article,MATCH($G194,FOU_Code,0)),"⚠ Code inconnu"))</f>
        <v/>
      </c>
      <c r="I194" s="127" t="n"/>
      <c r="J194" s="128" t="n"/>
      <c r="K194" s="127" t="n"/>
      <c r="L194" s="127" t="n"/>
    </row>
    <row r="195" ht="21" customHeight="1">
      <c r="A195" s="1" t="n"/>
      <c r="B195" s="1" t="n"/>
      <c r="C195" s="2" t="n"/>
      <c r="E195" s="130">
        <f>IF($F195="","","MVT-"&amp;TEXT(ROW()-6,"0000"))</f>
        <v/>
      </c>
      <c r="F195" s="134" t="n"/>
      <c r="G195" s="127" t="n"/>
      <c r="H195" s="130">
        <f>IF($G195="","",IFERROR(INDEX(FOU_Article,MATCH($G195,FOU_Code,0)),"⚠ Code inconnu"))</f>
        <v/>
      </c>
      <c r="I195" s="127" t="n"/>
      <c r="J195" s="128" t="n"/>
      <c r="K195" s="127" t="n"/>
      <c r="L195" s="127" t="n"/>
    </row>
    <row r="196" ht="21" customHeight="1">
      <c r="A196" s="1" t="n"/>
      <c r="B196" s="1" t="n"/>
      <c r="C196" s="2" t="n"/>
      <c r="E196" s="130">
        <f>IF($F196="","","MVT-"&amp;TEXT(ROW()-6,"0000"))</f>
        <v/>
      </c>
      <c r="F196" s="134" t="n"/>
      <c r="G196" s="127" t="n"/>
      <c r="H196" s="130">
        <f>IF($G196="","",IFERROR(INDEX(FOU_Article,MATCH($G196,FOU_Code,0)),"⚠ Code inconnu"))</f>
        <v/>
      </c>
      <c r="I196" s="127" t="n"/>
      <c r="J196" s="128" t="n"/>
      <c r="K196" s="127" t="n"/>
      <c r="L196" s="127" t="n"/>
    </row>
    <row r="197" ht="21" customHeight="1">
      <c r="A197" s="1" t="n"/>
      <c r="B197" s="1" t="n"/>
      <c r="C197" s="2" t="n"/>
      <c r="E197" s="130">
        <f>IF($F197="","","MVT-"&amp;TEXT(ROW()-6,"0000"))</f>
        <v/>
      </c>
      <c r="F197" s="134" t="n"/>
      <c r="G197" s="127" t="n"/>
      <c r="H197" s="130">
        <f>IF($G197="","",IFERROR(INDEX(FOU_Article,MATCH($G197,FOU_Code,0)),"⚠ Code inconnu"))</f>
        <v/>
      </c>
      <c r="I197" s="127" t="n"/>
      <c r="J197" s="128" t="n"/>
      <c r="K197" s="127" t="n"/>
      <c r="L197" s="127" t="n"/>
    </row>
    <row r="198" ht="21" customHeight="1">
      <c r="A198" s="1" t="n"/>
      <c r="B198" s="1" t="n"/>
      <c r="C198" s="2" t="n"/>
      <c r="E198" s="130">
        <f>IF($F198="","","MVT-"&amp;TEXT(ROW()-6,"0000"))</f>
        <v/>
      </c>
      <c r="F198" s="134" t="n"/>
      <c r="G198" s="127" t="n"/>
      <c r="H198" s="130">
        <f>IF($G198="","",IFERROR(INDEX(FOU_Article,MATCH($G198,FOU_Code,0)),"⚠ Code inconnu"))</f>
        <v/>
      </c>
      <c r="I198" s="127" t="n"/>
      <c r="J198" s="128" t="n"/>
      <c r="K198" s="127" t="n"/>
      <c r="L198" s="127" t="n"/>
    </row>
    <row r="199" ht="21" customHeight="1">
      <c r="A199" s="1" t="n"/>
      <c r="B199" s="1" t="n"/>
      <c r="C199" s="2" t="n"/>
      <c r="E199" s="130">
        <f>IF($F199="","","MVT-"&amp;TEXT(ROW()-6,"0000"))</f>
        <v/>
      </c>
      <c r="F199" s="134" t="n"/>
      <c r="G199" s="127" t="n"/>
      <c r="H199" s="130">
        <f>IF($G199="","",IFERROR(INDEX(FOU_Article,MATCH($G199,FOU_Code,0)),"⚠ Code inconnu"))</f>
        <v/>
      </c>
      <c r="I199" s="127" t="n"/>
      <c r="J199" s="128" t="n"/>
      <c r="K199" s="127" t="n"/>
      <c r="L199" s="127" t="n"/>
    </row>
    <row r="200" ht="21" customHeight="1">
      <c r="A200" s="1" t="n"/>
      <c r="B200" s="1" t="n"/>
      <c r="C200" s="2" t="n"/>
      <c r="E200" s="130">
        <f>IF($F200="","","MVT-"&amp;TEXT(ROW()-6,"0000"))</f>
        <v/>
      </c>
      <c r="F200" s="134" t="n"/>
      <c r="G200" s="127" t="n"/>
      <c r="H200" s="130">
        <f>IF($G200="","",IFERROR(INDEX(FOU_Article,MATCH($G200,FOU_Code,0)),"⚠ Code inconnu"))</f>
        <v/>
      </c>
      <c r="I200" s="127" t="n"/>
      <c r="J200" s="128" t="n"/>
      <c r="K200" s="127" t="n"/>
      <c r="L200" s="127" t="n"/>
    </row>
    <row r="201" ht="21" customHeight="1">
      <c r="A201" s="1" t="n"/>
      <c r="B201" s="1" t="n"/>
      <c r="C201" s="2" t="n"/>
      <c r="E201" s="130">
        <f>IF($F201="","","MVT-"&amp;TEXT(ROW()-6,"0000"))</f>
        <v/>
      </c>
      <c r="F201" s="134" t="n"/>
      <c r="G201" s="127" t="n"/>
      <c r="H201" s="130">
        <f>IF($G201="","",IFERROR(INDEX(FOU_Article,MATCH($G201,FOU_Code,0)),"⚠ Code inconnu"))</f>
        <v/>
      </c>
      <c r="I201" s="127" t="n"/>
      <c r="J201" s="128" t="n"/>
      <c r="K201" s="127" t="n"/>
      <c r="L201" s="127" t="n"/>
    </row>
    <row r="202" ht="21" customHeight="1">
      <c r="A202" s="1" t="n"/>
      <c r="B202" s="1" t="n"/>
      <c r="C202" s="2" t="n"/>
      <c r="E202" s="130">
        <f>IF($F202="","","MVT-"&amp;TEXT(ROW()-6,"0000"))</f>
        <v/>
      </c>
      <c r="F202" s="134" t="n"/>
      <c r="G202" s="127" t="n"/>
      <c r="H202" s="130">
        <f>IF($G202="","",IFERROR(INDEX(FOU_Article,MATCH($G202,FOU_Code,0)),"⚠ Code inconnu"))</f>
        <v/>
      </c>
      <c r="I202" s="127" t="n"/>
      <c r="J202" s="128" t="n"/>
      <c r="K202" s="127" t="n"/>
      <c r="L202" s="127" t="n"/>
    </row>
    <row r="203" ht="21" customHeight="1">
      <c r="A203" s="1" t="n"/>
      <c r="B203" s="1" t="n"/>
      <c r="C203" s="2" t="n"/>
      <c r="E203" s="130">
        <f>IF($F203="","","MVT-"&amp;TEXT(ROW()-6,"0000"))</f>
        <v/>
      </c>
      <c r="F203" s="134" t="n"/>
      <c r="G203" s="127" t="n"/>
      <c r="H203" s="130">
        <f>IF($G203="","",IFERROR(INDEX(FOU_Article,MATCH($G203,FOU_Code,0)),"⚠ Code inconnu"))</f>
        <v/>
      </c>
      <c r="I203" s="127" t="n"/>
      <c r="J203" s="128" t="n"/>
      <c r="K203" s="127" t="n"/>
      <c r="L203" s="127" t="n"/>
    </row>
    <row r="204" ht="21" customHeight="1">
      <c r="A204" s="1" t="n"/>
      <c r="B204" s="1" t="n"/>
      <c r="C204" s="2" t="n"/>
      <c r="E204" s="130">
        <f>IF($F204="","","MVT-"&amp;TEXT(ROW()-6,"0000"))</f>
        <v/>
      </c>
      <c r="F204" s="134" t="n"/>
      <c r="G204" s="127" t="n"/>
      <c r="H204" s="130">
        <f>IF($G204="","",IFERROR(INDEX(FOU_Article,MATCH($G204,FOU_Code,0)),"⚠ Code inconnu"))</f>
        <v/>
      </c>
      <c r="I204" s="127" t="n"/>
      <c r="J204" s="128" t="n"/>
      <c r="K204" s="127" t="n"/>
      <c r="L204" s="127" t="n"/>
    </row>
    <row r="205" ht="21" customHeight="1">
      <c r="A205" s="1" t="n"/>
      <c r="B205" s="1" t="n"/>
      <c r="C205" s="2" t="n"/>
      <c r="E205" s="130">
        <f>IF($F205="","","MVT-"&amp;TEXT(ROW()-6,"0000"))</f>
        <v/>
      </c>
      <c r="F205" s="134" t="n"/>
      <c r="G205" s="127" t="n"/>
      <c r="H205" s="130">
        <f>IF($G205="","",IFERROR(INDEX(FOU_Article,MATCH($G205,FOU_Code,0)),"⚠ Code inconnu"))</f>
        <v/>
      </c>
      <c r="I205" s="127" t="n"/>
      <c r="J205" s="128" t="n"/>
      <c r="K205" s="127" t="n"/>
      <c r="L205" s="127" t="n"/>
    </row>
    <row r="206" ht="21" customHeight="1">
      <c r="A206" s="1" t="n"/>
      <c r="B206" s="1" t="n"/>
      <c r="C206" s="2" t="n"/>
      <c r="E206" s="130">
        <f>IF($F206="","","MVT-"&amp;TEXT(ROW()-6,"0000"))</f>
        <v/>
      </c>
      <c r="F206" s="134" t="n"/>
      <c r="G206" s="127" t="n"/>
      <c r="H206" s="130">
        <f>IF($G206="","",IFERROR(INDEX(FOU_Article,MATCH($G206,FOU_Code,0)),"⚠ Code inconnu"))</f>
        <v/>
      </c>
      <c r="I206" s="127" t="n"/>
      <c r="J206" s="128" t="n"/>
      <c r="K206" s="127" t="n"/>
      <c r="L206" s="127" t="n"/>
    </row>
    <row r="207" ht="21" customHeight="1">
      <c r="A207" s="1" t="n"/>
      <c r="B207" s="1" t="n"/>
      <c r="C207" s="2" t="n"/>
      <c r="E207" s="130">
        <f>IF($F207="","","MVT-"&amp;TEXT(ROW()-6,"0000"))</f>
        <v/>
      </c>
      <c r="F207" s="134" t="n"/>
      <c r="G207" s="127" t="n"/>
      <c r="H207" s="130">
        <f>IF($G207="","",IFERROR(INDEX(FOU_Article,MATCH($G207,FOU_Code,0)),"⚠ Code inconnu"))</f>
        <v/>
      </c>
      <c r="I207" s="127" t="n"/>
      <c r="J207" s="128" t="n"/>
      <c r="K207" s="127" t="n"/>
      <c r="L207" s="127" t="n"/>
    </row>
    <row r="208" ht="21" customHeight="1">
      <c r="A208" s="1" t="n"/>
      <c r="B208" s="1" t="n"/>
      <c r="C208" s="2" t="n"/>
      <c r="E208" s="130">
        <f>IF($F208="","","MVT-"&amp;TEXT(ROW()-6,"0000"))</f>
        <v/>
      </c>
      <c r="F208" s="134" t="n"/>
      <c r="G208" s="127" t="n"/>
      <c r="H208" s="130">
        <f>IF($G208="","",IFERROR(INDEX(FOU_Article,MATCH($G208,FOU_Code,0)),"⚠ Code inconnu"))</f>
        <v/>
      </c>
      <c r="I208" s="127" t="n"/>
      <c r="J208" s="128" t="n"/>
      <c r="K208" s="127" t="n"/>
      <c r="L208" s="127" t="n"/>
    </row>
    <row r="209" ht="21" customHeight="1">
      <c r="A209" s="1" t="n"/>
      <c r="B209" s="1" t="n"/>
      <c r="C209" s="2" t="n"/>
      <c r="E209" s="130">
        <f>IF($F209="","","MVT-"&amp;TEXT(ROW()-6,"0000"))</f>
        <v/>
      </c>
      <c r="F209" s="134" t="n"/>
      <c r="G209" s="127" t="n"/>
      <c r="H209" s="130">
        <f>IF($G209="","",IFERROR(INDEX(FOU_Article,MATCH($G209,FOU_Code,0)),"⚠ Code inconnu"))</f>
        <v/>
      </c>
      <c r="I209" s="127" t="n"/>
      <c r="J209" s="128" t="n"/>
      <c r="K209" s="127" t="n"/>
      <c r="L209" s="127" t="n"/>
    </row>
    <row r="210" ht="21" customHeight="1">
      <c r="A210" s="1" t="n"/>
      <c r="B210" s="1" t="n"/>
      <c r="C210" s="2" t="n"/>
      <c r="E210" s="130">
        <f>IF($F210="","","MVT-"&amp;TEXT(ROW()-6,"0000"))</f>
        <v/>
      </c>
      <c r="F210" s="134" t="n"/>
      <c r="G210" s="127" t="n"/>
      <c r="H210" s="130">
        <f>IF($G210="","",IFERROR(INDEX(FOU_Article,MATCH($G210,FOU_Code,0)),"⚠ Code inconnu"))</f>
        <v/>
      </c>
      <c r="I210" s="127" t="n"/>
      <c r="J210" s="128" t="n"/>
      <c r="K210" s="127" t="n"/>
      <c r="L210" s="127" t="n"/>
    </row>
    <row r="211" ht="21" customHeight="1">
      <c r="A211" s="1" t="n"/>
      <c r="B211" s="1" t="n"/>
      <c r="C211" s="2" t="n"/>
      <c r="E211" s="130">
        <f>IF($F211="","","MVT-"&amp;TEXT(ROW()-6,"0000"))</f>
        <v/>
      </c>
      <c r="F211" s="134" t="n"/>
      <c r="G211" s="127" t="n"/>
      <c r="H211" s="130">
        <f>IF($G211="","",IFERROR(INDEX(FOU_Article,MATCH($G211,FOU_Code,0)),"⚠ Code inconnu"))</f>
        <v/>
      </c>
      <c r="I211" s="127" t="n"/>
      <c r="J211" s="128" t="n"/>
      <c r="K211" s="127" t="n"/>
      <c r="L211" s="127" t="n"/>
    </row>
    <row r="212" ht="21" customHeight="1">
      <c r="A212" s="1" t="n"/>
      <c r="B212" s="1" t="n"/>
      <c r="C212" s="2" t="n"/>
      <c r="E212" s="130">
        <f>IF($F212="","","MVT-"&amp;TEXT(ROW()-6,"0000"))</f>
        <v/>
      </c>
      <c r="F212" s="134" t="n"/>
      <c r="G212" s="127" t="n"/>
      <c r="H212" s="130">
        <f>IF($G212="","",IFERROR(INDEX(FOU_Article,MATCH($G212,FOU_Code,0)),"⚠ Code inconnu"))</f>
        <v/>
      </c>
      <c r="I212" s="127" t="n"/>
      <c r="J212" s="128" t="n"/>
      <c r="K212" s="127" t="n"/>
      <c r="L212" s="127" t="n"/>
    </row>
    <row r="213" ht="21" customHeight="1">
      <c r="A213" s="1" t="n"/>
      <c r="B213" s="1" t="n"/>
      <c r="C213" s="2" t="n"/>
      <c r="E213" s="130">
        <f>IF($F213="","","MVT-"&amp;TEXT(ROW()-6,"0000"))</f>
        <v/>
      </c>
      <c r="F213" s="134" t="n"/>
      <c r="G213" s="127" t="n"/>
      <c r="H213" s="130">
        <f>IF($G213="","",IFERROR(INDEX(FOU_Article,MATCH($G213,FOU_Code,0)),"⚠ Code inconnu"))</f>
        <v/>
      </c>
      <c r="I213" s="127" t="n"/>
      <c r="J213" s="128" t="n"/>
      <c r="K213" s="127" t="n"/>
      <c r="L213" s="127" t="n"/>
    </row>
    <row r="214" ht="21" customHeight="1">
      <c r="A214" s="1" t="n"/>
      <c r="B214" s="1" t="n"/>
      <c r="C214" s="2" t="n"/>
      <c r="E214" s="130">
        <f>IF($F214="","","MVT-"&amp;TEXT(ROW()-6,"0000"))</f>
        <v/>
      </c>
      <c r="F214" s="134" t="n"/>
      <c r="G214" s="127" t="n"/>
      <c r="H214" s="130">
        <f>IF($G214="","",IFERROR(INDEX(FOU_Article,MATCH($G214,FOU_Code,0)),"⚠ Code inconnu"))</f>
        <v/>
      </c>
      <c r="I214" s="127" t="n"/>
      <c r="J214" s="128" t="n"/>
      <c r="K214" s="127" t="n"/>
      <c r="L214" s="127" t="n"/>
    </row>
    <row r="215" ht="21" customHeight="1">
      <c r="A215" s="1" t="n"/>
      <c r="B215" s="1" t="n"/>
      <c r="C215" s="2" t="n"/>
      <c r="E215" s="130">
        <f>IF($F215="","","MVT-"&amp;TEXT(ROW()-6,"0000"))</f>
        <v/>
      </c>
      <c r="F215" s="134" t="n"/>
      <c r="G215" s="127" t="n"/>
      <c r="H215" s="130">
        <f>IF($G215="","",IFERROR(INDEX(FOU_Article,MATCH($G215,FOU_Code,0)),"⚠ Code inconnu"))</f>
        <v/>
      </c>
      <c r="I215" s="127" t="n"/>
      <c r="J215" s="128" t="n"/>
      <c r="K215" s="127" t="n"/>
      <c r="L215" s="127" t="n"/>
    </row>
    <row r="216" ht="21" customHeight="1">
      <c r="A216" s="1" t="n"/>
      <c r="B216" s="1" t="n"/>
      <c r="C216" s="2" t="n"/>
      <c r="E216" s="130">
        <f>IF($F216="","","MVT-"&amp;TEXT(ROW()-6,"0000"))</f>
        <v/>
      </c>
      <c r="F216" s="134" t="n"/>
      <c r="G216" s="127" t="n"/>
      <c r="H216" s="130">
        <f>IF($G216="","",IFERROR(INDEX(FOU_Article,MATCH($G216,FOU_Code,0)),"⚠ Code inconnu"))</f>
        <v/>
      </c>
      <c r="I216" s="127" t="n"/>
      <c r="J216" s="128" t="n"/>
      <c r="K216" s="127" t="n"/>
      <c r="L216" s="127" t="n"/>
    </row>
    <row r="217" ht="21" customHeight="1">
      <c r="A217" s="1" t="n"/>
      <c r="B217" s="1" t="n"/>
      <c r="C217" s="2" t="n"/>
      <c r="E217" s="130">
        <f>IF($F217="","","MVT-"&amp;TEXT(ROW()-6,"0000"))</f>
        <v/>
      </c>
      <c r="F217" s="134" t="n"/>
      <c r="G217" s="127" t="n"/>
      <c r="H217" s="130">
        <f>IF($G217="","",IFERROR(INDEX(FOU_Article,MATCH($G217,FOU_Code,0)),"⚠ Code inconnu"))</f>
        <v/>
      </c>
      <c r="I217" s="127" t="n"/>
      <c r="J217" s="128" t="n"/>
      <c r="K217" s="127" t="n"/>
      <c r="L217" s="127" t="n"/>
    </row>
    <row r="218" ht="21" customHeight="1">
      <c r="A218" s="1" t="n"/>
      <c r="B218" s="1" t="n"/>
      <c r="C218" s="2" t="n"/>
      <c r="E218" s="130">
        <f>IF($F218="","","MVT-"&amp;TEXT(ROW()-6,"0000"))</f>
        <v/>
      </c>
      <c r="F218" s="134" t="n"/>
      <c r="G218" s="127" t="n"/>
      <c r="H218" s="130">
        <f>IF($G218="","",IFERROR(INDEX(FOU_Article,MATCH($G218,FOU_Code,0)),"⚠ Code inconnu"))</f>
        <v/>
      </c>
      <c r="I218" s="127" t="n"/>
      <c r="J218" s="128" t="n"/>
      <c r="K218" s="127" t="n"/>
      <c r="L218" s="127" t="n"/>
    </row>
    <row r="219" ht="21" customHeight="1">
      <c r="A219" s="1" t="n"/>
      <c r="B219" s="1" t="n"/>
      <c r="C219" s="2" t="n"/>
      <c r="E219" s="130">
        <f>IF($F219="","","MVT-"&amp;TEXT(ROW()-6,"0000"))</f>
        <v/>
      </c>
      <c r="F219" s="134" t="n"/>
      <c r="G219" s="127" t="n"/>
      <c r="H219" s="130">
        <f>IF($G219="","",IFERROR(INDEX(FOU_Article,MATCH($G219,FOU_Code,0)),"⚠ Code inconnu"))</f>
        <v/>
      </c>
      <c r="I219" s="127" t="n"/>
      <c r="J219" s="128" t="n"/>
      <c r="K219" s="127" t="n"/>
      <c r="L219" s="127" t="n"/>
    </row>
    <row r="220" ht="21" customHeight="1">
      <c r="A220" s="1" t="n"/>
      <c r="B220" s="1" t="n"/>
      <c r="C220" s="2" t="n"/>
      <c r="E220" s="130">
        <f>IF($F220="","","MVT-"&amp;TEXT(ROW()-6,"0000"))</f>
        <v/>
      </c>
      <c r="F220" s="134" t="n"/>
      <c r="G220" s="127" t="n"/>
      <c r="H220" s="130">
        <f>IF($G220="","",IFERROR(INDEX(FOU_Article,MATCH($G220,FOU_Code,0)),"⚠ Code inconnu"))</f>
        <v/>
      </c>
      <c r="I220" s="127" t="n"/>
      <c r="J220" s="128" t="n"/>
      <c r="K220" s="127" t="n"/>
      <c r="L220" s="127" t="n"/>
    </row>
    <row r="221" ht="21" customHeight="1">
      <c r="A221" s="1" t="n"/>
      <c r="B221" s="1" t="n"/>
      <c r="C221" s="2" t="n"/>
      <c r="E221" s="130">
        <f>IF($F221="","","MVT-"&amp;TEXT(ROW()-6,"0000"))</f>
        <v/>
      </c>
      <c r="F221" s="134" t="n"/>
      <c r="G221" s="127" t="n"/>
      <c r="H221" s="130">
        <f>IF($G221="","",IFERROR(INDEX(FOU_Article,MATCH($G221,FOU_Code,0)),"⚠ Code inconnu"))</f>
        <v/>
      </c>
      <c r="I221" s="127" t="n"/>
      <c r="J221" s="128" t="n"/>
      <c r="K221" s="127" t="n"/>
      <c r="L221" s="127" t="n"/>
    </row>
    <row r="222" ht="21" customHeight="1">
      <c r="A222" s="1" t="n"/>
      <c r="B222" s="1" t="n"/>
      <c r="C222" s="2" t="n"/>
      <c r="E222" s="130">
        <f>IF($F222="","","MVT-"&amp;TEXT(ROW()-6,"0000"))</f>
        <v/>
      </c>
      <c r="F222" s="134" t="n"/>
      <c r="G222" s="127" t="n"/>
      <c r="H222" s="130">
        <f>IF($G222="","",IFERROR(INDEX(FOU_Article,MATCH($G222,FOU_Code,0)),"⚠ Code inconnu"))</f>
        <v/>
      </c>
      <c r="I222" s="127" t="n"/>
      <c r="J222" s="128" t="n"/>
      <c r="K222" s="127" t="n"/>
      <c r="L222" s="127" t="n"/>
    </row>
    <row r="223" ht="21" customHeight="1">
      <c r="A223" s="1" t="n"/>
      <c r="B223" s="1" t="n"/>
      <c r="C223" s="2" t="n"/>
      <c r="E223" s="130">
        <f>IF($F223="","","MVT-"&amp;TEXT(ROW()-6,"0000"))</f>
        <v/>
      </c>
      <c r="F223" s="134" t="n"/>
      <c r="G223" s="127" t="n"/>
      <c r="H223" s="130">
        <f>IF($G223="","",IFERROR(INDEX(FOU_Article,MATCH($G223,FOU_Code,0)),"⚠ Code inconnu"))</f>
        <v/>
      </c>
      <c r="I223" s="127" t="n"/>
      <c r="J223" s="128" t="n"/>
      <c r="K223" s="127" t="n"/>
      <c r="L223" s="127" t="n"/>
    </row>
    <row r="224" ht="21" customHeight="1">
      <c r="A224" s="1" t="n"/>
      <c r="B224" s="1" t="n"/>
      <c r="C224" s="2" t="n"/>
      <c r="E224" s="130">
        <f>IF($F224="","","MVT-"&amp;TEXT(ROW()-6,"0000"))</f>
        <v/>
      </c>
      <c r="F224" s="134" t="n"/>
      <c r="G224" s="127" t="n"/>
      <c r="H224" s="130">
        <f>IF($G224="","",IFERROR(INDEX(FOU_Article,MATCH($G224,FOU_Code,0)),"⚠ Code inconnu"))</f>
        <v/>
      </c>
      <c r="I224" s="127" t="n"/>
      <c r="J224" s="128" t="n"/>
      <c r="K224" s="127" t="n"/>
      <c r="L224" s="127" t="n"/>
    </row>
    <row r="225" ht="21" customHeight="1">
      <c r="A225" s="1" t="n"/>
      <c r="B225" s="1" t="n"/>
      <c r="C225" s="2" t="n"/>
      <c r="E225" s="130">
        <f>IF($F225="","","MVT-"&amp;TEXT(ROW()-6,"0000"))</f>
        <v/>
      </c>
      <c r="F225" s="134" t="n"/>
      <c r="G225" s="127" t="n"/>
      <c r="H225" s="130">
        <f>IF($G225="","",IFERROR(INDEX(FOU_Article,MATCH($G225,FOU_Code,0)),"⚠ Code inconnu"))</f>
        <v/>
      </c>
      <c r="I225" s="127" t="n"/>
      <c r="J225" s="128" t="n"/>
      <c r="K225" s="127" t="n"/>
      <c r="L225" s="127" t="n"/>
    </row>
    <row r="226" ht="21" customHeight="1">
      <c r="A226" s="1" t="n"/>
      <c r="B226" s="1" t="n"/>
      <c r="C226" s="2" t="n"/>
      <c r="E226" s="130">
        <f>IF($F226="","","MVT-"&amp;TEXT(ROW()-6,"0000"))</f>
        <v/>
      </c>
      <c r="F226" s="134" t="n"/>
      <c r="G226" s="127" t="n"/>
      <c r="H226" s="130">
        <f>IF($G226="","",IFERROR(INDEX(FOU_Article,MATCH($G226,FOU_Code,0)),"⚠ Code inconnu"))</f>
        <v/>
      </c>
      <c r="I226" s="127" t="n"/>
      <c r="J226" s="128" t="n"/>
      <c r="K226" s="127" t="n"/>
      <c r="L226" s="127" t="n"/>
    </row>
    <row r="227" ht="21" customHeight="1">
      <c r="A227" s="1" t="n"/>
      <c r="B227" s="1" t="n"/>
      <c r="C227" s="2" t="n"/>
      <c r="E227" s="130">
        <f>IF($F227="","","MVT-"&amp;TEXT(ROW()-6,"0000"))</f>
        <v/>
      </c>
      <c r="F227" s="134" t="n"/>
      <c r="G227" s="127" t="n"/>
      <c r="H227" s="130">
        <f>IF($G227="","",IFERROR(INDEX(FOU_Article,MATCH($G227,FOU_Code,0)),"⚠ Code inconnu"))</f>
        <v/>
      </c>
      <c r="I227" s="127" t="n"/>
      <c r="J227" s="128" t="n"/>
      <c r="K227" s="127" t="n"/>
      <c r="L227" s="127" t="n"/>
    </row>
    <row r="228" ht="21" customHeight="1">
      <c r="A228" s="1" t="n"/>
      <c r="B228" s="1" t="n"/>
      <c r="C228" s="2" t="n"/>
      <c r="E228" s="130">
        <f>IF($F228="","","MVT-"&amp;TEXT(ROW()-6,"0000"))</f>
        <v/>
      </c>
      <c r="F228" s="134" t="n"/>
      <c r="G228" s="127" t="n"/>
      <c r="H228" s="130">
        <f>IF($G228="","",IFERROR(INDEX(FOU_Article,MATCH($G228,FOU_Code,0)),"⚠ Code inconnu"))</f>
        <v/>
      </c>
      <c r="I228" s="127" t="n"/>
      <c r="J228" s="128" t="n"/>
      <c r="K228" s="127" t="n"/>
      <c r="L228" s="127" t="n"/>
    </row>
    <row r="229" ht="21" customHeight="1">
      <c r="A229" s="1" t="n"/>
      <c r="B229" s="1" t="n"/>
      <c r="C229" s="2" t="n"/>
      <c r="E229" s="130">
        <f>IF($F229="","","MVT-"&amp;TEXT(ROW()-6,"0000"))</f>
        <v/>
      </c>
      <c r="F229" s="134" t="n"/>
      <c r="G229" s="127" t="n"/>
      <c r="H229" s="130">
        <f>IF($G229="","",IFERROR(INDEX(FOU_Article,MATCH($G229,FOU_Code,0)),"⚠ Code inconnu"))</f>
        <v/>
      </c>
      <c r="I229" s="127" t="n"/>
      <c r="J229" s="128" t="n"/>
      <c r="K229" s="127" t="n"/>
      <c r="L229" s="127" t="n"/>
    </row>
    <row r="230" ht="21" customHeight="1">
      <c r="A230" s="1" t="n"/>
      <c r="B230" s="1" t="n"/>
      <c r="C230" s="2" t="n"/>
      <c r="E230" s="130">
        <f>IF($F230="","","MVT-"&amp;TEXT(ROW()-6,"0000"))</f>
        <v/>
      </c>
      <c r="F230" s="134" t="n"/>
      <c r="G230" s="127" t="n"/>
      <c r="H230" s="130">
        <f>IF($G230="","",IFERROR(INDEX(FOU_Article,MATCH($G230,FOU_Code,0)),"⚠ Code inconnu"))</f>
        <v/>
      </c>
      <c r="I230" s="127" t="n"/>
      <c r="J230" s="128" t="n"/>
      <c r="K230" s="127" t="n"/>
      <c r="L230" s="127" t="n"/>
    </row>
    <row r="231" ht="21" customHeight="1">
      <c r="A231" s="1" t="n"/>
      <c r="B231" s="1" t="n"/>
      <c r="C231" s="2" t="n"/>
      <c r="E231" s="130">
        <f>IF($F231="","","MVT-"&amp;TEXT(ROW()-6,"0000"))</f>
        <v/>
      </c>
      <c r="F231" s="134" t="n"/>
      <c r="G231" s="127" t="n"/>
      <c r="H231" s="130">
        <f>IF($G231="","",IFERROR(INDEX(FOU_Article,MATCH($G231,FOU_Code,0)),"⚠ Code inconnu"))</f>
        <v/>
      </c>
      <c r="I231" s="127" t="n"/>
      <c r="J231" s="128" t="n"/>
      <c r="K231" s="127" t="n"/>
      <c r="L231" s="127" t="n"/>
    </row>
    <row r="232" ht="21" customHeight="1">
      <c r="A232" s="1" t="n"/>
      <c r="B232" s="1" t="n"/>
      <c r="C232" s="2" t="n"/>
      <c r="E232" s="130">
        <f>IF($F232="","","MVT-"&amp;TEXT(ROW()-6,"0000"))</f>
        <v/>
      </c>
      <c r="F232" s="134" t="n"/>
      <c r="G232" s="127" t="n"/>
      <c r="H232" s="130">
        <f>IF($G232="","",IFERROR(INDEX(FOU_Article,MATCH($G232,FOU_Code,0)),"⚠ Code inconnu"))</f>
        <v/>
      </c>
      <c r="I232" s="127" t="n"/>
      <c r="J232" s="128" t="n"/>
      <c r="K232" s="127" t="n"/>
      <c r="L232" s="127" t="n"/>
    </row>
    <row r="233" ht="21" customHeight="1">
      <c r="A233" s="1" t="n"/>
      <c r="B233" s="1" t="n"/>
      <c r="C233" s="2" t="n"/>
      <c r="E233" s="130">
        <f>IF($F233="","","MVT-"&amp;TEXT(ROW()-6,"0000"))</f>
        <v/>
      </c>
      <c r="F233" s="134" t="n"/>
      <c r="G233" s="127" t="n"/>
      <c r="H233" s="130">
        <f>IF($G233="","",IFERROR(INDEX(FOU_Article,MATCH($G233,FOU_Code,0)),"⚠ Code inconnu"))</f>
        <v/>
      </c>
      <c r="I233" s="127" t="n"/>
      <c r="J233" s="128" t="n"/>
      <c r="K233" s="127" t="n"/>
      <c r="L233" s="127" t="n"/>
    </row>
    <row r="234" ht="21" customHeight="1">
      <c r="A234" s="1" t="n"/>
      <c r="B234" s="1" t="n"/>
      <c r="C234" s="2" t="n"/>
      <c r="E234" s="130">
        <f>IF($F234="","","MVT-"&amp;TEXT(ROW()-6,"0000"))</f>
        <v/>
      </c>
      <c r="F234" s="134" t="n"/>
      <c r="G234" s="127" t="n"/>
      <c r="H234" s="130">
        <f>IF($G234="","",IFERROR(INDEX(FOU_Article,MATCH($G234,FOU_Code,0)),"⚠ Code inconnu"))</f>
        <v/>
      </c>
      <c r="I234" s="127" t="n"/>
      <c r="J234" s="128" t="n"/>
      <c r="K234" s="127" t="n"/>
      <c r="L234" s="127" t="n"/>
    </row>
    <row r="235" ht="21" customHeight="1">
      <c r="A235" s="1" t="n"/>
      <c r="B235" s="1" t="n"/>
      <c r="C235" s="2" t="n"/>
      <c r="E235" s="130">
        <f>IF($F235="","","MVT-"&amp;TEXT(ROW()-6,"0000"))</f>
        <v/>
      </c>
      <c r="F235" s="134" t="n"/>
      <c r="G235" s="127" t="n"/>
      <c r="H235" s="130">
        <f>IF($G235="","",IFERROR(INDEX(FOU_Article,MATCH($G235,FOU_Code,0)),"⚠ Code inconnu"))</f>
        <v/>
      </c>
      <c r="I235" s="127" t="n"/>
      <c r="J235" s="128" t="n"/>
      <c r="K235" s="127" t="n"/>
      <c r="L235" s="127" t="n"/>
    </row>
    <row r="236" ht="21" customHeight="1">
      <c r="A236" s="1" t="n"/>
      <c r="B236" s="1" t="n"/>
      <c r="C236" s="2" t="n"/>
      <c r="E236" s="130">
        <f>IF($F236="","","MVT-"&amp;TEXT(ROW()-6,"0000"))</f>
        <v/>
      </c>
      <c r="F236" s="134" t="n"/>
      <c r="G236" s="127" t="n"/>
      <c r="H236" s="130">
        <f>IF($G236="","",IFERROR(INDEX(FOU_Article,MATCH($G236,FOU_Code,0)),"⚠ Code inconnu"))</f>
        <v/>
      </c>
      <c r="I236" s="127" t="n"/>
      <c r="J236" s="128" t="n"/>
      <c r="K236" s="127" t="n"/>
      <c r="L236" s="127" t="n"/>
    </row>
    <row r="237" ht="21" customHeight="1">
      <c r="A237" s="1" t="n"/>
      <c r="B237" s="1" t="n"/>
      <c r="C237" s="2" t="n"/>
      <c r="E237" s="130">
        <f>IF($F237="","","MVT-"&amp;TEXT(ROW()-6,"0000"))</f>
        <v/>
      </c>
      <c r="F237" s="134" t="n"/>
      <c r="G237" s="127" t="n"/>
      <c r="H237" s="130">
        <f>IF($G237="","",IFERROR(INDEX(FOU_Article,MATCH($G237,FOU_Code,0)),"⚠ Code inconnu"))</f>
        <v/>
      </c>
      <c r="I237" s="127" t="n"/>
      <c r="J237" s="128" t="n"/>
      <c r="K237" s="127" t="n"/>
      <c r="L237" s="127" t="n"/>
    </row>
    <row r="238" ht="21" customHeight="1">
      <c r="A238" s="1" t="n"/>
      <c r="B238" s="1" t="n"/>
      <c r="C238" s="2" t="n"/>
      <c r="E238" s="130">
        <f>IF($F238="","","MVT-"&amp;TEXT(ROW()-6,"0000"))</f>
        <v/>
      </c>
      <c r="F238" s="134" t="n"/>
      <c r="G238" s="127" t="n"/>
      <c r="H238" s="130">
        <f>IF($G238="","",IFERROR(INDEX(FOU_Article,MATCH($G238,FOU_Code,0)),"⚠ Code inconnu"))</f>
        <v/>
      </c>
      <c r="I238" s="127" t="n"/>
      <c r="J238" s="128" t="n"/>
      <c r="K238" s="127" t="n"/>
      <c r="L238" s="127" t="n"/>
    </row>
    <row r="239" ht="21" customHeight="1">
      <c r="A239" s="1" t="n"/>
      <c r="B239" s="1" t="n"/>
      <c r="C239" s="2" t="n"/>
      <c r="E239" s="130">
        <f>IF($F239="","","MVT-"&amp;TEXT(ROW()-6,"0000"))</f>
        <v/>
      </c>
      <c r="F239" s="134" t="n"/>
      <c r="G239" s="127" t="n"/>
      <c r="H239" s="130">
        <f>IF($G239="","",IFERROR(INDEX(FOU_Article,MATCH($G239,FOU_Code,0)),"⚠ Code inconnu"))</f>
        <v/>
      </c>
      <c r="I239" s="127" t="n"/>
      <c r="J239" s="128" t="n"/>
      <c r="K239" s="127" t="n"/>
      <c r="L239" s="127" t="n"/>
    </row>
    <row r="240" ht="21" customHeight="1">
      <c r="A240" s="1" t="n"/>
      <c r="B240" s="1" t="n"/>
      <c r="C240" s="2" t="n"/>
      <c r="E240" s="130">
        <f>IF($F240="","","MVT-"&amp;TEXT(ROW()-6,"0000"))</f>
        <v/>
      </c>
      <c r="F240" s="134" t="n"/>
      <c r="G240" s="127" t="n"/>
      <c r="H240" s="130">
        <f>IF($G240="","",IFERROR(INDEX(FOU_Article,MATCH($G240,FOU_Code,0)),"⚠ Code inconnu"))</f>
        <v/>
      </c>
      <c r="I240" s="127" t="n"/>
      <c r="J240" s="128" t="n"/>
      <c r="K240" s="127" t="n"/>
      <c r="L240" s="127" t="n"/>
    </row>
    <row r="241" ht="21" customHeight="1">
      <c r="A241" s="1" t="n"/>
      <c r="B241" s="1" t="n"/>
      <c r="C241" s="2" t="n"/>
      <c r="E241" s="130">
        <f>IF($F241="","","MVT-"&amp;TEXT(ROW()-6,"0000"))</f>
        <v/>
      </c>
      <c r="F241" s="134" t="n"/>
      <c r="G241" s="127" t="n"/>
      <c r="H241" s="130">
        <f>IF($G241="","",IFERROR(INDEX(FOU_Article,MATCH($G241,FOU_Code,0)),"⚠ Code inconnu"))</f>
        <v/>
      </c>
      <c r="I241" s="127" t="n"/>
      <c r="J241" s="128" t="n"/>
      <c r="K241" s="127" t="n"/>
      <c r="L241" s="127" t="n"/>
    </row>
    <row r="242" ht="21" customHeight="1">
      <c r="A242" s="1" t="n"/>
      <c r="B242" s="1" t="n"/>
      <c r="C242" s="2" t="n"/>
      <c r="E242" s="130">
        <f>IF($F242="","","MVT-"&amp;TEXT(ROW()-6,"0000"))</f>
        <v/>
      </c>
      <c r="F242" s="134" t="n"/>
      <c r="G242" s="127" t="n"/>
      <c r="H242" s="130">
        <f>IF($G242="","",IFERROR(INDEX(FOU_Article,MATCH($G242,FOU_Code,0)),"⚠ Code inconnu"))</f>
        <v/>
      </c>
      <c r="I242" s="127" t="n"/>
      <c r="J242" s="128" t="n"/>
      <c r="K242" s="127" t="n"/>
      <c r="L242" s="127" t="n"/>
    </row>
    <row r="243" ht="21" customHeight="1">
      <c r="A243" s="1" t="n"/>
      <c r="B243" s="1" t="n"/>
      <c r="C243" s="2" t="n"/>
      <c r="E243" s="130">
        <f>IF($F243="","","MVT-"&amp;TEXT(ROW()-6,"0000"))</f>
        <v/>
      </c>
      <c r="F243" s="134" t="n"/>
      <c r="G243" s="127" t="n"/>
      <c r="H243" s="130">
        <f>IF($G243="","",IFERROR(INDEX(FOU_Article,MATCH($G243,FOU_Code,0)),"⚠ Code inconnu"))</f>
        <v/>
      </c>
      <c r="I243" s="127" t="n"/>
      <c r="J243" s="128" t="n"/>
      <c r="K243" s="127" t="n"/>
      <c r="L243" s="127" t="n"/>
    </row>
    <row r="244" ht="21" customHeight="1">
      <c r="A244" s="1" t="n"/>
      <c r="B244" s="1" t="n"/>
      <c r="C244" s="2" t="n"/>
      <c r="E244" s="130">
        <f>IF($F244="","","MVT-"&amp;TEXT(ROW()-6,"0000"))</f>
        <v/>
      </c>
      <c r="F244" s="134" t="n"/>
      <c r="G244" s="127" t="n"/>
      <c r="H244" s="130">
        <f>IF($G244="","",IFERROR(INDEX(FOU_Article,MATCH($G244,FOU_Code,0)),"⚠ Code inconnu"))</f>
        <v/>
      </c>
      <c r="I244" s="127" t="n"/>
      <c r="J244" s="128" t="n"/>
      <c r="K244" s="127" t="n"/>
      <c r="L244" s="127" t="n"/>
    </row>
    <row r="245" ht="21" customHeight="1">
      <c r="A245" s="1" t="n"/>
      <c r="B245" s="1" t="n"/>
      <c r="C245" s="2" t="n"/>
      <c r="E245" s="130">
        <f>IF($F245="","","MVT-"&amp;TEXT(ROW()-6,"0000"))</f>
        <v/>
      </c>
      <c r="F245" s="134" t="n"/>
      <c r="G245" s="127" t="n"/>
      <c r="H245" s="130">
        <f>IF($G245="","",IFERROR(INDEX(FOU_Article,MATCH($G245,FOU_Code,0)),"⚠ Code inconnu"))</f>
        <v/>
      </c>
      <c r="I245" s="127" t="n"/>
      <c r="J245" s="128" t="n"/>
      <c r="K245" s="127" t="n"/>
      <c r="L245" s="127" t="n"/>
    </row>
    <row r="246" ht="21" customHeight="1">
      <c r="A246" s="1" t="n"/>
      <c r="B246" s="1" t="n"/>
      <c r="C246" s="2" t="n"/>
      <c r="E246" s="130">
        <f>IF($F246="","","MVT-"&amp;TEXT(ROW()-6,"0000"))</f>
        <v/>
      </c>
      <c r="F246" s="134" t="n"/>
      <c r="G246" s="127" t="n"/>
      <c r="H246" s="130">
        <f>IF($G246="","",IFERROR(INDEX(FOU_Article,MATCH($G246,FOU_Code,0)),"⚠ Code inconnu"))</f>
        <v/>
      </c>
      <c r="I246" s="127" t="n"/>
      <c r="J246" s="128" t="n"/>
      <c r="K246" s="127" t="n"/>
      <c r="L246" s="127" t="n"/>
    </row>
    <row r="247" ht="21" customHeight="1">
      <c r="A247" s="1" t="n"/>
      <c r="B247" s="1" t="n"/>
      <c r="C247" s="2" t="n"/>
      <c r="E247" s="130">
        <f>IF($F247="","","MVT-"&amp;TEXT(ROW()-6,"0000"))</f>
        <v/>
      </c>
      <c r="F247" s="134" t="n"/>
      <c r="G247" s="127" t="n"/>
      <c r="H247" s="130">
        <f>IF($G247="","",IFERROR(INDEX(FOU_Article,MATCH($G247,FOU_Code,0)),"⚠ Code inconnu"))</f>
        <v/>
      </c>
      <c r="I247" s="127" t="n"/>
      <c r="J247" s="128" t="n"/>
      <c r="K247" s="127" t="n"/>
      <c r="L247" s="127" t="n"/>
    </row>
    <row r="248" ht="21" customHeight="1">
      <c r="A248" s="1" t="n"/>
      <c r="B248" s="1" t="n"/>
      <c r="C248" s="2" t="n"/>
      <c r="E248" s="130">
        <f>IF($F248="","","MVT-"&amp;TEXT(ROW()-6,"0000"))</f>
        <v/>
      </c>
      <c r="F248" s="134" t="n"/>
      <c r="G248" s="127" t="n"/>
      <c r="H248" s="130">
        <f>IF($G248="","",IFERROR(INDEX(FOU_Article,MATCH($G248,FOU_Code,0)),"⚠ Code inconnu"))</f>
        <v/>
      </c>
      <c r="I248" s="127" t="n"/>
      <c r="J248" s="128" t="n"/>
      <c r="K248" s="127" t="n"/>
      <c r="L248" s="127" t="n"/>
    </row>
    <row r="249" ht="21" customHeight="1">
      <c r="A249" s="1" t="n"/>
      <c r="B249" s="1" t="n"/>
      <c r="C249" s="2" t="n"/>
      <c r="E249" s="130">
        <f>IF($F249="","","MVT-"&amp;TEXT(ROW()-6,"0000"))</f>
        <v/>
      </c>
      <c r="F249" s="134" t="n"/>
      <c r="G249" s="127" t="n"/>
      <c r="H249" s="130">
        <f>IF($G249="","",IFERROR(INDEX(FOU_Article,MATCH($G249,FOU_Code,0)),"⚠ Code inconnu"))</f>
        <v/>
      </c>
      <c r="I249" s="127" t="n"/>
      <c r="J249" s="128" t="n"/>
      <c r="K249" s="127" t="n"/>
      <c r="L249" s="127" t="n"/>
    </row>
    <row r="250" ht="21" customHeight="1">
      <c r="A250" s="1" t="n"/>
      <c r="B250" s="1" t="n"/>
      <c r="C250" s="2" t="n"/>
      <c r="E250" s="130">
        <f>IF($F250="","","MVT-"&amp;TEXT(ROW()-6,"0000"))</f>
        <v/>
      </c>
      <c r="F250" s="134" t="n"/>
      <c r="G250" s="127" t="n"/>
      <c r="H250" s="130">
        <f>IF($G250="","",IFERROR(INDEX(FOU_Article,MATCH($G250,FOU_Code,0)),"⚠ Code inconnu"))</f>
        <v/>
      </c>
      <c r="I250" s="127" t="n"/>
      <c r="J250" s="128" t="n"/>
      <c r="K250" s="127" t="n"/>
      <c r="L250" s="127" t="n"/>
    </row>
    <row r="251" ht="21" customHeight="1">
      <c r="A251" s="1" t="n"/>
      <c r="B251" s="1" t="n"/>
      <c r="C251" s="2" t="n"/>
      <c r="E251" s="130">
        <f>IF($F251="","","MVT-"&amp;TEXT(ROW()-6,"0000"))</f>
        <v/>
      </c>
      <c r="F251" s="134" t="n"/>
      <c r="G251" s="127" t="n"/>
      <c r="H251" s="130">
        <f>IF($G251="","",IFERROR(INDEX(FOU_Article,MATCH($G251,FOU_Code,0)),"⚠ Code inconnu"))</f>
        <v/>
      </c>
      <c r="I251" s="127" t="n"/>
      <c r="J251" s="128" t="n"/>
      <c r="K251" s="127" t="n"/>
      <c r="L251" s="127" t="n"/>
    </row>
    <row r="252" ht="21" customHeight="1">
      <c r="A252" s="1" t="n"/>
      <c r="B252" s="1" t="n"/>
      <c r="C252" s="2" t="n"/>
      <c r="E252" s="130">
        <f>IF($F252="","","MVT-"&amp;TEXT(ROW()-6,"0000"))</f>
        <v/>
      </c>
      <c r="F252" s="134" t="n"/>
      <c r="G252" s="127" t="n"/>
      <c r="H252" s="130">
        <f>IF($G252="","",IFERROR(INDEX(FOU_Article,MATCH($G252,FOU_Code,0)),"⚠ Code inconnu"))</f>
        <v/>
      </c>
      <c r="I252" s="127" t="n"/>
      <c r="J252" s="128" t="n"/>
      <c r="K252" s="127" t="n"/>
      <c r="L252" s="127" t="n"/>
    </row>
    <row r="253" ht="21" customHeight="1">
      <c r="A253" s="1" t="n"/>
      <c r="B253" s="1" t="n"/>
      <c r="C253" s="2" t="n"/>
      <c r="E253" s="130">
        <f>IF($F253="","","MVT-"&amp;TEXT(ROW()-6,"0000"))</f>
        <v/>
      </c>
      <c r="F253" s="134" t="n"/>
      <c r="G253" s="127" t="n"/>
      <c r="H253" s="130">
        <f>IF($G253="","",IFERROR(INDEX(FOU_Article,MATCH($G253,FOU_Code,0)),"⚠ Code inconnu"))</f>
        <v/>
      </c>
      <c r="I253" s="127" t="n"/>
      <c r="J253" s="128" t="n"/>
      <c r="K253" s="127" t="n"/>
      <c r="L253" s="127" t="n"/>
    </row>
    <row r="254" ht="21" customHeight="1">
      <c r="A254" s="1" t="n"/>
      <c r="B254" s="1" t="n"/>
      <c r="C254" s="2" t="n"/>
      <c r="E254" s="130">
        <f>IF($F254="","","MVT-"&amp;TEXT(ROW()-6,"0000"))</f>
        <v/>
      </c>
      <c r="F254" s="134" t="n"/>
      <c r="G254" s="127" t="n"/>
      <c r="H254" s="130">
        <f>IF($G254="","",IFERROR(INDEX(FOU_Article,MATCH($G254,FOU_Code,0)),"⚠ Code inconnu"))</f>
        <v/>
      </c>
      <c r="I254" s="127" t="n"/>
      <c r="J254" s="128" t="n"/>
      <c r="K254" s="127" t="n"/>
      <c r="L254" s="127" t="n"/>
    </row>
    <row r="255" ht="21" customHeight="1">
      <c r="A255" s="1" t="n"/>
      <c r="B255" s="1" t="n"/>
      <c r="C255" s="2" t="n"/>
      <c r="E255" s="130">
        <f>IF($F255="","","MVT-"&amp;TEXT(ROW()-6,"0000"))</f>
        <v/>
      </c>
      <c r="F255" s="134" t="n"/>
      <c r="G255" s="127" t="n"/>
      <c r="H255" s="130">
        <f>IF($G255="","",IFERROR(INDEX(FOU_Article,MATCH($G255,FOU_Code,0)),"⚠ Code inconnu"))</f>
        <v/>
      </c>
      <c r="I255" s="127" t="n"/>
      <c r="J255" s="128" t="n"/>
      <c r="K255" s="127" t="n"/>
      <c r="L255" s="127" t="n"/>
    </row>
    <row r="256" ht="21" customHeight="1">
      <c r="A256" s="1" t="n"/>
      <c r="B256" s="1" t="n"/>
      <c r="C256" s="2" t="n"/>
      <c r="E256" s="130">
        <f>IF($F256="","","MVT-"&amp;TEXT(ROW()-6,"0000"))</f>
        <v/>
      </c>
      <c r="F256" s="134" t="n"/>
      <c r="G256" s="127" t="n"/>
      <c r="H256" s="130">
        <f>IF($G256="","",IFERROR(INDEX(FOU_Article,MATCH($G256,FOU_Code,0)),"⚠ Code inconnu"))</f>
        <v/>
      </c>
      <c r="I256" s="127" t="n"/>
      <c r="J256" s="128" t="n"/>
      <c r="K256" s="127" t="n"/>
      <c r="L256" s="127" t="n"/>
    </row>
    <row r="257" ht="21" customHeight="1">
      <c r="A257" s="1" t="n"/>
      <c r="B257" s="1" t="n"/>
      <c r="C257" s="2" t="n"/>
      <c r="E257" s="130">
        <f>IF($F257="","","MVT-"&amp;TEXT(ROW()-6,"0000"))</f>
        <v/>
      </c>
      <c r="F257" s="134" t="n"/>
      <c r="G257" s="127" t="n"/>
      <c r="H257" s="130">
        <f>IF($G257="","",IFERROR(INDEX(FOU_Article,MATCH($G257,FOU_Code,0)),"⚠ Code inconnu"))</f>
        <v/>
      </c>
      <c r="I257" s="127" t="n"/>
      <c r="J257" s="128" t="n"/>
      <c r="K257" s="127" t="n"/>
      <c r="L257" s="127" t="n"/>
    </row>
    <row r="258" ht="21" customHeight="1">
      <c r="A258" s="1" t="n"/>
      <c r="B258" s="1" t="n"/>
      <c r="C258" s="2" t="n"/>
      <c r="E258" s="130">
        <f>IF($F258="","","MVT-"&amp;TEXT(ROW()-6,"0000"))</f>
        <v/>
      </c>
      <c r="F258" s="134" t="n"/>
      <c r="G258" s="127" t="n"/>
      <c r="H258" s="130">
        <f>IF($G258="","",IFERROR(INDEX(FOU_Article,MATCH($G258,FOU_Code,0)),"⚠ Code inconnu"))</f>
        <v/>
      </c>
      <c r="I258" s="127" t="n"/>
      <c r="J258" s="128" t="n"/>
      <c r="K258" s="127" t="n"/>
      <c r="L258" s="127" t="n"/>
    </row>
    <row r="259" ht="21" customHeight="1">
      <c r="A259" s="1" t="n"/>
      <c r="B259" s="1" t="n"/>
      <c r="C259" s="2" t="n"/>
      <c r="E259" s="130">
        <f>IF($F259="","","MVT-"&amp;TEXT(ROW()-6,"0000"))</f>
        <v/>
      </c>
      <c r="F259" s="134" t="n"/>
      <c r="G259" s="127" t="n"/>
      <c r="H259" s="130">
        <f>IF($G259="","",IFERROR(INDEX(FOU_Article,MATCH($G259,FOU_Code,0)),"⚠ Code inconnu"))</f>
        <v/>
      </c>
      <c r="I259" s="127" t="n"/>
      <c r="J259" s="128" t="n"/>
      <c r="K259" s="127" t="n"/>
      <c r="L259" s="127" t="n"/>
    </row>
    <row r="260" ht="21" customHeight="1">
      <c r="A260" s="1" t="n"/>
      <c r="B260" s="1" t="n"/>
      <c r="C260" s="2" t="n"/>
      <c r="E260" s="130">
        <f>IF($F260="","","MVT-"&amp;TEXT(ROW()-6,"0000"))</f>
        <v/>
      </c>
      <c r="F260" s="134" t="n"/>
      <c r="G260" s="127" t="n"/>
      <c r="H260" s="130">
        <f>IF($G260="","",IFERROR(INDEX(FOU_Article,MATCH($G260,FOU_Code,0)),"⚠ Code inconnu"))</f>
        <v/>
      </c>
      <c r="I260" s="127" t="n"/>
      <c r="J260" s="128" t="n"/>
      <c r="K260" s="127" t="n"/>
      <c r="L260" s="127" t="n"/>
    </row>
    <row r="261" ht="21" customHeight="1">
      <c r="A261" s="1" t="n"/>
      <c r="B261" s="1" t="n"/>
      <c r="C261" s="2" t="n"/>
      <c r="E261" s="130">
        <f>IF($F261="","","MVT-"&amp;TEXT(ROW()-6,"0000"))</f>
        <v/>
      </c>
      <c r="F261" s="134" t="n"/>
      <c r="G261" s="127" t="n"/>
      <c r="H261" s="130">
        <f>IF($G261="","",IFERROR(INDEX(FOU_Article,MATCH($G261,FOU_Code,0)),"⚠ Code inconnu"))</f>
        <v/>
      </c>
      <c r="I261" s="127" t="n"/>
      <c r="J261" s="128" t="n"/>
      <c r="K261" s="127" t="n"/>
      <c r="L261" s="127" t="n"/>
    </row>
    <row r="262" ht="21" customHeight="1">
      <c r="A262" s="1" t="n"/>
      <c r="B262" s="1" t="n"/>
      <c r="C262" s="2" t="n"/>
      <c r="E262" s="130">
        <f>IF($F262="","","MVT-"&amp;TEXT(ROW()-6,"0000"))</f>
        <v/>
      </c>
      <c r="F262" s="134" t="n"/>
      <c r="G262" s="127" t="n"/>
      <c r="H262" s="130">
        <f>IF($G262="","",IFERROR(INDEX(FOU_Article,MATCH($G262,FOU_Code,0)),"⚠ Code inconnu"))</f>
        <v/>
      </c>
      <c r="I262" s="127" t="n"/>
      <c r="J262" s="128" t="n"/>
      <c r="K262" s="127" t="n"/>
      <c r="L262" s="127" t="n"/>
    </row>
    <row r="263" ht="21" customHeight="1">
      <c r="A263" s="1" t="n"/>
      <c r="B263" s="1" t="n"/>
      <c r="C263" s="2" t="n"/>
      <c r="E263" s="130">
        <f>IF($F263="","","MVT-"&amp;TEXT(ROW()-6,"0000"))</f>
        <v/>
      </c>
      <c r="F263" s="134" t="n"/>
      <c r="G263" s="127" t="n"/>
      <c r="H263" s="130">
        <f>IF($G263="","",IFERROR(INDEX(FOU_Article,MATCH($G263,FOU_Code,0)),"⚠ Code inconnu"))</f>
        <v/>
      </c>
      <c r="I263" s="127" t="n"/>
      <c r="J263" s="128" t="n"/>
      <c r="K263" s="127" t="n"/>
      <c r="L263" s="127" t="n"/>
    </row>
    <row r="264" ht="21" customHeight="1">
      <c r="A264" s="1" t="n"/>
      <c r="B264" s="1" t="n"/>
      <c r="C264" s="2" t="n"/>
      <c r="E264" s="130">
        <f>IF($F264="","","MVT-"&amp;TEXT(ROW()-6,"0000"))</f>
        <v/>
      </c>
      <c r="F264" s="134" t="n"/>
      <c r="G264" s="127" t="n"/>
      <c r="H264" s="130">
        <f>IF($G264="","",IFERROR(INDEX(FOU_Article,MATCH($G264,FOU_Code,0)),"⚠ Code inconnu"))</f>
        <v/>
      </c>
      <c r="I264" s="127" t="n"/>
      <c r="J264" s="128" t="n"/>
      <c r="K264" s="127" t="n"/>
      <c r="L264" s="127" t="n"/>
    </row>
    <row r="265" ht="21" customHeight="1">
      <c r="A265" s="1" t="n"/>
      <c r="B265" s="1" t="n"/>
      <c r="C265" s="2" t="n"/>
      <c r="E265" s="130">
        <f>IF($F265="","","MVT-"&amp;TEXT(ROW()-6,"0000"))</f>
        <v/>
      </c>
      <c r="F265" s="134" t="n"/>
      <c r="G265" s="127" t="n"/>
      <c r="H265" s="130">
        <f>IF($G265="","",IFERROR(INDEX(FOU_Article,MATCH($G265,FOU_Code,0)),"⚠ Code inconnu"))</f>
        <v/>
      </c>
      <c r="I265" s="127" t="n"/>
      <c r="J265" s="128" t="n"/>
      <c r="K265" s="127" t="n"/>
      <c r="L265" s="127" t="n"/>
    </row>
    <row r="266" ht="21" customHeight="1">
      <c r="A266" s="1" t="n"/>
      <c r="B266" s="1" t="n"/>
      <c r="C266" s="2" t="n"/>
      <c r="E266" s="130">
        <f>IF($F266="","","MVT-"&amp;TEXT(ROW()-6,"0000"))</f>
        <v/>
      </c>
      <c r="F266" s="134" t="n"/>
      <c r="G266" s="127" t="n"/>
      <c r="H266" s="130">
        <f>IF($G266="","",IFERROR(INDEX(FOU_Article,MATCH($G266,FOU_Code,0)),"⚠ Code inconnu"))</f>
        <v/>
      </c>
      <c r="I266" s="127" t="n"/>
      <c r="J266" s="128" t="n"/>
      <c r="K266" s="127" t="n"/>
      <c r="L266" s="127" t="n"/>
    </row>
    <row r="267" ht="21" customHeight="1">
      <c r="A267" s="1" t="n"/>
      <c r="B267" s="1" t="n"/>
      <c r="C267" s="2" t="n"/>
      <c r="E267" s="130">
        <f>IF($F267="","","MVT-"&amp;TEXT(ROW()-6,"0000"))</f>
        <v/>
      </c>
      <c r="F267" s="134" t="n"/>
      <c r="G267" s="127" t="n"/>
      <c r="H267" s="130">
        <f>IF($G267="","",IFERROR(INDEX(FOU_Article,MATCH($G267,FOU_Code,0)),"⚠ Code inconnu"))</f>
        <v/>
      </c>
      <c r="I267" s="127" t="n"/>
      <c r="J267" s="128" t="n"/>
      <c r="K267" s="127" t="n"/>
      <c r="L267" s="127" t="n"/>
    </row>
    <row r="268" ht="21" customHeight="1">
      <c r="A268" s="1" t="n"/>
      <c r="B268" s="1" t="n"/>
      <c r="C268" s="2" t="n"/>
      <c r="E268" s="130">
        <f>IF($F268="","","MVT-"&amp;TEXT(ROW()-6,"0000"))</f>
        <v/>
      </c>
      <c r="F268" s="134" t="n"/>
      <c r="G268" s="127" t="n"/>
      <c r="H268" s="130">
        <f>IF($G268="","",IFERROR(INDEX(FOU_Article,MATCH($G268,FOU_Code,0)),"⚠ Code inconnu"))</f>
        <v/>
      </c>
      <c r="I268" s="127" t="n"/>
      <c r="J268" s="128" t="n"/>
      <c r="K268" s="127" t="n"/>
      <c r="L268" s="127" t="n"/>
    </row>
    <row r="269" ht="21" customHeight="1">
      <c r="A269" s="1" t="n"/>
      <c r="B269" s="1" t="n"/>
      <c r="C269" s="2" t="n"/>
      <c r="E269" s="130">
        <f>IF($F269="","","MVT-"&amp;TEXT(ROW()-6,"0000"))</f>
        <v/>
      </c>
      <c r="F269" s="134" t="n"/>
      <c r="G269" s="127" t="n"/>
      <c r="H269" s="130">
        <f>IF($G269="","",IFERROR(INDEX(FOU_Article,MATCH($G269,FOU_Code,0)),"⚠ Code inconnu"))</f>
        <v/>
      </c>
      <c r="I269" s="127" t="n"/>
      <c r="J269" s="128" t="n"/>
      <c r="K269" s="127" t="n"/>
      <c r="L269" s="127" t="n"/>
    </row>
    <row r="270" ht="21" customHeight="1">
      <c r="A270" s="1" t="n"/>
      <c r="B270" s="1" t="n"/>
      <c r="C270" s="2" t="n"/>
      <c r="E270" s="130">
        <f>IF($F270="","","MVT-"&amp;TEXT(ROW()-6,"0000"))</f>
        <v/>
      </c>
      <c r="F270" s="134" t="n"/>
      <c r="G270" s="127" t="n"/>
      <c r="H270" s="130">
        <f>IF($G270="","",IFERROR(INDEX(FOU_Article,MATCH($G270,FOU_Code,0)),"⚠ Code inconnu"))</f>
        <v/>
      </c>
      <c r="I270" s="127" t="n"/>
      <c r="J270" s="128" t="n"/>
      <c r="K270" s="127" t="n"/>
      <c r="L270" s="127" t="n"/>
    </row>
    <row r="271" ht="21" customHeight="1">
      <c r="A271" s="1" t="n"/>
      <c r="B271" s="1" t="n"/>
      <c r="C271" s="2" t="n"/>
      <c r="E271" s="130">
        <f>IF($F271="","","MVT-"&amp;TEXT(ROW()-6,"0000"))</f>
        <v/>
      </c>
      <c r="F271" s="134" t="n"/>
      <c r="G271" s="127" t="n"/>
      <c r="H271" s="130">
        <f>IF($G271="","",IFERROR(INDEX(FOU_Article,MATCH($G271,FOU_Code,0)),"⚠ Code inconnu"))</f>
        <v/>
      </c>
      <c r="I271" s="127" t="n"/>
      <c r="J271" s="128" t="n"/>
      <c r="K271" s="127" t="n"/>
      <c r="L271" s="127" t="n"/>
    </row>
    <row r="272" ht="21" customHeight="1">
      <c r="A272" s="1" t="n"/>
      <c r="B272" s="1" t="n"/>
      <c r="C272" s="2" t="n"/>
      <c r="E272" s="130">
        <f>IF($F272="","","MVT-"&amp;TEXT(ROW()-6,"0000"))</f>
        <v/>
      </c>
      <c r="F272" s="134" t="n"/>
      <c r="G272" s="127" t="n"/>
      <c r="H272" s="130">
        <f>IF($G272="","",IFERROR(INDEX(FOU_Article,MATCH($G272,FOU_Code,0)),"⚠ Code inconnu"))</f>
        <v/>
      </c>
      <c r="I272" s="127" t="n"/>
      <c r="J272" s="128" t="n"/>
      <c r="K272" s="127" t="n"/>
      <c r="L272" s="127" t="n"/>
    </row>
    <row r="273" ht="21" customHeight="1">
      <c r="A273" s="1" t="n"/>
      <c r="B273" s="1" t="n"/>
      <c r="C273" s="2" t="n"/>
      <c r="E273" s="130">
        <f>IF($F273="","","MVT-"&amp;TEXT(ROW()-6,"0000"))</f>
        <v/>
      </c>
      <c r="F273" s="134" t="n"/>
      <c r="G273" s="127" t="n"/>
      <c r="H273" s="130">
        <f>IF($G273="","",IFERROR(INDEX(FOU_Article,MATCH($G273,FOU_Code,0)),"⚠ Code inconnu"))</f>
        <v/>
      </c>
      <c r="I273" s="127" t="n"/>
      <c r="J273" s="128" t="n"/>
      <c r="K273" s="127" t="n"/>
      <c r="L273" s="127" t="n"/>
    </row>
    <row r="274" ht="21" customHeight="1">
      <c r="A274" s="1" t="n"/>
      <c r="B274" s="1" t="n"/>
      <c r="C274" s="2" t="n"/>
      <c r="E274" s="130">
        <f>IF($F274="","","MVT-"&amp;TEXT(ROW()-6,"0000"))</f>
        <v/>
      </c>
      <c r="F274" s="134" t="n"/>
      <c r="G274" s="127" t="n"/>
      <c r="H274" s="130">
        <f>IF($G274="","",IFERROR(INDEX(FOU_Article,MATCH($G274,FOU_Code,0)),"⚠ Code inconnu"))</f>
        <v/>
      </c>
      <c r="I274" s="127" t="n"/>
      <c r="J274" s="128" t="n"/>
      <c r="K274" s="127" t="n"/>
      <c r="L274" s="127" t="n"/>
    </row>
    <row r="275" ht="21" customHeight="1">
      <c r="A275" s="1" t="n"/>
      <c r="B275" s="1" t="n"/>
      <c r="C275" s="2" t="n"/>
      <c r="E275" s="130">
        <f>IF($F275="","","MVT-"&amp;TEXT(ROW()-6,"0000"))</f>
        <v/>
      </c>
      <c r="F275" s="134" t="n"/>
      <c r="G275" s="127" t="n"/>
      <c r="H275" s="130">
        <f>IF($G275="","",IFERROR(INDEX(FOU_Article,MATCH($G275,FOU_Code,0)),"⚠ Code inconnu"))</f>
        <v/>
      </c>
      <c r="I275" s="127" t="n"/>
      <c r="J275" s="128" t="n"/>
      <c r="K275" s="127" t="n"/>
      <c r="L275" s="127" t="n"/>
    </row>
    <row r="276" ht="21" customHeight="1">
      <c r="A276" s="1" t="n"/>
      <c r="B276" s="1" t="n"/>
      <c r="C276" s="2" t="n"/>
      <c r="E276" s="130">
        <f>IF($F276="","","MVT-"&amp;TEXT(ROW()-6,"0000"))</f>
        <v/>
      </c>
      <c r="F276" s="134" t="n"/>
      <c r="G276" s="127" t="n"/>
      <c r="H276" s="130">
        <f>IF($G276="","",IFERROR(INDEX(FOU_Article,MATCH($G276,FOU_Code,0)),"⚠ Code inconnu"))</f>
        <v/>
      </c>
      <c r="I276" s="127" t="n"/>
      <c r="J276" s="128" t="n"/>
      <c r="K276" s="127" t="n"/>
      <c r="L276" s="127" t="n"/>
    </row>
    <row r="277" ht="21" customHeight="1">
      <c r="A277" s="1" t="n"/>
      <c r="B277" s="1" t="n"/>
      <c r="C277" s="2" t="n"/>
      <c r="E277" s="130">
        <f>IF($F277="","","MVT-"&amp;TEXT(ROW()-6,"0000"))</f>
        <v/>
      </c>
      <c r="F277" s="134" t="n"/>
      <c r="G277" s="127" t="n"/>
      <c r="H277" s="130">
        <f>IF($G277="","",IFERROR(INDEX(FOU_Article,MATCH($G277,FOU_Code,0)),"⚠ Code inconnu"))</f>
        <v/>
      </c>
      <c r="I277" s="127" t="n"/>
      <c r="J277" s="128" t="n"/>
      <c r="K277" s="127" t="n"/>
      <c r="L277" s="127" t="n"/>
    </row>
    <row r="278" ht="21" customHeight="1">
      <c r="A278" s="1" t="n"/>
      <c r="B278" s="1" t="n"/>
      <c r="C278" s="2" t="n"/>
      <c r="E278" s="130">
        <f>IF($F278="","","MVT-"&amp;TEXT(ROW()-6,"0000"))</f>
        <v/>
      </c>
      <c r="F278" s="134" t="n"/>
      <c r="G278" s="127" t="n"/>
      <c r="H278" s="130">
        <f>IF($G278="","",IFERROR(INDEX(FOU_Article,MATCH($G278,FOU_Code,0)),"⚠ Code inconnu"))</f>
        <v/>
      </c>
      <c r="I278" s="127" t="n"/>
      <c r="J278" s="128" t="n"/>
      <c r="K278" s="127" t="n"/>
      <c r="L278" s="127" t="n"/>
    </row>
    <row r="279" ht="21" customHeight="1">
      <c r="A279" s="1" t="n"/>
      <c r="B279" s="1" t="n"/>
      <c r="C279" s="2" t="n"/>
      <c r="E279" s="130">
        <f>IF($F279="","","MVT-"&amp;TEXT(ROW()-6,"0000"))</f>
        <v/>
      </c>
      <c r="F279" s="134" t="n"/>
      <c r="G279" s="127" t="n"/>
      <c r="H279" s="130">
        <f>IF($G279="","",IFERROR(INDEX(FOU_Article,MATCH($G279,FOU_Code,0)),"⚠ Code inconnu"))</f>
        <v/>
      </c>
      <c r="I279" s="127" t="n"/>
      <c r="J279" s="128" t="n"/>
      <c r="K279" s="127" t="n"/>
      <c r="L279" s="127" t="n"/>
    </row>
    <row r="280" ht="21" customHeight="1">
      <c r="A280" s="1" t="n"/>
      <c r="B280" s="1" t="n"/>
      <c r="C280" s="2" t="n"/>
      <c r="E280" s="130">
        <f>IF($F280="","","MVT-"&amp;TEXT(ROW()-6,"0000"))</f>
        <v/>
      </c>
      <c r="F280" s="134" t="n"/>
      <c r="G280" s="127" t="n"/>
      <c r="H280" s="130">
        <f>IF($G280="","",IFERROR(INDEX(FOU_Article,MATCH($G280,FOU_Code,0)),"⚠ Code inconnu"))</f>
        <v/>
      </c>
      <c r="I280" s="127" t="n"/>
      <c r="J280" s="128" t="n"/>
      <c r="K280" s="127" t="n"/>
      <c r="L280" s="127" t="n"/>
    </row>
    <row r="281" ht="21" customHeight="1">
      <c r="A281" s="1" t="n"/>
      <c r="B281" s="1" t="n"/>
      <c r="C281" s="2" t="n"/>
      <c r="E281" s="130">
        <f>IF($F281="","","MVT-"&amp;TEXT(ROW()-6,"0000"))</f>
        <v/>
      </c>
      <c r="F281" s="134" t="n"/>
      <c r="G281" s="127" t="n"/>
      <c r="H281" s="130">
        <f>IF($G281="","",IFERROR(INDEX(FOU_Article,MATCH($G281,FOU_Code,0)),"⚠ Code inconnu"))</f>
        <v/>
      </c>
      <c r="I281" s="127" t="n"/>
      <c r="J281" s="128" t="n"/>
      <c r="K281" s="127" t="n"/>
      <c r="L281" s="127" t="n"/>
    </row>
    <row r="282" ht="21" customHeight="1">
      <c r="A282" s="1" t="n"/>
      <c r="B282" s="1" t="n"/>
      <c r="C282" s="2" t="n"/>
      <c r="E282" s="130">
        <f>IF($F282="","","MVT-"&amp;TEXT(ROW()-6,"0000"))</f>
        <v/>
      </c>
      <c r="F282" s="134" t="n"/>
      <c r="G282" s="127" t="n"/>
      <c r="H282" s="130">
        <f>IF($G282="","",IFERROR(INDEX(FOU_Article,MATCH($G282,FOU_Code,0)),"⚠ Code inconnu"))</f>
        <v/>
      </c>
      <c r="I282" s="127" t="n"/>
      <c r="J282" s="128" t="n"/>
      <c r="K282" s="127" t="n"/>
      <c r="L282" s="127" t="n"/>
    </row>
    <row r="283" ht="21" customHeight="1">
      <c r="A283" s="1" t="n"/>
      <c r="B283" s="1" t="n"/>
      <c r="C283" s="2" t="n"/>
      <c r="E283" s="130">
        <f>IF($F283="","","MVT-"&amp;TEXT(ROW()-6,"0000"))</f>
        <v/>
      </c>
      <c r="F283" s="134" t="n"/>
      <c r="G283" s="127" t="n"/>
      <c r="H283" s="130">
        <f>IF($G283="","",IFERROR(INDEX(FOU_Article,MATCH($G283,FOU_Code,0)),"⚠ Code inconnu"))</f>
        <v/>
      </c>
      <c r="I283" s="127" t="n"/>
      <c r="J283" s="128" t="n"/>
      <c r="K283" s="127" t="n"/>
      <c r="L283" s="127" t="n"/>
    </row>
    <row r="284" ht="21" customHeight="1">
      <c r="A284" s="1" t="n"/>
      <c r="B284" s="1" t="n"/>
      <c r="C284" s="2" t="n"/>
      <c r="E284" s="130">
        <f>IF($F284="","","MVT-"&amp;TEXT(ROW()-6,"0000"))</f>
        <v/>
      </c>
      <c r="F284" s="134" t="n"/>
      <c r="G284" s="127" t="n"/>
      <c r="H284" s="130">
        <f>IF($G284="","",IFERROR(INDEX(FOU_Article,MATCH($G284,FOU_Code,0)),"⚠ Code inconnu"))</f>
        <v/>
      </c>
      <c r="I284" s="127" t="n"/>
      <c r="J284" s="128" t="n"/>
      <c r="K284" s="127" t="n"/>
      <c r="L284" s="127" t="n"/>
    </row>
    <row r="285" ht="21" customHeight="1">
      <c r="A285" s="1" t="n"/>
      <c r="B285" s="1" t="n"/>
      <c r="C285" s="2" t="n"/>
      <c r="E285" s="130">
        <f>IF($F285="","","MVT-"&amp;TEXT(ROW()-6,"0000"))</f>
        <v/>
      </c>
      <c r="F285" s="134" t="n"/>
      <c r="G285" s="127" t="n"/>
      <c r="H285" s="130">
        <f>IF($G285="","",IFERROR(INDEX(FOU_Article,MATCH($G285,FOU_Code,0)),"⚠ Code inconnu"))</f>
        <v/>
      </c>
      <c r="I285" s="127" t="n"/>
      <c r="J285" s="128" t="n"/>
      <c r="K285" s="127" t="n"/>
      <c r="L285" s="127" t="n"/>
    </row>
    <row r="286" ht="21" customHeight="1">
      <c r="A286" s="1" t="n"/>
      <c r="B286" s="1" t="n"/>
      <c r="C286" s="2" t="n"/>
      <c r="E286" s="130">
        <f>IF($F286="","","MVT-"&amp;TEXT(ROW()-6,"0000"))</f>
        <v/>
      </c>
      <c r="F286" s="134" t="n"/>
      <c r="G286" s="127" t="n"/>
      <c r="H286" s="130">
        <f>IF($G286="","",IFERROR(INDEX(FOU_Article,MATCH($G286,FOU_Code,0)),"⚠ Code inconnu"))</f>
        <v/>
      </c>
      <c r="I286" s="127" t="n"/>
      <c r="J286" s="128" t="n"/>
      <c r="K286" s="127" t="n"/>
      <c r="L286" s="127" t="n"/>
    </row>
    <row r="287" ht="21" customHeight="1">
      <c r="A287" s="1" t="n"/>
      <c r="B287" s="1" t="n"/>
      <c r="C287" s="2" t="n"/>
      <c r="E287" s="130">
        <f>IF($F287="","","MVT-"&amp;TEXT(ROW()-6,"0000"))</f>
        <v/>
      </c>
      <c r="F287" s="134" t="n"/>
      <c r="G287" s="127" t="n"/>
      <c r="H287" s="130">
        <f>IF($G287="","",IFERROR(INDEX(FOU_Article,MATCH($G287,FOU_Code,0)),"⚠ Code inconnu"))</f>
        <v/>
      </c>
      <c r="I287" s="127" t="n"/>
      <c r="J287" s="128" t="n"/>
      <c r="K287" s="127" t="n"/>
      <c r="L287" s="127" t="n"/>
    </row>
    <row r="288" ht="21" customHeight="1">
      <c r="A288" s="1" t="n"/>
      <c r="B288" s="1" t="n"/>
      <c r="C288" s="2" t="n"/>
      <c r="E288" s="130">
        <f>IF($F288="","","MVT-"&amp;TEXT(ROW()-6,"0000"))</f>
        <v/>
      </c>
      <c r="F288" s="134" t="n"/>
      <c r="G288" s="127" t="n"/>
      <c r="H288" s="130">
        <f>IF($G288="","",IFERROR(INDEX(FOU_Article,MATCH($G288,FOU_Code,0)),"⚠ Code inconnu"))</f>
        <v/>
      </c>
      <c r="I288" s="127" t="n"/>
      <c r="J288" s="128" t="n"/>
      <c r="K288" s="127" t="n"/>
      <c r="L288" s="127" t="n"/>
    </row>
    <row r="289" ht="21" customHeight="1">
      <c r="A289" s="1" t="n"/>
      <c r="B289" s="1" t="n"/>
      <c r="C289" s="2" t="n"/>
      <c r="E289" s="130">
        <f>IF($F289="","","MVT-"&amp;TEXT(ROW()-6,"0000"))</f>
        <v/>
      </c>
      <c r="F289" s="134" t="n"/>
      <c r="G289" s="127" t="n"/>
      <c r="H289" s="130">
        <f>IF($G289="","",IFERROR(INDEX(FOU_Article,MATCH($G289,FOU_Code,0)),"⚠ Code inconnu"))</f>
        <v/>
      </c>
      <c r="I289" s="127" t="n"/>
      <c r="J289" s="128" t="n"/>
      <c r="K289" s="127" t="n"/>
      <c r="L289" s="127" t="n"/>
    </row>
    <row r="290" ht="21" customHeight="1">
      <c r="A290" s="1" t="n"/>
      <c r="B290" s="1" t="n"/>
      <c r="C290" s="2" t="n"/>
      <c r="E290" s="130">
        <f>IF($F290="","","MVT-"&amp;TEXT(ROW()-6,"0000"))</f>
        <v/>
      </c>
      <c r="F290" s="134" t="n"/>
      <c r="G290" s="127" t="n"/>
      <c r="H290" s="130">
        <f>IF($G290="","",IFERROR(INDEX(FOU_Article,MATCH($G290,FOU_Code,0)),"⚠ Code inconnu"))</f>
        <v/>
      </c>
      <c r="I290" s="127" t="n"/>
      <c r="J290" s="128" t="n"/>
      <c r="K290" s="127" t="n"/>
      <c r="L290" s="127" t="n"/>
    </row>
    <row r="291" ht="21" customHeight="1">
      <c r="A291" s="1" t="n"/>
      <c r="B291" s="1" t="n"/>
      <c r="C291" s="2" t="n"/>
      <c r="E291" s="130">
        <f>IF($F291="","","MVT-"&amp;TEXT(ROW()-6,"0000"))</f>
        <v/>
      </c>
      <c r="F291" s="134" t="n"/>
      <c r="G291" s="127" t="n"/>
      <c r="H291" s="130">
        <f>IF($G291="","",IFERROR(INDEX(FOU_Article,MATCH($G291,FOU_Code,0)),"⚠ Code inconnu"))</f>
        <v/>
      </c>
      <c r="I291" s="127" t="n"/>
      <c r="J291" s="128" t="n"/>
      <c r="K291" s="127" t="n"/>
      <c r="L291" s="127" t="n"/>
    </row>
    <row r="292" ht="21" customHeight="1">
      <c r="A292" s="1" t="n"/>
      <c r="B292" s="1" t="n"/>
      <c r="C292" s="2" t="n"/>
      <c r="E292" s="130">
        <f>IF($F292="","","MVT-"&amp;TEXT(ROW()-6,"0000"))</f>
        <v/>
      </c>
      <c r="F292" s="134" t="n"/>
      <c r="G292" s="127" t="n"/>
      <c r="H292" s="130">
        <f>IF($G292="","",IFERROR(INDEX(FOU_Article,MATCH($G292,FOU_Code,0)),"⚠ Code inconnu"))</f>
        <v/>
      </c>
      <c r="I292" s="127" t="n"/>
      <c r="J292" s="128" t="n"/>
      <c r="K292" s="127" t="n"/>
      <c r="L292" s="127" t="n"/>
    </row>
    <row r="293" ht="21" customHeight="1">
      <c r="A293" s="1" t="n"/>
      <c r="B293" s="1" t="n"/>
      <c r="C293" s="2" t="n"/>
      <c r="E293" s="130">
        <f>IF($F293="","","MVT-"&amp;TEXT(ROW()-6,"0000"))</f>
        <v/>
      </c>
      <c r="F293" s="134" t="n"/>
      <c r="G293" s="127" t="n"/>
      <c r="H293" s="130">
        <f>IF($G293="","",IFERROR(INDEX(FOU_Article,MATCH($G293,FOU_Code,0)),"⚠ Code inconnu"))</f>
        <v/>
      </c>
      <c r="I293" s="127" t="n"/>
      <c r="J293" s="128" t="n"/>
      <c r="K293" s="127" t="n"/>
      <c r="L293" s="127" t="n"/>
    </row>
    <row r="294" ht="21" customHeight="1">
      <c r="A294" s="1" t="n"/>
      <c r="B294" s="1" t="n"/>
      <c r="C294" s="2" t="n"/>
      <c r="E294" s="130">
        <f>IF($F294="","","MVT-"&amp;TEXT(ROW()-6,"0000"))</f>
        <v/>
      </c>
      <c r="F294" s="134" t="n"/>
      <c r="G294" s="127" t="n"/>
      <c r="H294" s="130">
        <f>IF($G294="","",IFERROR(INDEX(FOU_Article,MATCH($G294,FOU_Code,0)),"⚠ Code inconnu"))</f>
        <v/>
      </c>
      <c r="I294" s="127" t="n"/>
      <c r="J294" s="128" t="n"/>
      <c r="K294" s="127" t="n"/>
      <c r="L294" s="127" t="n"/>
    </row>
    <row r="295" ht="21" customHeight="1">
      <c r="A295" s="1" t="n"/>
      <c r="B295" s="1" t="n"/>
      <c r="C295" s="2" t="n"/>
      <c r="E295" s="130">
        <f>IF($F295="","","MVT-"&amp;TEXT(ROW()-6,"0000"))</f>
        <v/>
      </c>
      <c r="F295" s="134" t="n"/>
      <c r="G295" s="127" t="n"/>
      <c r="H295" s="130">
        <f>IF($G295="","",IFERROR(INDEX(FOU_Article,MATCH($G295,FOU_Code,0)),"⚠ Code inconnu"))</f>
        <v/>
      </c>
      <c r="I295" s="127" t="n"/>
      <c r="J295" s="128" t="n"/>
      <c r="K295" s="127" t="n"/>
      <c r="L295" s="127" t="n"/>
    </row>
    <row r="296" ht="21" customHeight="1">
      <c r="A296" s="1" t="n"/>
      <c r="B296" s="1" t="n"/>
      <c r="C296" s="2" t="n"/>
      <c r="E296" s="130">
        <f>IF($F296="","","MVT-"&amp;TEXT(ROW()-6,"0000"))</f>
        <v/>
      </c>
      <c r="F296" s="134" t="n"/>
      <c r="G296" s="127" t="n"/>
      <c r="H296" s="130">
        <f>IF($G296="","",IFERROR(INDEX(FOU_Article,MATCH($G296,FOU_Code,0)),"⚠ Code inconnu"))</f>
        <v/>
      </c>
      <c r="I296" s="127" t="n"/>
      <c r="J296" s="128" t="n"/>
      <c r="K296" s="127" t="n"/>
      <c r="L296" s="127" t="n"/>
    </row>
    <row r="297" ht="21" customHeight="1">
      <c r="A297" s="1" t="n"/>
      <c r="B297" s="1" t="n"/>
      <c r="C297" s="2" t="n"/>
      <c r="E297" s="130">
        <f>IF($F297="","","MVT-"&amp;TEXT(ROW()-6,"0000"))</f>
        <v/>
      </c>
      <c r="F297" s="134" t="n"/>
      <c r="G297" s="127" t="n"/>
      <c r="H297" s="130">
        <f>IF($G297="","",IFERROR(INDEX(FOU_Article,MATCH($G297,FOU_Code,0)),"⚠ Code inconnu"))</f>
        <v/>
      </c>
      <c r="I297" s="127" t="n"/>
      <c r="J297" s="128" t="n"/>
      <c r="K297" s="127" t="n"/>
      <c r="L297" s="127" t="n"/>
    </row>
    <row r="298" ht="21" customHeight="1">
      <c r="A298" s="1" t="n"/>
      <c r="B298" s="1" t="n"/>
      <c r="C298" s="2" t="n"/>
      <c r="E298" s="130">
        <f>IF($F298="","","MVT-"&amp;TEXT(ROW()-6,"0000"))</f>
        <v/>
      </c>
      <c r="F298" s="134" t="n"/>
      <c r="G298" s="127" t="n"/>
      <c r="H298" s="130">
        <f>IF($G298="","",IFERROR(INDEX(FOU_Article,MATCH($G298,FOU_Code,0)),"⚠ Code inconnu"))</f>
        <v/>
      </c>
      <c r="I298" s="127" t="n"/>
      <c r="J298" s="128" t="n"/>
      <c r="K298" s="127" t="n"/>
      <c r="L298" s="127" t="n"/>
    </row>
    <row r="299" ht="21" customHeight="1">
      <c r="A299" s="1" t="n"/>
      <c r="B299" s="1" t="n"/>
      <c r="C299" s="2" t="n"/>
      <c r="E299" s="130">
        <f>IF($F299="","","MVT-"&amp;TEXT(ROW()-6,"0000"))</f>
        <v/>
      </c>
      <c r="F299" s="134" t="n"/>
      <c r="G299" s="127" t="n"/>
      <c r="H299" s="130">
        <f>IF($G299="","",IFERROR(INDEX(FOU_Article,MATCH($G299,FOU_Code,0)),"⚠ Code inconnu"))</f>
        <v/>
      </c>
      <c r="I299" s="127" t="n"/>
      <c r="J299" s="128" t="n"/>
      <c r="K299" s="127" t="n"/>
      <c r="L299" s="127" t="n"/>
    </row>
    <row r="300" ht="21" customHeight="1">
      <c r="A300" s="1" t="n"/>
      <c r="B300" s="1" t="n"/>
      <c r="C300" s="2" t="n"/>
      <c r="E300" s="130">
        <f>IF($F300="","","MVT-"&amp;TEXT(ROW()-6,"0000"))</f>
        <v/>
      </c>
      <c r="F300" s="134" t="n"/>
      <c r="G300" s="127" t="n"/>
      <c r="H300" s="130">
        <f>IF($G300="","",IFERROR(INDEX(FOU_Article,MATCH($G300,FOU_Code,0)),"⚠ Code inconnu"))</f>
        <v/>
      </c>
      <c r="I300" s="127" t="n"/>
      <c r="J300" s="128" t="n"/>
      <c r="K300" s="127" t="n"/>
      <c r="L300" s="127" t="n"/>
    </row>
    <row r="301" ht="21" customHeight="1">
      <c r="A301" s="1" t="n"/>
      <c r="B301" s="1" t="n"/>
      <c r="C301" s="2" t="n"/>
      <c r="E301" s="130">
        <f>IF($F301="","","MVT-"&amp;TEXT(ROW()-6,"0000"))</f>
        <v/>
      </c>
      <c r="F301" s="134" t="n"/>
      <c r="G301" s="127" t="n"/>
      <c r="H301" s="130">
        <f>IF($G301="","",IFERROR(INDEX(FOU_Article,MATCH($G301,FOU_Code,0)),"⚠ Code inconnu"))</f>
        <v/>
      </c>
      <c r="I301" s="127" t="n"/>
      <c r="J301" s="128" t="n"/>
      <c r="K301" s="127" t="n"/>
      <c r="L301" s="127" t="n"/>
    </row>
    <row r="302" ht="21" customHeight="1">
      <c r="A302" s="1" t="n"/>
      <c r="B302" s="1" t="n"/>
      <c r="C302" s="2" t="n"/>
      <c r="E302" s="130">
        <f>IF($F302="","","MVT-"&amp;TEXT(ROW()-6,"0000"))</f>
        <v/>
      </c>
      <c r="F302" s="134" t="n"/>
      <c r="G302" s="127" t="n"/>
      <c r="H302" s="130">
        <f>IF($G302="","",IFERROR(INDEX(FOU_Article,MATCH($G302,FOU_Code,0)),"⚠ Code inconnu"))</f>
        <v/>
      </c>
      <c r="I302" s="127" t="n"/>
      <c r="J302" s="128" t="n"/>
      <c r="K302" s="127" t="n"/>
      <c r="L302" s="127" t="n"/>
    </row>
    <row r="303" ht="21" customHeight="1">
      <c r="A303" s="1" t="n"/>
      <c r="B303" s="1" t="n"/>
      <c r="C303" s="2" t="n"/>
      <c r="E303" s="130">
        <f>IF($F303="","","MVT-"&amp;TEXT(ROW()-6,"0000"))</f>
        <v/>
      </c>
      <c r="F303" s="134" t="n"/>
      <c r="G303" s="127" t="n"/>
      <c r="H303" s="130">
        <f>IF($G303="","",IFERROR(INDEX(FOU_Article,MATCH($G303,FOU_Code,0)),"⚠ Code inconnu"))</f>
        <v/>
      </c>
      <c r="I303" s="127" t="n"/>
      <c r="J303" s="128" t="n"/>
      <c r="K303" s="127" t="n"/>
      <c r="L303" s="127" t="n"/>
    </row>
    <row r="304" ht="21" customHeight="1">
      <c r="A304" s="1" t="n"/>
      <c r="B304" s="1" t="n"/>
      <c r="C304" s="2" t="n"/>
      <c r="E304" s="130">
        <f>IF($F304="","","MVT-"&amp;TEXT(ROW()-6,"0000"))</f>
        <v/>
      </c>
      <c r="F304" s="134" t="n"/>
      <c r="G304" s="127" t="n"/>
      <c r="H304" s="130">
        <f>IF($G304="","",IFERROR(INDEX(FOU_Article,MATCH($G304,FOU_Code,0)),"⚠ Code inconnu"))</f>
        <v/>
      </c>
      <c r="I304" s="127" t="n"/>
      <c r="J304" s="128" t="n"/>
      <c r="K304" s="127" t="n"/>
      <c r="L304" s="127" t="n"/>
    </row>
    <row r="305" ht="21" customHeight="1">
      <c r="A305" s="1" t="n"/>
      <c r="B305" s="1" t="n"/>
      <c r="C305" s="2" t="n"/>
      <c r="E305" s="130">
        <f>IF($F305="","","MVT-"&amp;TEXT(ROW()-6,"0000"))</f>
        <v/>
      </c>
      <c r="F305" s="134" t="n"/>
      <c r="G305" s="127" t="n"/>
      <c r="H305" s="130">
        <f>IF($G305="","",IFERROR(INDEX(FOU_Article,MATCH($G305,FOU_Code,0)),"⚠ Code inconnu"))</f>
        <v/>
      </c>
      <c r="I305" s="127" t="n"/>
      <c r="J305" s="128" t="n"/>
      <c r="K305" s="127" t="n"/>
      <c r="L305" s="127" t="n"/>
    </row>
    <row r="306" ht="21" customHeight="1">
      <c r="A306" s="1" t="n"/>
      <c r="B306" s="1" t="n"/>
      <c r="C306" s="2" t="n"/>
      <c r="E306" s="130">
        <f>IF($F306="","","MVT-"&amp;TEXT(ROW()-6,"0000"))</f>
        <v/>
      </c>
      <c r="F306" s="134" t="n"/>
      <c r="G306" s="127" t="n"/>
      <c r="H306" s="130">
        <f>IF($G306="","",IFERROR(INDEX(FOU_Article,MATCH($G306,FOU_Code,0)),"⚠ Code inconnu"))</f>
        <v/>
      </c>
      <c r="I306" s="127" t="n"/>
      <c r="J306" s="128" t="n"/>
      <c r="K306" s="127" t="n"/>
      <c r="L306" s="127" t="n"/>
    </row>
    <row r="307" ht="21" customHeight="1">
      <c r="A307" s="1" t="n"/>
      <c r="B307" s="1" t="n"/>
      <c r="C307" s="2" t="n"/>
      <c r="E307" s="130">
        <f>IF($F307="","","MVT-"&amp;TEXT(ROW()-6,"0000"))</f>
        <v/>
      </c>
      <c r="F307" s="134" t="n"/>
      <c r="G307" s="127" t="n"/>
      <c r="H307" s="130">
        <f>IF($G307="","",IFERROR(INDEX(FOU_Article,MATCH($G307,FOU_Code,0)),"⚠ Code inconnu"))</f>
        <v/>
      </c>
      <c r="I307" s="127" t="n"/>
      <c r="J307" s="128" t="n"/>
      <c r="K307" s="127" t="n"/>
      <c r="L307" s="127" t="n"/>
    </row>
    <row r="308" ht="21" customHeight="1">
      <c r="A308" s="1" t="n"/>
      <c r="B308" s="1" t="n"/>
      <c r="C308" s="2" t="n"/>
      <c r="E308" s="130">
        <f>IF($F308="","","MVT-"&amp;TEXT(ROW()-6,"0000"))</f>
        <v/>
      </c>
      <c r="F308" s="134" t="n"/>
      <c r="G308" s="127" t="n"/>
      <c r="H308" s="130">
        <f>IF($G308="","",IFERROR(INDEX(FOU_Article,MATCH($G308,FOU_Code,0)),"⚠ Code inconnu"))</f>
        <v/>
      </c>
      <c r="I308" s="127" t="n"/>
      <c r="J308" s="128" t="n"/>
      <c r="K308" s="127" t="n"/>
      <c r="L308" s="127" t="n"/>
    </row>
    <row r="309" ht="21" customHeight="1">
      <c r="A309" s="1" t="n"/>
      <c r="B309" s="1" t="n"/>
      <c r="C309" s="2" t="n"/>
      <c r="E309" s="130">
        <f>IF($F309="","","MVT-"&amp;TEXT(ROW()-6,"0000"))</f>
        <v/>
      </c>
      <c r="F309" s="134" t="n"/>
      <c r="G309" s="127" t="n"/>
      <c r="H309" s="130">
        <f>IF($G309="","",IFERROR(INDEX(FOU_Article,MATCH($G309,FOU_Code,0)),"⚠ Code inconnu"))</f>
        <v/>
      </c>
      <c r="I309" s="127" t="n"/>
      <c r="J309" s="128" t="n"/>
      <c r="K309" s="127" t="n"/>
      <c r="L309" s="127" t="n"/>
    </row>
    <row r="310" ht="21" customHeight="1">
      <c r="A310" s="1" t="n"/>
      <c r="B310" s="1" t="n"/>
      <c r="C310" s="2" t="n"/>
      <c r="E310" s="130">
        <f>IF($F310="","","MVT-"&amp;TEXT(ROW()-6,"0000"))</f>
        <v/>
      </c>
      <c r="F310" s="134" t="n"/>
      <c r="G310" s="127" t="n"/>
      <c r="H310" s="130">
        <f>IF($G310="","",IFERROR(INDEX(FOU_Article,MATCH($G310,FOU_Code,0)),"⚠ Code inconnu"))</f>
        <v/>
      </c>
      <c r="I310" s="127" t="n"/>
      <c r="J310" s="128" t="n"/>
      <c r="K310" s="127" t="n"/>
      <c r="L310" s="127" t="n"/>
    </row>
    <row r="311" ht="21" customHeight="1">
      <c r="A311" s="1" t="n"/>
      <c r="B311" s="1" t="n"/>
      <c r="C311" s="2" t="n"/>
      <c r="E311" s="130">
        <f>IF($F311="","","MVT-"&amp;TEXT(ROW()-6,"0000"))</f>
        <v/>
      </c>
      <c r="F311" s="134" t="n"/>
      <c r="G311" s="127" t="n"/>
      <c r="H311" s="130">
        <f>IF($G311="","",IFERROR(INDEX(FOU_Article,MATCH($G311,FOU_Code,0)),"⚠ Code inconnu"))</f>
        <v/>
      </c>
      <c r="I311" s="127" t="n"/>
      <c r="J311" s="128" t="n"/>
      <c r="K311" s="127" t="n"/>
      <c r="L311" s="127" t="n"/>
    </row>
    <row r="312" ht="21" customHeight="1">
      <c r="A312" s="1" t="n"/>
      <c r="B312" s="1" t="n"/>
      <c r="C312" s="2" t="n"/>
      <c r="E312" s="130">
        <f>IF($F312="","","MVT-"&amp;TEXT(ROW()-6,"0000"))</f>
        <v/>
      </c>
      <c r="F312" s="134" t="n"/>
      <c r="G312" s="127" t="n"/>
      <c r="H312" s="130">
        <f>IF($G312="","",IFERROR(INDEX(FOU_Article,MATCH($G312,FOU_Code,0)),"⚠ Code inconnu"))</f>
        <v/>
      </c>
      <c r="I312" s="127" t="n"/>
      <c r="J312" s="128" t="n"/>
      <c r="K312" s="127" t="n"/>
      <c r="L312" s="127" t="n"/>
    </row>
    <row r="313" ht="21" customHeight="1">
      <c r="A313" s="1" t="n"/>
      <c r="B313" s="1" t="n"/>
      <c r="C313" s="2" t="n"/>
      <c r="E313" s="130">
        <f>IF($F313="","","MVT-"&amp;TEXT(ROW()-6,"0000"))</f>
        <v/>
      </c>
      <c r="F313" s="134" t="n"/>
      <c r="G313" s="127" t="n"/>
      <c r="H313" s="130">
        <f>IF($G313="","",IFERROR(INDEX(FOU_Article,MATCH($G313,FOU_Code,0)),"⚠ Code inconnu"))</f>
        <v/>
      </c>
      <c r="I313" s="127" t="n"/>
      <c r="J313" s="128" t="n"/>
      <c r="K313" s="127" t="n"/>
      <c r="L313" s="127" t="n"/>
    </row>
    <row r="314" ht="21" customHeight="1">
      <c r="A314" s="1" t="n"/>
      <c r="B314" s="1" t="n"/>
      <c r="C314" s="2" t="n"/>
      <c r="E314" s="130">
        <f>IF($F314="","","MVT-"&amp;TEXT(ROW()-6,"0000"))</f>
        <v/>
      </c>
      <c r="F314" s="134" t="n"/>
      <c r="G314" s="127" t="n"/>
      <c r="H314" s="130">
        <f>IF($G314="","",IFERROR(INDEX(FOU_Article,MATCH($G314,FOU_Code,0)),"⚠ Code inconnu"))</f>
        <v/>
      </c>
      <c r="I314" s="127" t="n"/>
      <c r="J314" s="128" t="n"/>
      <c r="K314" s="127" t="n"/>
      <c r="L314" s="127" t="n"/>
    </row>
    <row r="315" ht="21" customHeight="1">
      <c r="A315" s="1" t="n"/>
      <c r="B315" s="1" t="n"/>
      <c r="C315" s="2" t="n"/>
      <c r="E315" s="130">
        <f>IF($F315="","","MVT-"&amp;TEXT(ROW()-6,"0000"))</f>
        <v/>
      </c>
      <c r="F315" s="134" t="n"/>
      <c r="G315" s="127" t="n"/>
      <c r="H315" s="130">
        <f>IF($G315="","",IFERROR(INDEX(FOU_Article,MATCH($G315,FOU_Code,0)),"⚠ Code inconnu"))</f>
        <v/>
      </c>
      <c r="I315" s="127" t="n"/>
      <c r="J315" s="128" t="n"/>
      <c r="K315" s="127" t="n"/>
      <c r="L315" s="127" t="n"/>
    </row>
    <row r="316" ht="21" customHeight="1">
      <c r="A316" s="1" t="n"/>
      <c r="B316" s="1" t="n"/>
      <c r="C316" s="2" t="n"/>
      <c r="E316" s="130">
        <f>IF($F316="","","MVT-"&amp;TEXT(ROW()-6,"0000"))</f>
        <v/>
      </c>
      <c r="F316" s="134" t="n"/>
      <c r="G316" s="127" t="n"/>
      <c r="H316" s="130">
        <f>IF($G316="","",IFERROR(INDEX(FOU_Article,MATCH($G316,FOU_Code,0)),"⚠ Code inconnu"))</f>
        <v/>
      </c>
      <c r="I316" s="127" t="n"/>
      <c r="J316" s="128" t="n"/>
      <c r="K316" s="127" t="n"/>
      <c r="L316" s="127" t="n"/>
    </row>
    <row r="317" ht="21" customHeight="1">
      <c r="A317" s="1" t="n"/>
      <c r="B317" s="1" t="n"/>
      <c r="C317" s="2" t="n"/>
      <c r="E317" s="130">
        <f>IF($F317="","","MVT-"&amp;TEXT(ROW()-6,"0000"))</f>
        <v/>
      </c>
      <c r="F317" s="134" t="n"/>
      <c r="G317" s="127" t="n"/>
      <c r="H317" s="130">
        <f>IF($G317="","",IFERROR(INDEX(FOU_Article,MATCH($G317,FOU_Code,0)),"⚠ Code inconnu"))</f>
        <v/>
      </c>
      <c r="I317" s="127" t="n"/>
      <c r="J317" s="128" t="n"/>
      <c r="K317" s="127" t="n"/>
      <c r="L317" s="127" t="n"/>
    </row>
    <row r="318" ht="21" customHeight="1">
      <c r="A318" s="1" t="n"/>
      <c r="B318" s="1" t="n"/>
      <c r="C318" s="2" t="n"/>
      <c r="E318" s="130">
        <f>IF($F318="","","MVT-"&amp;TEXT(ROW()-6,"0000"))</f>
        <v/>
      </c>
      <c r="F318" s="134" t="n"/>
      <c r="G318" s="127" t="n"/>
      <c r="H318" s="130">
        <f>IF($G318="","",IFERROR(INDEX(FOU_Article,MATCH($G318,FOU_Code,0)),"⚠ Code inconnu"))</f>
        <v/>
      </c>
      <c r="I318" s="127" t="n"/>
      <c r="J318" s="128" t="n"/>
      <c r="K318" s="127" t="n"/>
      <c r="L318" s="127" t="n"/>
    </row>
    <row r="319" ht="21" customHeight="1">
      <c r="A319" s="1" t="n"/>
      <c r="B319" s="1" t="n"/>
      <c r="C319" s="2" t="n"/>
      <c r="E319" s="130">
        <f>IF($F319="","","MVT-"&amp;TEXT(ROW()-6,"0000"))</f>
        <v/>
      </c>
      <c r="F319" s="134" t="n"/>
      <c r="G319" s="127" t="n"/>
      <c r="H319" s="130">
        <f>IF($G319="","",IFERROR(INDEX(FOU_Article,MATCH($G319,FOU_Code,0)),"⚠ Code inconnu"))</f>
        <v/>
      </c>
      <c r="I319" s="127" t="n"/>
      <c r="J319" s="128" t="n"/>
      <c r="K319" s="127" t="n"/>
      <c r="L319" s="127" t="n"/>
    </row>
    <row r="320" ht="21" customHeight="1">
      <c r="A320" s="1" t="n"/>
      <c r="B320" s="1" t="n"/>
      <c r="C320" s="2" t="n"/>
      <c r="E320" s="130">
        <f>IF($F320="","","MVT-"&amp;TEXT(ROW()-6,"0000"))</f>
        <v/>
      </c>
      <c r="F320" s="134" t="n"/>
      <c r="G320" s="127" t="n"/>
      <c r="H320" s="130">
        <f>IF($G320="","",IFERROR(INDEX(FOU_Article,MATCH($G320,FOU_Code,0)),"⚠ Code inconnu"))</f>
        <v/>
      </c>
      <c r="I320" s="127" t="n"/>
      <c r="J320" s="128" t="n"/>
      <c r="K320" s="127" t="n"/>
      <c r="L320" s="127" t="n"/>
    </row>
    <row r="321" ht="21" customHeight="1">
      <c r="A321" s="1" t="n"/>
      <c r="B321" s="1" t="n"/>
      <c r="C321" s="2" t="n"/>
      <c r="E321" s="130">
        <f>IF($F321="","","MVT-"&amp;TEXT(ROW()-6,"0000"))</f>
        <v/>
      </c>
      <c r="F321" s="134" t="n"/>
      <c r="G321" s="127" t="n"/>
      <c r="H321" s="130">
        <f>IF($G321="","",IFERROR(INDEX(FOU_Article,MATCH($G321,FOU_Code,0)),"⚠ Code inconnu"))</f>
        <v/>
      </c>
      <c r="I321" s="127" t="n"/>
      <c r="J321" s="128" t="n"/>
      <c r="K321" s="127" t="n"/>
      <c r="L321" s="127" t="n"/>
    </row>
    <row r="322" ht="21" customHeight="1">
      <c r="A322" s="1" t="n"/>
      <c r="B322" s="1" t="n"/>
      <c r="C322" s="2" t="n"/>
      <c r="E322" s="130">
        <f>IF($F322="","","MVT-"&amp;TEXT(ROW()-6,"0000"))</f>
        <v/>
      </c>
      <c r="F322" s="134" t="n"/>
      <c r="G322" s="127" t="n"/>
      <c r="H322" s="130">
        <f>IF($G322="","",IFERROR(INDEX(FOU_Article,MATCH($G322,FOU_Code,0)),"⚠ Code inconnu"))</f>
        <v/>
      </c>
      <c r="I322" s="127" t="n"/>
      <c r="J322" s="128" t="n"/>
      <c r="K322" s="127" t="n"/>
      <c r="L322" s="127" t="n"/>
    </row>
    <row r="323" ht="21" customHeight="1">
      <c r="A323" s="1" t="n"/>
      <c r="B323" s="1" t="n"/>
      <c r="C323" s="2" t="n"/>
      <c r="E323" s="130">
        <f>IF($F323="","","MVT-"&amp;TEXT(ROW()-6,"0000"))</f>
        <v/>
      </c>
      <c r="F323" s="134" t="n"/>
      <c r="G323" s="127" t="n"/>
      <c r="H323" s="130">
        <f>IF($G323="","",IFERROR(INDEX(FOU_Article,MATCH($G323,FOU_Code,0)),"⚠ Code inconnu"))</f>
        <v/>
      </c>
      <c r="I323" s="127" t="n"/>
      <c r="J323" s="128" t="n"/>
      <c r="K323" s="127" t="n"/>
      <c r="L323" s="127" t="n"/>
    </row>
    <row r="324" ht="21" customHeight="1">
      <c r="A324" s="1" t="n"/>
      <c r="B324" s="1" t="n"/>
      <c r="C324" s="2" t="n"/>
      <c r="E324" s="130">
        <f>IF($F324="","","MVT-"&amp;TEXT(ROW()-6,"0000"))</f>
        <v/>
      </c>
      <c r="F324" s="134" t="n"/>
      <c r="G324" s="127" t="n"/>
      <c r="H324" s="130">
        <f>IF($G324="","",IFERROR(INDEX(FOU_Article,MATCH($G324,FOU_Code,0)),"⚠ Code inconnu"))</f>
        <v/>
      </c>
      <c r="I324" s="127" t="n"/>
      <c r="J324" s="128" t="n"/>
      <c r="K324" s="127" t="n"/>
      <c r="L324" s="127" t="n"/>
    </row>
    <row r="325" ht="21" customHeight="1">
      <c r="A325" s="1" t="n"/>
      <c r="B325" s="1" t="n"/>
      <c r="C325" s="2" t="n"/>
      <c r="E325" s="130">
        <f>IF($F325="","","MVT-"&amp;TEXT(ROW()-6,"0000"))</f>
        <v/>
      </c>
      <c r="F325" s="134" t="n"/>
      <c r="G325" s="127" t="n"/>
      <c r="H325" s="130">
        <f>IF($G325="","",IFERROR(INDEX(FOU_Article,MATCH($G325,FOU_Code,0)),"⚠ Code inconnu"))</f>
        <v/>
      </c>
      <c r="I325" s="127" t="n"/>
      <c r="J325" s="128" t="n"/>
      <c r="K325" s="127" t="n"/>
      <c r="L325" s="127" t="n"/>
    </row>
    <row r="326" ht="21" customHeight="1">
      <c r="A326" s="1" t="n"/>
      <c r="B326" s="1" t="n"/>
      <c r="C326" s="2" t="n"/>
      <c r="E326" s="130">
        <f>IF($F326="","","MVT-"&amp;TEXT(ROW()-6,"0000"))</f>
        <v/>
      </c>
      <c r="F326" s="134" t="n"/>
      <c r="G326" s="127" t="n"/>
      <c r="H326" s="130">
        <f>IF($G326="","",IFERROR(INDEX(FOU_Article,MATCH($G326,FOU_Code,0)),"⚠ Code inconnu"))</f>
        <v/>
      </c>
      <c r="I326" s="127" t="n"/>
      <c r="J326" s="128" t="n"/>
      <c r="K326" s="127" t="n"/>
      <c r="L326" s="127" t="n"/>
    </row>
    <row r="327" ht="21" customHeight="1">
      <c r="A327" s="1" t="n"/>
      <c r="B327" s="1" t="n"/>
      <c r="C327" s="2" t="n"/>
      <c r="E327" s="130">
        <f>IF($F327="","","MVT-"&amp;TEXT(ROW()-6,"0000"))</f>
        <v/>
      </c>
      <c r="F327" s="134" t="n"/>
      <c r="G327" s="127" t="n"/>
      <c r="H327" s="130">
        <f>IF($G327="","",IFERROR(INDEX(FOU_Article,MATCH($G327,FOU_Code,0)),"⚠ Code inconnu"))</f>
        <v/>
      </c>
      <c r="I327" s="127" t="n"/>
      <c r="J327" s="128" t="n"/>
      <c r="K327" s="127" t="n"/>
      <c r="L327" s="127" t="n"/>
    </row>
    <row r="328" ht="21" customHeight="1">
      <c r="A328" s="1" t="n"/>
      <c r="B328" s="1" t="n"/>
      <c r="C328" s="2" t="n"/>
      <c r="E328" s="130">
        <f>IF($F328="","","MVT-"&amp;TEXT(ROW()-6,"0000"))</f>
        <v/>
      </c>
      <c r="F328" s="134" t="n"/>
      <c r="G328" s="127" t="n"/>
      <c r="H328" s="130">
        <f>IF($G328="","",IFERROR(INDEX(FOU_Article,MATCH($G328,FOU_Code,0)),"⚠ Code inconnu"))</f>
        <v/>
      </c>
      <c r="I328" s="127" t="n"/>
      <c r="J328" s="128" t="n"/>
      <c r="K328" s="127" t="n"/>
      <c r="L328" s="127" t="n"/>
    </row>
    <row r="329" ht="21" customHeight="1">
      <c r="A329" s="1" t="n"/>
      <c r="B329" s="1" t="n"/>
      <c r="C329" s="2" t="n"/>
      <c r="E329" s="130">
        <f>IF($F329="","","MVT-"&amp;TEXT(ROW()-6,"0000"))</f>
        <v/>
      </c>
      <c r="F329" s="134" t="n"/>
      <c r="G329" s="127" t="n"/>
      <c r="H329" s="130">
        <f>IF($G329="","",IFERROR(INDEX(FOU_Article,MATCH($G329,FOU_Code,0)),"⚠ Code inconnu"))</f>
        <v/>
      </c>
      <c r="I329" s="127" t="n"/>
      <c r="J329" s="128" t="n"/>
      <c r="K329" s="127" t="n"/>
      <c r="L329" s="127" t="n"/>
    </row>
    <row r="330" ht="21" customHeight="1">
      <c r="A330" s="1" t="n"/>
      <c r="B330" s="1" t="n"/>
      <c r="C330" s="2" t="n"/>
      <c r="E330" s="130">
        <f>IF($F330="","","MVT-"&amp;TEXT(ROW()-6,"0000"))</f>
        <v/>
      </c>
      <c r="F330" s="134" t="n"/>
      <c r="G330" s="127" t="n"/>
      <c r="H330" s="130">
        <f>IF($G330="","",IFERROR(INDEX(FOU_Article,MATCH($G330,FOU_Code,0)),"⚠ Code inconnu"))</f>
        <v/>
      </c>
      <c r="I330" s="127" t="n"/>
      <c r="J330" s="128" t="n"/>
      <c r="K330" s="127" t="n"/>
      <c r="L330" s="127" t="n"/>
    </row>
    <row r="331" ht="21" customHeight="1">
      <c r="A331" s="1" t="n"/>
      <c r="B331" s="1" t="n"/>
      <c r="C331" s="2" t="n"/>
      <c r="E331" s="130">
        <f>IF($F331="","","MVT-"&amp;TEXT(ROW()-6,"0000"))</f>
        <v/>
      </c>
      <c r="F331" s="134" t="n"/>
      <c r="G331" s="127" t="n"/>
      <c r="H331" s="130">
        <f>IF($G331="","",IFERROR(INDEX(FOU_Article,MATCH($G331,FOU_Code,0)),"⚠ Code inconnu"))</f>
        <v/>
      </c>
      <c r="I331" s="127" t="n"/>
      <c r="J331" s="128" t="n"/>
      <c r="K331" s="127" t="n"/>
      <c r="L331" s="127" t="n"/>
    </row>
    <row r="332" ht="21" customHeight="1">
      <c r="A332" s="1" t="n"/>
      <c r="B332" s="1" t="n"/>
      <c r="C332" s="2" t="n"/>
      <c r="E332" s="130">
        <f>IF($F332="","","MVT-"&amp;TEXT(ROW()-6,"0000"))</f>
        <v/>
      </c>
      <c r="F332" s="134" t="n"/>
      <c r="G332" s="127" t="n"/>
      <c r="H332" s="130">
        <f>IF($G332="","",IFERROR(INDEX(FOU_Article,MATCH($G332,FOU_Code,0)),"⚠ Code inconnu"))</f>
        <v/>
      </c>
      <c r="I332" s="127" t="n"/>
      <c r="J332" s="128" t="n"/>
      <c r="K332" s="127" t="n"/>
      <c r="L332" s="127" t="n"/>
    </row>
    <row r="333" ht="21" customHeight="1">
      <c r="A333" s="1" t="n"/>
      <c r="B333" s="1" t="n"/>
      <c r="C333" s="2" t="n"/>
      <c r="E333" s="130">
        <f>IF($F333="","","MVT-"&amp;TEXT(ROW()-6,"0000"))</f>
        <v/>
      </c>
      <c r="F333" s="134" t="n"/>
      <c r="G333" s="127" t="n"/>
      <c r="H333" s="130">
        <f>IF($G333="","",IFERROR(INDEX(FOU_Article,MATCH($G333,FOU_Code,0)),"⚠ Code inconnu"))</f>
        <v/>
      </c>
      <c r="I333" s="127" t="n"/>
      <c r="J333" s="128" t="n"/>
      <c r="K333" s="127" t="n"/>
      <c r="L333" s="127" t="n"/>
    </row>
    <row r="334" ht="21" customHeight="1">
      <c r="A334" s="1" t="n"/>
      <c r="B334" s="1" t="n"/>
      <c r="C334" s="2" t="n"/>
      <c r="E334" s="130">
        <f>IF($F334="","","MVT-"&amp;TEXT(ROW()-6,"0000"))</f>
        <v/>
      </c>
      <c r="F334" s="134" t="n"/>
      <c r="G334" s="127" t="n"/>
      <c r="H334" s="130">
        <f>IF($G334="","",IFERROR(INDEX(FOU_Article,MATCH($G334,FOU_Code,0)),"⚠ Code inconnu"))</f>
        <v/>
      </c>
      <c r="I334" s="127" t="n"/>
      <c r="J334" s="128" t="n"/>
      <c r="K334" s="127" t="n"/>
      <c r="L334" s="127" t="n"/>
    </row>
    <row r="335" ht="21" customHeight="1">
      <c r="A335" s="1" t="n"/>
      <c r="B335" s="1" t="n"/>
      <c r="C335" s="2" t="n"/>
      <c r="E335" s="130">
        <f>IF($F335="","","MVT-"&amp;TEXT(ROW()-6,"0000"))</f>
        <v/>
      </c>
      <c r="F335" s="134" t="n"/>
      <c r="G335" s="127" t="n"/>
      <c r="H335" s="130">
        <f>IF($G335="","",IFERROR(INDEX(FOU_Article,MATCH($G335,FOU_Code,0)),"⚠ Code inconnu"))</f>
        <v/>
      </c>
      <c r="I335" s="127" t="n"/>
      <c r="J335" s="128" t="n"/>
      <c r="K335" s="127" t="n"/>
      <c r="L335" s="127" t="n"/>
    </row>
    <row r="336" ht="21" customHeight="1">
      <c r="A336" s="1" t="n"/>
      <c r="B336" s="1" t="n"/>
      <c r="C336" s="2" t="n"/>
      <c r="E336" s="130">
        <f>IF($F336="","","MVT-"&amp;TEXT(ROW()-6,"0000"))</f>
        <v/>
      </c>
      <c r="F336" s="134" t="n"/>
      <c r="G336" s="127" t="n"/>
      <c r="H336" s="130">
        <f>IF($G336="","",IFERROR(INDEX(FOU_Article,MATCH($G336,FOU_Code,0)),"⚠ Code inconnu"))</f>
        <v/>
      </c>
      <c r="I336" s="127" t="n"/>
      <c r="J336" s="128" t="n"/>
      <c r="K336" s="127" t="n"/>
      <c r="L336" s="127" t="n"/>
    </row>
    <row r="337" ht="21" customHeight="1">
      <c r="A337" s="1" t="n"/>
      <c r="B337" s="1" t="n"/>
      <c r="C337" s="2" t="n"/>
      <c r="E337" s="130">
        <f>IF($F337="","","MVT-"&amp;TEXT(ROW()-6,"0000"))</f>
        <v/>
      </c>
      <c r="F337" s="134" t="n"/>
      <c r="G337" s="127" t="n"/>
      <c r="H337" s="130">
        <f>IF($G337="","",IFERROR(INDEX(FOU_Article,MATCH($G337,FOU_Code,0)),"⚠ Code inconnu"))</f>
        <v/>
      </c>
      <c r="I337" s="127" t="n"/>
      <c r="J337" s="128" t="n"/>
      <c r="K337" s="127" t="n"/>
      <c r="L337" s="127" t="n"/>
    </row>
    <row r="338" ht="21" customHeight="1">
      <c r="A338" s="1" t="n"/>
      <c r="B338" s="1" t="n"/>
      <c r="C338" s="2" t="n"/>
      <c r="E338" s="130">
        <f>IF($F338="","","MVT-"&amp;TEXT(ROW()-6,"0000"))</f>
        <v/>
      </c>
      <c r="F338" s="134" t="n"/>
      <c r="G338" s="127" t="n"/>
      <c r="H338" s="130">
        <f>IF($G338="","",IFERROR(INDEX(FOU_Article,MATCH($G338,FOU_Code,0)),"⚠ Code inconnu"))</f>
        <v/>
      </c>
      <c r="I338" s="127" t="n"/>
      <c r="J338" s="128" t="n"/>
      <c r="K338" s="127" t="n"/>
      <c r="L338" s="127" t="n"/>
    </row>
    <row r="339" ht="21" customHeight="1">
      <c r="A339" s="1" t="n"/>
      <c r="B339" s="1" t="n"/>
      <c r="C339" s="2" t="n"/>
      <c r="E339" s="130">
        <f>IF($F339="","","MVT-"&amp;TEXT(ROW()-6,"0000"))</f>
        <v/>
      </c>
      <c r="F339" s="134" t="n"/>
      <c r="G339" s="127" t="n"/>
      <c r="H339" s="130">
        <f>IF($G339="","",IFERROR(INDEX(FOU_Article,MATCH($G339,FOU_Code,0)),"⚠ Code inconnu"))</f>
        <v/>
      </c>
      <c r="I339" s="127" t="n"/>
      <c r="J339" s="128" t="n"/>
      <c r="K339" s="127" t="n"/>
      <c r="L339" s="127" t="n"/>
    </row>
    <row r="340" ht="21" customHeight="1">
      <c r="A340" s="1" t="n"/>
      <c r="B340" s="1" t="n"/>
      <c r="C340" s="2" t="n"/>
      <c r="E340" s="130">
        <f>IF($F340="","","MVT-"&amp;TEXT(ROW()-6,"0000"))</f>
        <v/>
      </c>
      <c r="F340" s="134" t="n"/>
      <c r="G340" s="127" t="n"/>
      <c r="H340" s="130">
        <f>IF($G340="","",IFERROR(INDEX(FOU_Article,MATCH($G340,FOU_Code,0)),"⚠ Code inconnu"))</f>
        <v/>
      </c>
      <c r="I340" s="127" t="n"/>
      <c r="J340" s="128" t="n"/>
      <c r="K340" s="127" t="n"/>
      <c r="L340" s="127" t="n"/>
    </row>
    <row r="341" ht="21" customHeight="1">
      <c r="A341" s="1" t="n"/>
      <c r="B341" s="1" t="n"/>
      <c r="C341" s="2" t="n"/>
      <c r="E341" s="130">
        <f>IF($F341="","","MVT-"&amp;TEXT(ROW()-6,"0000"))</f>
        <v/>
      </c>
      <c r="F341" s="134" t="n"/>
      <c r="G341" s="127" t="n"/>
      <c r="H341" s="130">
        <f>IF($G341="","",IFERROR(INDEX(FOU_Article,MATCH($G341,FOU_Code,0)),"⚠ Code inconnu"))</f>
        <v/>
      </c>
      <c r="I341" s="127" t="n"/>
      <c r="J341" s="128" t="n"/>
      <c r="K341" s="127" t="n"/>
      <c r="L341" s="127" t="n"/>
    </row>
    <row r="342" ht="21" customHeight="1">
      <c r="A342" s="1" t="n"/>
      <c r="B342" s="1" t="n"/>
      <c r="C342" s="2" t="n"/>
      <c r="E342" s="130">
        <f>IF($F342="","","MVT-"&amp;TEXT(ROW()-6,"0000"))</f>
        <v/>
      </c>
      <c r="F342" s="134" t="n"/>
      <c r="G342" s="127" t="n"/>
      <c r="H342" s="130">
        <f>IF($G342="","",IFERROR(INDEX(FOU_Article,MATCH($G342,FOU_Code,0)),"⚠ Code inconnu"))</f>
        <v/>
      </c>
      <c r="I342" s="127" t="n"/>
      <c r="J342" s="128" t="n"/>
      <c r="K342" s="127" t="n"/>
      <c r="L342" s="127" t="n"/>
    </row>
    <row r="343" ht="21" customHeight="1">
      <c r="A343" s="1" t="n"/>
      <c r="B343" s="1" t="n"/>
      <c r="C343" s="2" t="n"/>
      <c r="E343" s="130">
        <f>IF($F343="","","MVT-"&amp;TEXT(ROW()-6,"0000"))</f>
        <v/>
      </c>
      <c r="F343" s="134" t="n"/>
      <c r="G343" s="127" t="n"/>
      <c r="H343" s="130">
        <f>IF($G343="","",IFERROR(INDEX(FOU_Article,MATCH($G343,FOU_Code,0)),"⚠ Code inconnu"))</f>
        <v/>
      </c>
      <c r="I343" s="127" t="n"/>
      <c r="J343" s="128" t="n"/>
      <c r="K343" s="127" t="n"/>
      <c r="L343" s="127" t="n"/>
    </row>
    <row r="344" ht="21" customHeight="1">
      <c r="A344" s="1" t="n"/>
      <c r="B344" s="1" t="n"/>
      <c r="C344" s="2" t="n"/>
      <c r="E344" s="130">
        <f>IF($F344="","","MVT-"&amp;TEXT(ROW()-6,"0000"))</f>
        <v/>
      </c>
      <c r="F344" s="134" t="n"/>
      <c r="G344" s="127" t="n"/>
      <c r="H344" s="130">
        <f>IF($G344="","",IFERROR(INDEX(FOU_Article,MATCH($G344,FOU_Code,0)),"⚠ Code inconnu"))</f>
        <v/>
      </c>
      <c r="I344" s="127" t="n"/>
      <c r="J344" s="128" t="n"/>
      <c r="K344" s="127" t="n"/>
      <c r="L344" s="127" t="n"/>
    </row>
    <row r="345" ht="21" customHeight="1">
      <c r="A345" s="1" t="n"/>
      <c r="B345" s="1" t="n"/>
      <c r="C345" s="2" t="n"/>
      <c r="E345" s="130">
        <f>IF($F345="","","MVT-"&amp;TEXT(ROW()-6,"0000"))</f>
        <v/>
      </c>
      <c r="F345" s="134" t="n"/>
      <c r="G345" s="127" t="n"/>
      <c r="H345" s="130">
        <f>IF($G345="","",IFERROR(INDEX(FOU_Article,MATCH($G345,FOU_Code,0)),"⚠ Code inconnu"))</f>
        <v/>
      </c>
      <c r="I345" s="127" t="n"/>
      <c r="J345" s="128" t="n"/>
      <c r="K345" s="127" t="n"/>
      <c r="L345" s="127" t="n"/>
    </row>
    <row r="346" ht="21" customHeight="1">
      <c r="A346" s="1" t="n"/>
      <c r="B346" s="1" t="n"/>
      <c r="C346" s="2" t="n"/>
      <c r="E346" s="130">
        <f>IF($F346="","","MVT-"&amp;TEXT(ROW()-6,"0000"))</f>
        <v/>
      </c>
      <c r="F346" s="134" t="n"/>
      <c r="G346" s="127" t="n"/>
      <c r="H346" s="130">
        <f>IF($G346="","",IFERROR(INDEX(FOU_Article,MATCH($G346,FOU_Code,0)),"⚠ Code inconnu"))</f>
        <v/>
      </c>
      <c r="I346" s="127" t="n"/>
      <c r="J346" s="128" t="n"/>
      <c r="K346" s="127" t="n"/>
      <c r="L346" s="127" t="n"/>
    </row>
    <row r="347" ht="21" customHeight="1">
      <c r="A347" s="1" t="n"/>
      <c r="B347" s="1" t="n"/>
      <c r="C347" s="2" t="n"/>
      <c r="E347" s="130">
        <f>IF($F347="","","MVT-"&amp;TEXT(ROW()-6,"0000"))</f>
        <v/>
      </c>
      <c r="F347" s="134" t="n"/>
      <c r="G347" s="127" t="n"/>
      <c r="H347" s="130">
        <f>IF($G347="","",IFERROR(INDEX(FOU_Article,MATCH($G347,FOU_Code,0)),"⚠ Code inconnu"))</f>
        <v/>
      </c>
      <c r="I347" s="127" t="n"/>
      <c r="J347" s="128" t="n"/>
      <c r="K347" s="127" t="n"/>
      <c r="L347" s="127" t="n"/>
    </row>
    <row r="348" ht="21" customHeight="1">
      <c r="A348" s="1" t="n"/>
      <c r="B348" s="1" t="n"/>
      <c r="C348" s="2" t="n"/>
      <c r="E348" s="130">
        <f>IF($F348="","","MVT-"&amp;TEXT(ROW()-6,"0000"))</f>
        <v/>
      </c>
      <c r="F348" s="134" t="n"/>
      <c r="G348" s="127" t="n"/>
      <c r="H348" s="130">
        <f>IF($G348="","",IFERROR(INDEX(FOU_Article,MATCH($G348,FOU_Code,0)),"⚠ Code inconnu"))</f>
        <v/>
      </c>
      <c r="I348" s="127" t="n"/>
      <c r="J348" s="128" t="n"/>
      <c r="K348" s="127" t="n"/>
      <c r="L348" s="127" t="n"/>
    </row>
    <row r="349" ht="21" customHeight="1">
      <c r="A349" s="1" t="n"/>
      <c r="B349" s="1" t="n"/>
      <c r="C349" s="2" t="n"/>
      <c r="E349" s="130">
        <f>IF($F349="","","MVT-"&amp;TEXT(ROW()-6,"0000"))</f>
        <v/>
      </c>
      <c r="F349" s="134" t="n"/>
      <c r="G349" s="127" t="n"/>
      <c r="H349" s="130">
        <f>IF($G349="","",IFERROR(INDEX(FOU_Article,MATCH($G349,FOU_Code,0)),"⚠ Code inconnu"))</f>
        <v/>
      </c>
      <c r="I349" s="127" t="n"/>
      <c r="J349" s="128" t="n"/>
      <c r="K349" s="127" t="n"/>
      <c r="L349" s="127" t="n"/>
    </row>
    <row r="350" ht="21" customHeight="1">
      <c r="A350" s="1" t="n"/>
      <c r="B350" s="1" t="n"/>
      <c r="C350" s="2" t="n"/>
      <c r="E350" s="130">
        <f>IF($F350="","","MVT-"&amp;TEXT(ROW()-6,"0000"))</f>
        <v/>
      </c>
      <c r="F350" s="134" t="n"/>
      <c r="G350" s="127" t="n"/>
      <c r="H350" s="130">
        <f>IF($G350="","",IFERROR(INDEX(FOU_Article,MATCH($G350,FOU_Code,0)),"⚠ Code inconnu"))</f>
        <v/>
      </c>
      <c r="I350" s="127" t="n"/>
      <c r="J350" s="128" t="n"/>
      <c r="K350" s="127" t="n"/>
      <c r="L350" s="127" t="n"/>
    </row>
    <row r="351" ht="21" customHeight="1">
      <c r="A351" s="1" t="n"/>
      <c r="B351" s="1" t="n"/>
      <c r="C351" s="2" t="n"/>
      <c r="E351" s="130">
        <f>IF($F351="","","MVT-"&amp;TEXT(ROW()-6,"0000"))</f>
        <v/>
      </c>
      <c r="F351" s="134" t="n"/>
      <c r="G351" s="127" t="n"/>
      <c r="H351" s="130">
        <f>IF($G351="","",IFERROR(INDEX(FOU_Article,MATCH($G351,FOU_Code,0)),"⚠ Code inconnu"))</f>
        <v/>
      </c>
      <c r="I351" s="127" t="n"/>
      <c r="J351" s="128" t="n"/>
      <c r="K351" s="127" t="n"/>
      <c r="L351" s="127" t="n"/>
    </row>
    <row r="352" ht="21" customHeight="1">
      <c r="A352" s="1" t="n"/>
      <c r="B352" s="1" t="n"/>
      <c r="C352" s="2" t="n"/>
      <c r="E352" s="130">
        <f>IF($F352="","","MVT-"&amp;TEXT(ROW()-6,"0000"))</f>
        <v/>
      </c>
      <c r="F352" s="134" t="n"/>
      <c r="G352" s="127" t="n"/>
      <c r="H352" s="130">
        <f>IF($G352="","",IFERROR(INDEX(FOU_Article,MATCH($G352,FOU_Code,0)),"⚠ Code inconnu"))</f>
        <v/>
      </c>
      <c r="I352" s="127" t="n"/>
      <c r="J352" s="128" t="n"/>
      <c r="K352" s="127" t="n"/>
      <c r="L352" s="127" t="n"/>
    </row>
    <row r="353" ht="21" customHeight="1">
      <c r="A353" s="1" t="n"/>
      <c r="B353" s="1" t="n"/>
      <c r="C353" s="2" t="n"/>
      <c r="E353" s="130">
        <f>IF($F353="","","MVT-"&amp;TEXT(ROW()-6,"0000"))</f>
        <v/>
      </c>
      <c r="F353" s="134" t="n"/>
      <c r="G353" s="127" t="n"/>
      <c r="H353" s="130">
        <f>IF($G353="","",IFERROR(INDEX(FOU_Article,MATCH($G353,FOU_Code,0)),"⚠ Code inconnu"))</f>
        <v/>
      </c>
      <c r="I353" s="127" t="n"/>
      <c r="J353" s="128" t="n"/>
      <c r="K353" s="127" t="n"/>
      <c r="L353" s="127" t="n"/>
    </row>
    <row r="354" ht="21" customHeight="1">
      <c r="A354" s="1" t="n"/>
      <c r="B354" s="1" t="n"/>
      <c r="C354" s="2" t="n"/>
      <c r="E354" s="130">
        <f>IF($F354="","","MVT-"&amp;TEXT(ROW()-6,"0000"))</f>
        <v/>
      </c>
      <c r="F354" s="134" t="n"/>
      <c r="G354" s="127" t="n"/>
      <c r="H354" s="130">
        <f>IF($G354="","",IFERROR(INDEX(FOU_Article,MATCH($G354,FOU_Code,0)),"⚠ Code inconnu"))</f>
        <v/>
      </c>
      <c r="I354" s="127" t="n"/>
      <c r="J354" s="128" t="n"/>
      <c r="K354" s="127" t="n"/>
      <c r="L354" s="127" t="n"/>
    </row>
    <row r="355" ht="21" customHeight="1">
      <c r="A355" s="1" t="n"/>
      <c r="B355" s="1" t="n"/>
      <c r="C355" s="2" t="n"/>
      <c r="E355" s="130">
        <f>IF($F355="","","MVT-"&amp;TEXT(ROW()-6,"0000"))</f>
        <v/>
      </c>
      <c r="F355" s="134" t="n"/>
      <c r="G355" s="127" t="n"/>
      <c r="H355" s="130">
        <f>IF($G355="","",IFERROR(INDEX(FOU_Article,MATCH($G355,FOU_Code,0)),"⚠ Code inconnu"))</f>
        <v/>
      </c>
      <c r="I355" s="127" t="n"/>
      <c r="J355" s="128" t="n"/>
      <c r="K355" s="127" t="n"/>
      <c r="L355" s="127" t="n"/>
    </row>
    <row r="356" ht="21" customHeight="1">
      <c r="A356" s="1" t="n"/>
      <c r="B356" s="1" t="n"/>
      <c r="C356" s="2" t="n"/>
      <c r="E356" s="130">
        <f>IF($F356="","","MVT-"&amp;TEXT(ROW()-6,"0000"))</f>
        <v/>
      </c>
      <c r="F356" s="134" t="n"/>
      <c r="G356" s="127" t="n"/>
      <c r="H356" s="130">
        <f>IF($G356="","",IFERROR(INDEX(FOU_Article,MATCH($G356,FOU_Code,0)),"⚠ Code inconnu"))</f>
        <v/>
      </c>
      <c r="I356" s="127" t="n"/>
      <c r="J356" s="128" t="n"/>
      <c r="K356" s="127" t="n"/>
      <c r="L356" s="127" t="n"/>
    </row>
    <row r="357" ht="21" customHeight="1">
      <c r="A357" s="1" t="n"/>
      <c r="B357" s="1" t="n"/>
      <c r="C357" s="2" t="n"/>
      <c r="E357" s="130">
        <f>IF($F357="","","MVT-"&amp;TEXT(ROW()-6,"0000"))</f>
        <v/>
      </c>
      <c r="F357" s="134" t="n"/>
      <c r="G357" s="127" t="n"/>
      <c r="H357" s="130">
        <f>IF($G357="","",IFERROR(INDEX(FOU_Article,MATCH($G357,FOU_Code,0)),"⚠ Code inconnu"))</f>
        <v/>
      </c>
      <c r="I357" s="127" t="n"/>
      <c r="J357" s="128" t="n"/>
      <c r="K357" s="127" t="n"/>
      <c r="L357" s="127" t="n"/>
    </row>
    <row r="358" ht="21" customHeight="1">
      <c r="A358" s="1" t="n"/>
      <c r="B358" s="1" t="n"/>
      <c r="C358" s="2" t="n"/>
      <c r="E358" s="130">
        <f>IF($F358="","","MVT-"&amp;TEXT(ROW()-6,"0000"))</f>
        <v/>
      </c>
      <c r="F358" s="134" t="n"/>
      <c r="G358" s="127" t="n"/>
      <c r="H358" s="130">
        <f>IF($G358="","",IFERROR(INDEX(FOU_Article,MATCH($G358,FOU_Code,0)),"⚠ Code inconnu"))</f>
        <v/>
      </c>
      <c r="I358" s="127" t="n"/>
      <c r="J358" s="128" t="n"/>
      <c r="K358" s="127" t="n"/>
      <c r="L358" s="127" t="n"/>
    </row>
    <row r="359" ht="21" customHeight="1">
      <c r="A359" s="1" t="n"/>
      <c r="B359" s="1" t="n"/>
      <c r="C359" s="2" t="n"/>
      <c r="E359" s="130">
        <f>IF($F359="","","MVT-"&amp;TEXT(ROW()-6,"0000"))</f>
        <v/>
      </c>
      <c r="F359" s="134" t="n"/>
      <c r="G359" s="127" t="n"/>
      <c r="H359" s="130">
        <f>IF($G359="","",IFERROR(INDEX(FOU_Article,MATCH($G359,FOU_Code,0)),"⚠ Code inconnu"))</f>
        <v/>
      </c>
      <c r="I359" s="127" t="n"/>
      <c r="J359" s="128" t="n"/>
      <c r="K359" s="127" t="n"/>
      <c r="L359" s="127" t="n"/>
    </row>
    <row r="360" ht="21" customHeight="1">
      <c r="A360" s="1" t="n"/>
      <c r="B360" s="1" t="n"/>
      <c r="C360" s="2" t="n"/>
      <c r="E360" s="130">
        <f>IF($F360="","","MVT-"&amp;TEXT(ROW()-6,"0000"))</f>
        <v/>
      </c>
      <c r="F360" s="134" t="n"/>
      <c r="G360" s="127" t="n"/>
      <c r="H360" s="130">
        <f>IF($G360="","",IFERROR(INDEX(FOU_Article,MATCH($G360,FOU_Code,0)),"⚠ Code inconnu"))</f>
        <v/>
      </c>
      <c r="I360" s="127" t="n"/>
      <c r="J360" s="128" t="n"/>
      <c r="K360" s="127" t="n"/>
      <c r="L360" s="127" t="n"/>
    </row>
    <row r="361" ht="21" customHeight="1">
      <c r="A361" s="1" t="n"/>
      <c r="B361" s="1" t="n"/>
      <c r="C361" s="2" t="n"/>
      <c r="E361" s="130">
        <f>IF($F361="","","MVT-"&amp;TEXT(ROW()-6,"0000"))</f>
        <v/>
      </c>
      <c r="F361" s="134" t="n"/>
      <c r="G361" s="127" t="n"/>
      <c r="H361" s="130">
        <f>IF($G361="","",IFERROR(INDEX(FOU_Article,MATCH($G361,FOU_Code,0)),"⚠ Code inconnu"))</f>
        <v/>
      </c>
      <c r="I361" s="127" t="n"/>
      <c r="J361" s="128" t="n"/>
      <c r="K361" s="127" t="n"/>
      <c r="L361" s="127" t="n"/>
    </row>
    <row r="362" ht="21" customHeight="1">
      <c r="A362" s="1" t="n"/>
      <c r="B362" s="1" t="n"/>
      <c r="C362" s="2" t="n"/>
      <c r="E362" s="130">
        <f>IF($F362="","","MVT-"&amp;TEXT(ROW()-6,"0000"))</f>
        <v/>
      </c>
      <c r="F362" s="134" t="n"/>
      <c r="G362" s="127" t="n"/>
      <c r="H362" s="130">
        <f>IF($G362="","",IFERROR(INDEX(FOU_Article,MATCH($G362,FOU_Code,0)),"⚠ Code inconnu"))</f>
        <v/>
      </c>
      <c r="I362" s="127" t="n"/>
      <c r="J362" s="128" t="n"/>
      <c r="K362" s="127" t="n"/>
      <c r="L362" s="127" t="n"/>
    </row>
    <row r="363" ht="21" customHeight="1">
      <c r="A363" s="1" t="n"/>
      <c r="B363" s="1" t="n"/>
      <c r="C363" s="2" t="n"/>
      <c r="E363" s="130">
        <f>IF($F363="","","MVT-"&amp;TEXT(ROW()-6,"0000"))</f>
        <v/>
      </c>
      <c r="F363" s="134" t="n"/>
      <c r="G363" s="127" t="n"/>
      <c r="H363" s="130">
        <f>IF($G363="","",IFERROR(INDEX(FOU_Article,MATCH($G363,FOU_Code,0)),"⚠ Code inconnu"))</f>
        <v/>
      </c>
      <c r="I363" s="127" t="n"/>
      <c r="J363" s="128" t="n"/>
      <c r="K363" s="127" t="n"/>
      <c r="L363" s="127" t="n"/>
    </row>
    <row r="364" ht="21" customHeight="1">
      <c r="A364" s="1" t="n"/>
      <c r="B364" s="1" t="n"/>
      <c r="C364" s="2" t="n"/>
      <c r="E364" s="130">
        <f>IF($F364="","","MVT-"&amp;TEXT(ROW()-6,"0000"))</f>
        <v/>
      </c>
      <c r="F364" s="134" t="n"/>
      <c r="G364" s="127" t="n"/>
      <c r="H364" s="130">
        <f>IF($G364="","",IFERROR(INDEX(FOU_Article,MATCH($G364,FOU_Code,0)),"⚠ Code inconnu"))</f>
        <v/>
      </c>
      <c r="I364" s="127" t="n"/>
      <c r="J364" s="128" t="n"/>
      <c r="K364" s="127" t="n"/>
      <c r="L364" s="127" t="n"/>
    </row>
    <row r="365" ht="21" customHeight="1">
      <c r="A365" s="1" t="n"/>
      <c r="B365" s="1" t="n"/>
      <c r="C365" s="2" t="n"/>
      <c r="E365" s="130">
        <f>IF($F365="","","MVT-"&amp;TEXT(ROW()-6,"0000"))</f>
        <v/>
      </c>
      <c r="F365" s="134" t="n"/>
      <c r="G365" s="127" t="n"/>
      <c r="H365" s="130">
        <f>IF($G365="","",IFERROR(INDEX(FOU_Article,MATCH($G365,FOU_Code,0)),"⚠ Code inconnu"))</f>
        <v/>
      </c>
      <c r="I365" s="127" t="n"/>
      <c r="J365" s="128" t="n"/>
      <c r="K365" s="127" t="n"/>
      <c r="L365" s="127" t="n"/>
    </row>
    <row r="366" ht="21" customHeight="1">
      <c r="A366" s="1" t="n"/>
      <c r="B366" s="1" t="n"/>
      <c r="C366" s="2" t="n"/>
      <c r="E366" s="130">
        <f>IF($F366="","","MVT-"&amp;TEXT(ROW()-6,"0000"))</f>
        <v/>
      </c>
      <c r="F366" s="134" t="n"/>
      <c r="G366" s="127" t="n"/>
      <c r="H366" s="130">
        <f>IF($G366="","",IFERROR(INDEX(FOU_Article,MATCH($G366,FOU_Code,0)),"⚠ Code inconnu"))</f>
        <v/>
      </c>
      <c r="I366" s="127" t="n"/>
      <c r="J366" s="128" t="n"/>
      <c r="K366" s="127" t="n"/>
      <c r="L366" s="127" t="n"/>
    </row>
    <row r="367" ht="21" customHeight="1">
      <c r="A367" s="1" t="n"/>
      <c r="B367" s="1" t="n"/>
      <c r="C367" s="2" t="n"/>
      <c r="E367" s="130">
        <f>IF($F367="","","MVT-"&amp;TEXT(ROW()-6,"0000"))</f>
        <v/>
      </c>
      <c r="F367" s="134" t="n"/>
      <c r="G367" s="127" t="n"/>
      <c r="H367" s="130">
        <f>IF($G367="","",IFERROR(INDEX(FOU_Article,MATCH($G367,FOU_Code,0)),"⚠ Code inconnu"))</f>
        <v/>
      </c>
      <c r="I367" s="127" t="n"/>
      <c r="J367" s="128" t="n"/>
      <c r="K367" s="127" t="n"/>
      <c r="L367" s="127" t="n"/>
    </row>
    <row r="368" ht="21" customHeight="1">
      <c r="A368" s="1" t="n"/>
      <c r="B368" s="1" t="n"/>
      <c r="C368" s="2" t="n"/>
      <c r="E368" s="130">
        <f>IF($F368="","","MVT-"&amp;TEXT(ROW()-6,"0000"))</f>
        <v/>
      </c>
      <c r="F368" s="134" t="n"/>
      <c r="G368" s="127" t="n"/>
      <c r="H368" s="130">
        <f>IF($G368="","",IFERROR(INDEX(FOU_Article,MATCH($G368,FOU_Code,0)),"⚠ Code inconnu"))</f>
        <v/>
      </c>
      <c r="I368" s="127" t="n"/>
      <c r="J368" s="128" t="n"/>
      <c r="K368" s="127" t="n"/>
      <c r="L368" s="127" t="n"/>
    </row>
    <row r="369" ht="21" customHeight="1">
      <c r="A369" s="1" t="n"/>
      <c r="B369" s="1" t="n"/>
      <c r="C369" s="2" t="n"/>
      <c r="E369" s="130">
        <f>IF($F369="","","MVT-"&amp;TEXT(ROW()-6,"0000"))</f>
        <v/>
      </c>
      <c r="F369" s="134" t="n"/>
      <c r="G369" s="127" t="n"/>
      <c r="H369" s="130">
        <f>IF($G369="","",IFERROR(INDEX(FOU_Article,MATCH($G369,FOU_Code,0)),"⚠ Code inconnu"))</f>
        <v/>
      </c>
      <c r="I369" s="127" t="n"/>
      <c r="J369" s="128" t="n"/>
      <c r="K369" s="127" t="n"/>
      <c r="L369" s="127" t="n"/>
    </row>
    <row r="370" ht="21" customHeight="1">
      <c r="A370" s="1" t="n"/>
      <c r="B370" s="1" t="n"/>
      <c r="C370" s="2" t="n"/>
      <c r="E370" s="130">
        <f>IF($F370="","","MVT-"&amp;TEXT(ROW()-6,"0000"))</f>
        <v/>
      </c>
      <c r="F370" s="134" t="n"/>
      <c r="G370" s="127" t="n"/>
      <c r="H370" s="130">
        <f>IF($G370="","",IFERROR(INDEX(FOU_Article,MATCH($G370,FOU_Code,0)),"⚠ Code inconnu"))</f>
        <v/>
      </c>
      <c r="I370" s="127" t="n"/>
      <c r="J370" s="128" t="n"/>
      <c r="K370" s="127" t="n"/>
      <c r="L370" s="127" t="n"/>
    </row>
    <row r="371" ht="21" customHeight="1">
      <c r="A371" s="1" t="n"/>
      <c r="B371" s="1" t="n"/>
      <c r="C371" s="2" t="n"/>
      <c r="E371" s="130">
        <f>IF($F371="","","MVT-"&amp;TEXT(ROW()-6,"0000"))</f>
        <v/>
      </c>
      <c r="F371" s="134" t="n"/>
      <c r="G371" s="127" t="n"/>
      <c r="H371" s="130">
        <f>IF($G371="","",IFERROR(INDEX(FOU_Article,MATCH($G371,FOU_Code,0)),"⚠ Code inconnu"))</f>
        <v/>
      </c>
      <c r="I371" s="127" t="n"/>
      <c r="J371" s="128" t="n"/>
      <c r="K371" s="127" t="n"/>
      <c r="L371" s="127" t="n"/>
    </row>
    <row r="372" ht="21" customHeight="1">
      <c r="A372" s="1" t="n"/>
      <c r="B372" s="1" t="n"/>
      <c r="C372" s="2" t="n"/>
      <c r="E372" s="130">
        <f>IF($F372="","","MVT-"&amp;TEXT(ROW()-6,"0000"))</f>
        <v/>
      </c>
      <c r="F372" s="134" t="n"/>
      <c r="G372" s="127" t="n"/>
      <c r="H372" s="130">
        <f>IF($G372="","",IFERROR(INDEX(FOU_Article,MATCH($G372,FOU_Code,0)),"⚠ Code inconnu"))</f>
        <v/>
      </c>
      <c r="I372" s="127" t="n"/>
      <c r="J372" s="128" t="n"/>
      <c r="K372" s="127" t="n"/>
      <c r="L372" s="127" t="n"/>
    </row>
    <row r="373" ht="21" customHeight="1">
      <c r="A373" s="1" t="n"/>
      <c r="B373" s="1" t="n"/>
      <c r="C373" s="2" t="n"/>
      <c r="E373" s="130">
        <f>IF($F373="","","MVT-"&amp;TEXT(ROW()-6,"0000"))</f>
        <v/>
      </c>
      <c r="F373" s="134" t="n"/>
      <c r="G373" s="127" t="n"/>
      <c r="H373" s="130">
        <f>IF($G373="","",IFERROR(INDEX(FOU_Article,MATCH($G373,FOU_Code,0)),"⚠ Code inconnu"))</f>
        <v/>
      </c>
      <c r="I373" s="127" t="n"/>
      <c r="J373" s="128" t="n"/>
      <c r="K373" s="127" t="n"/>
      <c r="L373" s="127" t="n"/>
    </row>
    <row r="374" ht="21" customHeight="1">
      <c r="A374" s="1" t="n"/>
      <c r="B374" s="1" t="n"/>
      <c r="C374" s="2" t="n"/>
      <c r="E374" s="130">
        <f>IF($F374="","","MVT-"&amp;TEXT(ROW()-6,"0000"))</f>
        <v/>
      </c>
      <c r="F374" s="134" t="n"/>
      <c r="G374" s="127" t="n"/>
      <c r="H374" s="130">
        <f>IF($G374="","",IFERROR(INDEX(FOU_Article,MATCH($G374,FOU_Code,0)),"⚠ Code inconnu"))</f>
        <v/>
      </c>
      <c r="I374" s="127" t="n"/>
      <c r="J374" s="128" t="n"/>
      <c r="K374" s="127" t="n"/>
      <c r="L374" s="127" t="n"/>
    </row>
    <row r="375" ht="21" customHeight="1">
      <c r="A375" s="1" t="n"/>
      <c r="B375" s="1" t="n"/>
      <c r="C375" s="2" t="n"/>
      <c r="E375" s="130">
        <f>IF($F375="","","MVT-"&amp;TEXT(ROW()-6,"0000"))</f>
        <v/>
      </c>
      <c r="F375" s="134" t="n"/>
      <c r="G375" s="127" t="n"/>
      <c r="H375" s="130">
        <f>IF($G375="","",IFERROR(INDEX(FOU_Article,MATCH($G375,FOU_Code,0)),"⚠ Code inconnu"))</f>
        <v/>
      </c>
      <c r="I375" s="127" t="n"/>
      <c r="J375" s="128" t="n"/>
      <c r="K375" s="127" t="n"/>
      <c r="L375" s="127" t="n"/>
    </row>
    <row r="376" ht="21" customHeight="1">
      <c r="A376" s="1" t="n"/>
      <c r="B376" s="1" t="n"/>
      <c r="C376" s="2" t="n"/>
      <c r="E376" s="130">
        <f>IF($F376="","","MVT-"&amp;TEXT(ROW()-6,"0000"))</f>
        <v/>
      </c>
      <c r="F376" s="134" t="n"/>
      <c r="G376" s="127" t="n"/>
      <c r="H376" s="130">
        <f>IF($G376="","",IFERROR(INDEX(FOU_Article,MATCH($G376,FOU_Code,0)),"⚠ Code inconnu"))</f>
        <v/>
      </c>
      <c r="I376" s="127" t="n"/>
      <c r="J376" s="128" t="n"/>
      <c r="K376" s="127" t="n"/>
      <c r="L376" s="127" t="n"/>
    </row>
    <row r="377" ht="21" customHeight="1">
      <c r="A377" s="1" t="n"/>
      <c r="B377" s="1" t="n"/>
      <c r="C377" s="2" t="n"/>
      <c r="E377" s="130">
        <f>IF($F377="","","MVT-"&amp;TEXT(ROW()-6,"0000"))</f>
        <v/>
      </c>
      <c r="F377" s="134" t="n"/>
      <c r="G377" s="127" t="n"/>
      <c r="H377" s="130">
        <f>IF($G377="","",IFERROR(INDEX(FOU_Article,MATCH($G377,FOU_Code,0)),"⚠ Code inconnu"))</f>
        <v/>
      </c>
      <c r="I377" s="127" t="n"/>
      <c r="J377" s="128" t="n"/>
      <c r="K377" s="127" t="n"/>
      <c r="L377" s="127" t="n"/>
    </row>
    <row r="378" ht="21" customHeight="1">
      <c r="A378" s="1" t="n"/>
      <c r="B378" s="1" t="n"/>
      <c r="C378" s="2" t="n"/>
      <c r="E378" s="130">
        <f>IF($F378="","","MVT-"&amp;TEXT(ROW()-6,"0000"))</f>
        <v/>
      </c>
      <c r="F378" s="134" t="n"/>
      <c r="G378" s="127" t="n"/>
      <c r="H378" s="130">
        <f>IF($G378="","",IFERROR(INDEX(FOU_Article,MATCH($G378,FOU_Code,0)),"⚠ Code inconnu"))</f>
        <v/>
      </c>
      <c r="I378" s="127" t="n"/>
      <c r="J378" s="128" t="n"/>
      <c r="K378" s="127" t="n"/>
      <c r="L378" s="127" t="n"/>
    </row>
    <row r="379" ht="21" customHeight="1">
      <c r="A379" s="1" t="n"/>
      <c r="B379" s="1" t="n"/>
      <c r="C379" s="2" t="n"/>
      <c r="E379" s="130">
        <f>IF($F379="","","MVT-"&amp;TEXT(ROW()-6,"0000"))</f>
        <v/>
      </c>
      <c r="F379" s="134" t="n"/>
      <c r="G379" s="127" t="n"/>
      <c r="H379" s="130">
        <f>IF($G379="","",IFERROR(INDEX(FOU_Article,MATCH($G379,FOU_Code,0)),"⚠ Code inconnu"))</f>
        <v/>
      </c>
      <c r="I379" s="127" t="n"/>
      <c r="J379" s="128" t="n"/>
      <c r="K379" s="127" t="n"/>
      <c r="L379" s="127" t="n"/>
    </row>
    <row r="380" ht="21" customHeight="1">
      <c r="A380" s="1" t="n"/>
      <c r="B380" s="1" t="n"/>
      <c r="C380" s="2" t="n"/>
      <c r="E380" s="130">
        <f>IF($F380="","","MVT-"&amp;TEXT(ROW()-6,"0000"))</f>
        <v/>
      </c>
      <c r="F380" s="134" t="n"/>
      <c r="G380" s="127" t="n"/>
      <c r="H380" s="130">
        <f>IF($G380="","",IFERROR(INDEX(FOU_Article,MATCH($G380,FOU_Code,0)),"⚠ Code inconnu"))</f>
        <v/>
      </c>
      <c r="I380" s="127" t="n"/>
      <c r="J380" s="128" t="n"/>
      <c r="K380" s="127" t="n"/>
      <c r="L380" s="127" t="n"/>
    </row>
    <row r="381" ht="21" customHeight="1">
      <c r="A381" s="1" t="n"/>
      <c r="B381" s="1" t="n"/>
      <c r="C381" s="2" t="n"/>
      <c r="E381" s="130">
        <f>IF($F381="","","MVT-"&amp;TEXT(ROW()-6,"0000"))</f>
        <v/>
      </c>
      <c r="F381" s="134" t="n"/>
      <c r="G381" s="127" t="n"/>
      <c r="H381" s="130">
        <f>IF($G381="","",IFERROR(INDEX(FOU_Article,MATCH($G381,FOU_Code,0)),"⚠ Code inconnu"))</f>
        <v/>
      </c>
      <c r="I381" s="127" t="n"/>
      <c r="J381" s="128" t="n"/>
      <c r="K381" s="127" t="n"/>
      <c r="L381" s="127" t="n"/>
    </row>
    <row r="382" ht="21" customHeight="1">
      <c r="A382" s="1" t="n"/>
      <c r="B382" s="1" t="n"/>
      <c r="C382" s="2" t="n"/>
      <c r="E382" s="130">
        <f>IF($F382="","","MVT-"&amp;TEXT(ROW()-6,"0000"))</f>
        <v/>
      </c>
      <c r="F382" s="134" t="n"/>
      <c r="G382" s="127" t="n"/>
      <c r="H382" s="130">
        <f>IF($G382="","",IFERROR(INDEX(FOU_Article,MATCH($G382,FOU_Code,0)),"⚠ Code inconnu"))</f>
        <v/>
      </c>
      <c r="I382" s="127" t="n"/>
      <c r="J382" s="128" t="n"/>
      <c r="K382" s="127" t="n"/>
      <c r="L382" s="127" t="n"/>
    </row>
    <row r="383" ht="21" customHeight="1">
      <c r="A383" s="1" t="n"/>
      <c r="B383" s="1" t="n"/>
      <c r="C383" s="2" t="n"/>
      <c r="E383" s="130">
        <f>IF($F383="","","MVT-"&amp;TEXT(ROW()-6,"0000"))</f>
        <v/>
      </c>
      <c r="F383" s="134" t="n"/>
      <c r="G383" s="127" t="n"/>
      <c r="H383" s="130">
        <f>IF($G383="","",IFERROR(INDEX(FOU_Article,MATCH($G383,FOU_Code,0)),"⚠ Code inconnu"))</f>
        <v/>
      </c>
      <c r="I383" s="127" t="n"/>
      <c r="J383" s="128" t="n"/>
      <c r="K383" s="127" t="n"/>
      <c r="L383" s="127" t="n"/>
    </row>
    <row r="384" ht="21" customHeight="1">
      <c r="A384" s="1" t="n"/>
      <c r="B384" s="1" t="n"/>
      <c r="C384" s="2" t="n"/>
      <c r="E384" s="130">
        <f>IF($F384="","","MVT-"&amp;TEXT(ROW()-6,"0000"))</f>
        <v/>
      </c>
      <c r="F384" s="134" t="n"/>
      <c r="G384" s="127" t="n"/>
      <c r="H384" s="130">
        <f>IF($G384="","",IFERROR(INDEX(FOU_Article,MATCH($G384,FOU_Code,0)),"⚠ Code inconnu"))</f>
        <v/>
      </c>
      <c r="I384" s="127" t="n"/>
      <c r="J384" s="128" t="n"/>
      <c r="K384" s="127" t="n"/>
      <c r="L384" s="127" t="n"/>
    </row>
    <row r="385" ht="21" customHeight="1">
      <c r="A385" s="1" t="n"/>
      <c r="B385" s="1" t="n"/>
      <c r="C385" s="2" t="n"/>
      <c r="E385" s="130">
        <f>IF($F385="","","MVT-"&amp;TEXT(ROW()-6,"0000"))</f>
        <v/>
      </c>
      <c r="F385" s="134" t="n"/>
      <c r="G385" s="127" t="n"/>
      <c r="H385" s="130">
        <f>IF($G385="","",IFERROR(INDEX(FOU_Article,MATCH($G385,FOU_Code,0)),"⚠ Code inconnu"))</f>
        <v/>
      </c>
      <c r="I385" s="127" t="n"/>
      <c r="J385" s="128" t="n"/>
      <c r="K385" s="127" t="n"/>
      <c r="L385" s="127" t="n"/>
    </row>
    <row r="386" ht="21" customHeight="1">
      <c r="A386" s="1" t="n"/>
      <c r="B386" s="1" t="n"/>
      <c r="C386" s="2" t="n"/>
      <c r="E386" s="130">
        <f>IF($F386="","","MVT-"&amp;TEXT(ROW()-6,"0000"))</f>
        <v/>
      </c>
      <c r="F386" s="134" t="n"/>
      <c r="G386" s="127" t="n"/>
      <c r="H386" s="130">
        <f>IF($G386="","",IFERROR(INDEX(FOU_Article,MATCH($G386,FOU_Code,0)),"⚠ Code inconnu"))</f>
        <v/>
      </c>
      <c r="I386" s="127" t="n"/>
      <c r="J386" s="128" t="n"/>
      <c r="K386" s="127" t="n"/>
      <c r="L386" s="127" t="n"/>
    </row>
    <row r="387" ht="21" customHeight="1">
      <c r="A387" s="1" t="n"/>
      <c r="B387" s="1" t="n"/>
      <c r="C387" s="2" t="n"/>
      <c r="E387" s="130">
        <f>IF($F387="","","MVT-"&amp;TEXT(ROW()-6,"0000"))</f>
        <v/>
      </c>
      <c r="F387" s="134" t="n"/>
      <c r="G387" s="127" t="n"/>
      <c r="H387" s="130">
        <f>IF($G387="","",IFERROR(INDEX(FOU_Article,MATCH($G387,FOU_Code,0)),"⚠ Code inconnu"))</f>
        <v/>
      </c>
      <c r="I387" s="127" t="n"/>
      <c r="J387" s="128" t="n"/>
      <c r="K387" s="127" t="n"/>
      <c r="L387" s="127" t="n"/>
    </row>
    <row r="388" ht="21" customHeight="1">
      <c r="A388" s="1" t="n"/>
      <c r="B388" s="1" t="n"/>
      <c r="C388" s="2" t="n"/>
      <c r="E388" s="130">
        <f>IF($F388="","","MVT-"&amp;TEXT(ROW()-6,"0000"))</f>
        <v/>
      </c>
      <c r="F388" s="134" t="n"/>
      <c r="G388" s="127" t="n"/>
      <c r="H388" s="130">
        <f>IF($G388="","",IFERROR(INDEX(FOU_Article,MATCH($G388,FOU_Code,0)),"⚠ Code inconnu"))</f>
        <v/>
      </c>
      <c r="I388" s="127" t="n"/>
      <c r="J388" s="128" t="n"/>
      <c r="K388" s="127" t="n"/>
      <c r="L388" s="127" t="n"/>
    </row>
    <row r="389" ht="21" customHeight="1">
      <c r="A389" s="1" t="n"/>
      <c r="B389" s="1" t="n"/>
      <c r="C389" s="2" t="n"/>
      <c r="E389" s="130">
        <f>IF($F389="","","MVT-"&amp;TEXT(ROW()-6,"0000"))</f>
        <v/>
      </c>
      <c r="F389" s="134" t="n"/>
      <c r="G389" s="127" t="n"/>
      <c r="H389" s="130">
        <f>IF($G389="","",IFERROR(INDEX(FOU_Article,MATCH($G389,FOU_Code,0)),"⚠ Code inconnu"))</f>
        <v/>
      </c>
      <c r="I389" s="127" t="n"/>
      <c r="J389" s="128" t="n"/>
      <c r="K389" s="127" t="n"/>
      <c r="L389" s="127" t="n"/>
    </row>
    <row r="390" ht="21" customHeight="1">
      <c r="A390" s="1" t="n"/>
      <c r="B390" s="1" t="n"/>
      <c r="C390" s="2" t="n"/>
      <c r="E390" s="130">
        <f>IF($F390="","","MVT-"&amp;TEXT(ROW()-6,"0000"))</f>
        <v/>
      </c>
      <c r="F390" s="134" t="n"/>
      <c r="G390" s="127" t="n"/>
      <c r="H390" s="130">
        <f>IF($G390="","",IFERROR(INDEX(FOU_Article,MATCH($G390,FOU_Code,0)),"⚠ Code inconnu"))</f>
        <v/>
      </c>
      <c r="I390" s="127" t="n"/>
      <c r="J390" s="128" t="n"/>
      <c r="K390" s="127" t="n"/>
      <c r="L390" s="127" t="n"/>
    </row>
    <row r="391" ht="21" customHeight="1">
      <c r="A391" s="1" t="n"/>
      <c r="B391" s="1" t="n"/>
      <c r="C391" s="2" t="n"/>
      <c r="E391" s="130">
        <f>IF($F391="","","MVT-"&amp;TEXT(ROW()-6,"0000"))</f>
        <v/>
      </c>
      <c r="F391" s="134" t="n"/>
      <c r="G391" s="127" t="n"/>
      <c r="H391" s="130">
        <f>IF($G391="","",IFERROR(INDEX(FOU_Article,MATCH($G391,FOU_Code,0)),"⚠ Code inconnu"))</f>
        <v/>
      </c>
      <c r="I391" s="127" t="n"/>
      <c r="J391" s="128" t="n"/>
      <c r="K391" s="127" t="n"/>
      <c r="L391" s="127" t="n"/>
    </row>
    <row r="392" ht="21" customHeight="1">
      <c r="A392" s="1" t="n"/>
      <c r="B392" s="1" t="n"/>
      <c r="C392" s="2" t="n"/>
      <c r="E392" s="130">
        <f>IF($F392="","","MVT-"&amp;TEXT(ROW()-6,"0000"))</f>
        <v/>
      </c>
      <c r="F392" s="134" t="n"/>
      <c r="G392" s="127" t="n"/>
      <c r="H392" s="130">
        <f>IF($G392="","",IFERROR(INDEX(FOU_Article,MATCH($G392,FOU_Code,0)),"⚠ Code inconnu"))</f>
        <v/>
      </c>
      <c r="I392" s="127" t="n"/>
      <c r="J392" s="128" t="n"/>
      <c r="K392" s="127" t="n"/>
      <c r="L392" s="127" t="n"/>
    </row>
    <row r="393" ht="21" customHeight="1">
      <c r="A393" s="1" t="n"/>
      <c r="B393" s="1" t="n"/>
      <c r="C393" s="2" t="n"/>
      <c r="E393" s="130">
        <f>IF($F393="","","MVT-"&amp;TEXT(ROW()-6,"0000"))</f>
        <v/>
      </c>
      <c r="F393" s="134" t="n"/>
      <c r="G393" s="127" t="n"/>
      <c r="H393" s="130">
        <f>IF($G393="","",IFERROR(INDEX(FOU_Article,MATCH($G393,FOU_Code,0)),"⚠ Code inconnu"))</f>
        <v/>
      </c>
      <c r="I393" s="127" t="n"/>
      <c r="J393" s="128" t="n"/>
      <c r="K393" s="127" t="n"/>
      <c r="L393" s="127" t="n"/>
    </row>
    <row r="394" ht="21" customHeight="1">
      <c r="A394" s="1" t="n"/>
      <c r="B394" s="1" t="n"/>
      <c r="C394" s="2" t="n"/>
      <c r="E394" s="130">
        <f>IF($F394="","","MVT-"&amp;TEXT(ROW()-6,"0000"))</f>
        <v/>
      </c>
      <c r="F394" s="134" t="n"/>
      <c r="G394" s="127" t="n"/>
      <c r="H394" s="130">
        <f>IF($G394="","",IFERROR(INDEX(FOU_Article,MATCH($G394,FOU_Code,0)),"⚠ Code inconnu"))</f>
        <v/>
      </c>
      <c r="I394" s="127" t="n"/>
      <c r="J394" s="128" t="n"/>
      <c r="K394" s="127" t="n"/>
      <c r="L394" s="127" t="n"/>
    </row>
    <row r="395" ht="21" customHeight="1">
      <c r="A395" s="1" t="n"/>
      <c r="B395" s="1" t="n"/>
      <c r="C395" s="2" t="n"/>
      <c r="E395" s="130">
        <f>IF($F395="","","MVT-"&amp;TEXT(ROW()-6,"0000"))</f>
        <v/>
      </c>
      <c r="F395" s="134" t="n"/>
      <c r="G395" s="127" t="n"/>
      <c r="H395" s="130">
        <f>IF($G395="","",IFERROR(INDEX(FOU_Article,MATCH($G395,FOU_Code,0)),"⚠ Code inconnu"))</f>
        <v/>
      </c>
      <c r="I395" s="127" t="n"/>
      <c r="J395" s="128" t="n"/>
      <c r="K395" s="127" t="n"/>
      <c r="L395" s="127" t="n"/>
    </row>
    <row r="396" ht="21" customHeight="1">
      <c r="A396" s="1" t="n"/>
      <c r="B396" s="1" t="n"/>
      <c r="C396" s="2" t="n"/>
      <c r="E396" s="130">
        <f>IF($F396="","","MVT-"&amp;TEXT(ROW()-6,"0000"))</f>
        <v/>
      </c>
      <c r="F396" s="134" t="n"/>
      <c r="G396" s="127" t="n"/>
      <c r="H396" s="130">
        <f>IF($G396="","",IFERROR(INDEX(FOU_Article,MATCH($G396,FOU_Code,0)),"⚠ Code inconnu"))</f>
        <v/>
      </c>
      <c r="I396" s="127" t="n"/>
      <c r="J396" s="128" t="n"/>
      <c r="K396" s="127" t="n"/>
      <c r="L396" s="127" t="n"/>
    </row>
    <row r="397" ht="21" customHeight="1">
      <c r="A397" s="1" t="n"/>
      <c r="B397" s="1" t="n"/>
      <c r="C397" s="2" t="n"/>
      <c r="E397" s="130">
        <f>IF($F397="","","MVT-"&amp;TEXT(ROW()-6,"0000"))</f>
        <v/>
      </c>
      <c r="F397" s="134" t="n"/>
      <c r="G397" s="127" t="n"/>
      <c r="H397" s="130">
        <f>IF($G397="","",IFERROR(INDEX(FOU_Article,MATCH($G397,FOU_Code,0)),"⚠ Code inconnu"))</f>
        <v/>
      </c>
      <c r="I397" s="127" t="n"/>
      <c r="J397" s="128" t="n"/>
      <c r="K397" s="127" t="n"/>
      <c r="L397" s="127" t="n"/>
    </row>
    <row r="398" ht="21" customHeight="1">
      <c r="A398" s="1" t="n"/>
      <c r="B398" s="1" t="n"/>
      <c r="C398" s="2" t="n"/>
      <c r="E398" s="130">
        <f>IF($F398="","","MVT-"&amp;TEXT(ROW()-6,"0000"))</f>
        <v/>
      </c>
      <c r="F398" s="134" t="n"/>
      <c r="G398" s="127" t="n"/>
      <c r="H398" s="130">
        <f>IF($G398="","",IFERROR(INDEX(FOU_Article,MATCH($G398,FOU_Code,0)),"⚠ Code inconnu"))</f>
        <v/>
      </c>
      <c r="I398" s="127" t="n"/>
      <c r="J398" s="128" t="n"/>
      <c r="K398" s="127" t="n"/>
      <c r="L398" s="127" t="n"/>
    </row>
    <row r="399" ht="21" customHeight="1">
      <c r="A399" s="1" t="n"/>
      <c r="B399" s="1" t="n"/>
      <c r="C399" s="2" t="n"/>
      <c r="E399" s="130">
        <f>IF($F399="","","MVT-"&amp;TEXT(ROW()-6,"0000"))</f>
        <v/>
      </c>
      <c r="F399" s="134" t="n"/>
      <c r="G399" s="127" t="n"/>
      <c r="H399" s="130">
        <f>IF($G399="","",IFERROR(INDEX(FOU_Article,MATCH($G399,FOU_Code,0)),"⚠ Code inconnu"))</f>
        <v/>
      </c>
      <c r="I399" s="127" t="n"/>
      <c r="J399" s="128" t="n"/>
      <c r="K399" s="127" t="n"/>
      <c r="L399" s="127" t="n"/>
    </row>
    <row r="400" ht="21" customHeight="1">
      <c r="A400" s="1" t="n"/>
      <c r="B400" s="1" t="n"/>
      <c r="C400" s="2" t="n"/>
      <c r="E400" s="130">
        <f>IF($F400="","","MVT-"&amp;TEXT(ROW()-6,"0000"))</f>
        <v/>
      </c>
      <c r="F400" s="134" t="n"/>
      <c r="G400" s="127" t="n"/>
      <c r="H400" s="130">
        <f>IF($G400="","",IFERROR(INDEX(FOU_Article,MATCH($G400,FOU_Code,0)),"⚠ Code inconnu"))</f>
        <v/>
      </c>
      <c r="I400" s="127" t="n"/>
      <c r="J400" s="128" t="n"/>
      <c r="K400" s="127" t="n"/>
      <c r="L400" s="127" t="n"/>
    </row>
    <row r="401" ht="21" customHeight="1">
      <c r="A401" s="1" t="n"/>
      <c r="B401" s="1" t="n"/>
      <c r="C401" s="2" t="n"/>
      <c r="E401" s="130">
        <f>IF($F401="","","MVT-"&amp;TEXT(ROW()-6,"0000"))</f>
        <v/>
      </c>
      <c r="F401" s="134" t="n"/>
      <c r="G401" s="127" t="n"/>
      <c r="H401" s="130">
        <f>IF($G401="","",IFERROR(INDEX(FOU_Article,MATCH($G401,FOU_Code,0)),"⚠ Code inconnu"))</f>
        <v/>
      </c>
      <c r="I401" s="127" t="n"/>
      <c r="J401" s="128" t="n"/>
      <c r="K401" s="127" t="n"/>
      <c r="L401" s="127" t="n"/>
    </row>
    <row r="402" ht="21" customHeight="1">
      <c r="A402" s="1" t="n"/>
      <c r="B402" s="1" t="n"/>
      <c r="C402" s="2" t="n"/>
      <c r="E402" s="130">
        <f>IF($F402="","","MVT-"&amp;TEXT(ROW()-6,"0000"))</f>
        <v/>
      </c>
      <c r="F402" s="134" t="n"/>
      <c r="G402" s="127" t="n"/>
      <c r="H402" s="130">
        <f>IF($G402="","",IFERROR(INDEX(FOU_Article,MATCH($G402,FOU_Code,0)),"⚠ Code inconnu"))</f>
        <v/>
      </c>
      <c r="I402" s="127" t="n"/>
      <c r="J402" s="128" t="n"/>
      <c r="K402" s="127" t="n"/>
      <c r="L402" s="127" t="n"/>
    </row>
    <row r="403" ht="21" customHeight="1">
      <c r="A403" s="1" t="n"/>
      <c r="B403" s="1" t="n"/>
      <c r="C403" s="2" t="n"/>
      <c r="E403" s="130">
        <f>IF($F403="","","MVT-"&amp;TEXT(ROW()-6,"0000"))</f>
        <v/>
      </c>
      <c r="F403" s="134" t="n"/>
      <c r="G403" s="127" t="n"/>
      <c r="H403" s="130">
        <f>IF($G403="","",IFERROR(INDEX(FOU_Article,MATCH($G403,FOU_Code,0)),"⚠ Code inconnu"))</f>
        <v/>
      </c>
      <c r="I403" s="127" t="n"/>
      <c r="J403" s="128" t="n"/>
      <c r="K403" s="127" t="n"/>
      <c r="L403" s="127" t="n"/>
    </row>
    <row r="404" ht="21" customHeight="1">
      <c r="A404" s="1" t="n"/>
      <c r="B404" s="1" t="n"/>
      <c r="C404" s="2" t="n"/>
      <c r="E404" s="130">
        <f>IF($F404="","","MVT-"&amp;TEXT(ROW()-6,"0000"))</f>
        <v/>
      </c>
      <c r="F404" s="134" t="n"/>
      <c r="G404" s="127" t="n"/>
      <c r="H404" s="130">
        <f>IF($G404="","",IFERROR(INDEX(FOU_Article,MATCH($G404,FOU_Code,0)),"⚠ Code inconnu"))</f>
        <v/>
      </c>
      <c r="I404" s="127" t="n"/>
      <c r="J404" s="128" t="n"/>
      <c r="K404" s="127" t="n"/>
      <c r="L404" s="127" t="n"/>
    </row>
    <row r="405" ht="21" customHeight="1">
      <c r="A405" s="1" t="n"/>
      <c r="B405" s="1" t="n"/>
      <c r="C405" s="2" t="n"/>
      <c r="E405" s="130">
        <f>IF($F405="","","MVT-"&amp;TEXT(ROW()-6,"0000"))</f>
        <v/>
      </c>
      <c r="F405" s="134" t="n"/>
      <c r="G405" s="127" t="n"/>
      <c r="H405" s="130">
        <f>IF($G405="","",IFERROR(INDEX(FOU_Article,MATCH($G405,FOU_Code,0)),"⚠ Code inconnu"))</f>
        <v/>
      </c>
      <c r="I405" s="127" t="n"/>
      <c r="J405" s="128" t="n"/>
      <c r="K405" s="127" t="n"/>
      <c r="L405" s="127" t="n"/>
    </row>
    <row r="406" ht="21" customHeight="1">
      <c r="A406" s="1" t="n"/>
      <c r="B406" s="1" t="n"/>
      <c r="C406" s="2" t="n"/>
      <c r="E406" s="130">
        <f>IF($F406="","","MVT-"&amp;TEXT(ROW()-6,"0000"))</f>
        <v/>
      </c>
      <c r="F406" s="134" t="n"/>
      <c r="G406" s="127" t="n"/>
      <c r="H406" s="130">
        <f>IF($G406="","",IFERROR(INDEX(FOU_Article,MATCH($G406,FOU_Code,0)),"⚠ Code inconnu"))</f>
        <v/>
      </c>
      <c r="I406" s="127" t="n"/>
      <c r="J406" s="128" t="n"/>
      <c r="K406" s="127" t="n"/>
      <c r="L406" s="127" t="n"/>
    </row>
    <row r="407" ht="21" customHeight="1">
      <c r="A407" s="1" t="n"/>
      <c r="B407" s="1" t="n"/>
      <c r="C407" s="2" t="n"/>
      <c r="E407" s="130">
        <f>IF($F407="","","MVT-"&amp;TEXT(ROW()-6,"0000"))</f>
        <v/>
      </c>
      <c r="F407" s="134" t="n"/>
      <c r="G407" s="127" t="n"/>
      <c r="H407" s="130">
        <f>IF($G407="","",IFERROR(INDEX(FOU_Article,MATCH($G407,FOU_Code,0)),"⚠ Code inconnu"))</f>
        <v/>
      </c>
      <c r="I407" s="127" t="n"/>
      <c r="J407" s="128" t="n"/>
      <c r="K407" s="127" t="n"/>
      <c r="L407" s="127" t="n"/>
    </row>
    <row r="408" ht="21" customHeight="1">
      <c r="A408" s="1" t="n"/>
      <c r="B408" s="1" t="n"/>
      <c r="C408" s="2" t="n"/>
      <c r="E408" s="130">
        <f>IF($F408="","","MVT-"&amp;TEXT(ROW()-6,"0000"))</f>
        <v/>
      </c>
      <c r="F408" s="134" t="n"/>
      <c r="G408" s="127" t="n"/>
      <c r="H408" s="130">
        <f>IF($G408="","",IFERROR(INDEX(FOU_Article,MATCH($G408,FOU_Code,0)),"⚠ Code inconnu"))</f>
        <v/>
      </c>
      <c r="I408" s="127" t="n"/>
      <c r="J408" s="128" t="n"/>
      <c r="K408" s="127" t="n"/>
      <c r="L408" s="127" t="n"/>
    </row>
    <row r="409" ht="21" customHeight="1">
      <c r="A409" s="1" t="n"/>
      <c r="B409" s="1" t="n"/>
      <c r="C409" s="2" t="n"/>
      <c r="E409" s="130">
        <f>IF($F409="","","MVT-"&amp;TEXT(ROW()-6,"0000"))</f>
        <v/>
      </c>
      <c r="F409" s="134" t="n"/>
      <c r="G409" s="127" t="n"/>
      <c r="H409" s="130">
        <f>IF($G409="","",IFERROR(INDEX(FOU_Article,MATCH($G409,FOU_Code,0)),"⚠ Code inconnu"))</f>
        <v/>
      </c>
      <c r="I409" s="127" t="n"/>
      <c r="J409" s="128" t="n"/>
      <c r="K409" s="127" t="n"/>
      <c r="L409" s="127" t="n"/>
    </row>
    <row r="410" ht="21" customHeight="1">
      <c r="A410" s="1" t="n"/>
      <c r="B410" s="1" t="n"/>
      <c r="C410" s="2" t="n"/>
      <c r="E410" s="130">
        <f>IF($F410="","","MVT-"&amp;TEXT(ROW()-6,"0000"))</f>
        <v/>
      </c>
      <c r="F410" s="134" t="n"/>
      <c r="G410" s="127" t="n"/>
      <c r="H410" s="130">
        <f>IF($G410="","",IFERROR(INDEX(FOU_Article,MATCH($G410,FOU_Code,0)),"⚠ Code inconnu"))</f>
        <v/>
      </c>
      <c r="I410" s="127" t="n"/>
      <c r="J410" s="128" t="n"/>
      <c r="K410" s="127" t="n"/>
      <c r="L410" s="127" t="n"/>
    </row>
    <row r="411" ht="21" customHeight="1">
      <c r="A411" s="1" t="n"/>
      <c r="B411" s="1" t="n"/>
      <c r="C411" s="2" t="n"/>
      <c r="E411" s="130">
        <f>IF($F411="","","MVT-"&amp;TEXT(ROW()-6,"0000"))</f>
        <v/>
      </c>
      <c r="F411" s="134" t="n"/>
      <c r="G411" s="127" t="n"/>
      <c r="H411" s="130">
        <f>IF($G411="","",IFERROR(INDEX(FOU_Article,MATCH($G411,FOU_Code,0)),"⚠ Code inconnu"))</f>
        <v/>
      </c>
      <c r="I411" s="127" t="n"/>
      <c r="J411" s="128" t="n"/>
      <c r="K411" s="127" t="n"/>
      <c r="L411" s="127" t="n"/>
    </row>
    <row r="412" ht="21" customHeight="1">
      <c r="A412" s="1" t="n"/>
      <c r="B412" s="1" t="n"/>
      <c r="C412" s="2" t="n"/>
      <c r="E412" s="130">
        <f>IF($F412="","","MVT-"&amp;TEXT(ROW()-6,"0000"))</f>
        <v/>
      </c>
      <c r="F412" s="134" t="n"/>
      <c r="G412" s="127" t="n"/>
      <c r="H412" s="130">
        <f>IF($G412="","",IFERROR(INDEX(FOU_Article,MATCH($G412,FOU_Code,0)),"⚠ Code inconnu"))</f>
        <v/>
      </c>
      <c r="I412" s="127" t="n"/>
      <c r="J412" s="128" t="n"/>
      <c r="K412" s="127" t="n"/>
      <c r="L412" s="127" t="n"/>
    </row>
    <row r="413" ht="21" customHeight="1">
      <c r="A413" s="1" t="n"/>
      <c r="B413" s="1" t="n"/>
      <c r="C413" s="2" t="n"/>
      <c r="E413" s="130">
        <f>IF($F413="","","MVT-"&amp;TEXT(ROW()-6,"0000"))</f>
        <v/>
      </c>
      <c r="F413" s="134" t="n"/>
      <c r="G413" s="127" t="n"/>
      <c r="H413" s="130">
        <f>IF($G413="","",IFERROR(INDEX(FOU_Article,MATCH($G413,FOU_Code,0)),"⚠ Code inconnu"))</f>
        <v/>
      </c>
      <c r="I413" s="127" t="n"/>
      <c r="J413" s="128" t="n"/>
      <c r="K413" s="127" t="n"/>
      <c r="L413" s="127" t="n"/>
    </row>
    <row r="414" ht="21" customHeight="1">
      <c r="A414" s="1" t="n"/>
      <c r="B414" s="1" t="n"/>
      <c r="C414" s="2" t="n"/>
      <c r="E414" s="130">
        <f>IF($F414="","","MVT-"&amp;TEXT(ROW()-6,"0000"))</f>
        <v/>
      </c>
      <c r="F414" s="134" t="n"/>
      <c r="G414" s="127" t="n"/>
      <c r="H414" s="130">
        <f>IF($G414="","",IFERROR(INDEX(FOU_Article,MATCH($G414,FOU_Code,0)),"⚠ Code inconnu"))</f>
        <v/>
      </c>
      <c r="I414" s="127" t="n"/>
      <c r="J414" s="128" t="n"/>
      <c r="K414" s="127" t="n"/>
      <c r="L414" s="127" t="n"/>
    </row>
    <row r="415" ht="21" customHeight="1">
      <c r="A415" s="1" t="n"/>
      <c r="B415" s="1" t="n"/>
      <c r="C415" s="2" t="n"/>
      <c r="E415" s="130">
        <f>IF($F415="","","MVT-"&amp;TEXT(ROW()-6,"0000"))</f>
        <v/>
      </c>
      <c r="F415" s="134" t="n"/>
      <c r="G415" s="127" t="n"/>
      <c r="H415" s="130">
        <f>IF($G415="","",IFERROR(INDEX(FOU_Article,MATCH($G415,FOU_Code,0)),"⚠ Code inconnu"))</f>
        <v/>
      </c>
      <c r="I415" s="127" t="n"/>
      <c r="J415" s="128" t="n"/>
      <c r="K415" s="127" t="n"/>
      <c r="L415" s="127" t="n"/>
    </row>
    <row r="416" ht="21" customHeight="1">
      <c r="A416" s="1" t="n"/>
      <c r="B416" s="1" t="n"/>
      <c r="C416" s="2" t="n"/>
      <c r="E416" s="130">
        <f>IF($F416="","","MVT-"&amp;TEXT(ROW()-6,"0000"))</f>
        <v/>
      </c>
      <c r="F416" s="134" t="n"/>
      <c r="G416" s="127" t="n"/>
      <c r="H416" s="130">
        <f>IF($G416="","",IFERROR(INDEX(FOU_Article,MATCH($G416,FOU_Code,0)),"⚠ Code inconnu"))</f>
        <v/>
      </c>
      <c r="I416" s="127" t="n"/>
      <c r="J416" s="128" t="n"/>
      <c r="K416" s="127" t="n"/>
      <c r="L416" s="127" t="n"/>
    </row>
    <row r="417" ht="21" customHeight="1">
      <c r="A417" s="1" t="n"/>
      <c r="B417" s="1" t="n"/>
      <c r="C417" s="2" t="n"/>
      <c r="E417" s="130">
        <f>IF($F417="","","MVT-"&amp;TEXT(ROW()-6,"0000"))</f>
        <v/>
      </c>
      <c r="F417" s="134" t="n"/>
      <c r="G417" s="127" t="n"/>
      <c r="H417" s="130">
        <f>IF($G417="","",IFERROR(INDEX(FOU_Article,MATCH($G417,FOU_Code,0)),"⚠ Code inconnu"))</f>
        <v/>
      </c>
      <c r="I417" s="127" t="n"/>
      <c r="J417" s="128" t="n"/>
      <c r="K417" s="127" t="n"/>
      <c r="L417" s="127" t="n"/>
    </row>
    <row r="418" ht="21" customHeight="1">
      <c r="A418" s="1" t="n"/>
      <c r="B418" s="1" t="n"/>
      <c r="C418" s="2" t="n"/>
      <c r="E418" s="130">
        <f>IF($F418="","","MVT-"&amp;TEXT(ROW()-6,"0000"))</f>
        <v/>
      </c>
      <c r="F418" s="134" t="n"/>
      <c r="G418" s="127" t="n"/>
      <c r="H418" s="130">
        <f>IF($G418="","",IFERROR(INDEX(FOU_Article,MATCH($G418,FOU_Code,0)),"⚠ Code inconnu"))</f>
        <v/>
      </c>
      <c r="I418" s="127" t="n"/>
      <c r="J418" s="128" t="n"/>
      <c r="K418" s="127" t="n"/>
      <c r="L418" s="127" t="n"/>
    </row>
    <row r="419" ht="21" customHeight="1">
      <c r="A419" s="1" t="n"/>
      <c r="B419" s="1" t="n"/>
      <c r="C419" s="2" t="n"/>
      <c r="E419" s="130">
        <f>IF($F419="","","MVT-"&amp;TEXT(ROW()-6,"0000"))</f>
        <v/>
      </c>
      <c r="F419" s="134" t="n"/>
      <c r="G419" s="127" t="n"/>
      <c r="H419" s="130">
        <f>IF($G419="","",IFERROR(INDEX(FOU_Article,MATCH($G419,FOU_Code,0)),"⚠ Code inconnu"))</f>
        <v/>
      </c>
      <c r="I419" s="127" t="n"/>
      <c r="J419" s="128" t="n"/>
      <c r="K419" s="127" t="n"/>
      <c r="L419" s="127" t="n"/>
    </row>
    <row r="420" ht="21" customHeight="1">
      <c r="A420" s="1" t="n"/>
      <c r="B420" s="1" t="n"/>
      <c r="C420" s="2" t="n"/>
      <c r="E420" s="130">
        <f>IF($F420="","","MVT-"&amp;TEXT(ROW()-6,"0000"))</f>
        <v/>
      </c>
      <c r="F420" s="134" t="n"/>
      <c r="G420" s="127" t="n"/>
      <c r="H420" s="130">
        <f>IF($G420="","",IFERROR(INDEX(FOU_Article,MATCH($G420,FOU_Code,0)),"⚠ Code inconnu"))</f>
        <v/>
      </c>
      <c r="I420" s="127" t="n"/>
      <c r="J420" s="128" t="n"/>
      <c r="K420" s="127" t="n"/>
      <c r="L420" s="127" t="n"/>
    </row>
    <row r="421" ht="21" customHeight="1">
      <c r="A421" s="1" t="n"/>
      <c r="B421" s="1" t="n"/>
      <c r="C421" s="2" t="n"/>
      <c r="E421" s="130">
        <f>IF($F421="","","MVT-"&amp;TEXT(ROW()-6,"0000"))</f>
        <v/>
      </c>
      <c r="F421" s="134" t="n"/>
      <c r="G421" s="127" t="n"/>
      <c r="H421" s="130">
        <f>IF($G421="","",IFERROR(INDEX(FOU_Article,MATCH($G421,FOU_Code,0)),"⚠ Code inconnu"))</f>
        <v/>
      </c>
      <c r="I421" s="127" t="n"/>
      <c r="J421" s="128" t="n"/>
      <c r="K421" s="127" t="n"/>
      <c r="L421" s="127" t="n"/>
    </row>
    <row r="422" ht="21" customHeight="1">
      <c r="A422" s="1" t="n"/>
      <c r="B422" s="1" t="n"/>
      <c r="C422" s="2" t="n"/>
      <c r="E422" s="130">
        <f>IF($F422="","","MVT-"&amp;TEXT(ROW()-6,"0000"))</f>
        <v/>
      </c>
      <c r="F422" s="134" t="n"/>
      <c r="G422" s="127" t="n"/>
      <c r="H422" s="130">
        <f>IF($G422="","",IFERROR(INDEX(FOU_Article,MATCH($G422,FOU_Code,0)),"⚠ Code inconnu"))</f>
        <v/>
      </c>
      <c r="I422" s="127" t="n"/>
      <c r="J422" s="128" t="n"/>
      <c r="K422" s="127" t="n"/>
      <c r="L422" s="127" t="n"/>
    </row>
    <row r="423" ht="21" customHeight="1">
      <c r="A423" s="1" t="n"/>
      <c r="B423" s="1" t="n"/>
      <c r="C423" s="2" t="n"/>
      <c r="E423" s="130">
        <f>IF($F423="","","MVT-"&amp;TEXT(ROW()-6,"0000"))</f>
        <v/>
      </c>
      <c r="F423" s="134" t="n"/>
      <c r="G423" s="127" t="n"/>
      <c r="H423" s="130">
        <f>IF($G423="","",IFERROR(INDEX(FOU_Article,MATCH($G423,FOU_Code,0)),"⚠ Code inconnu"))</f>
        <v/>
      </c>
      <c r="I423" s="127" t="n"/>
      <c r="J423" s="128" t="n"/>
      <c r="K423" s="127" t="n"/>
      <c r="L423" s="127" t="n"/>
    </row>
    <row r="424" ht="21" customHeight="1">
      <c r="A424" s="1" t="n"/>
      <c r="B424" s="1" t="n"/>
      <c r="C424" s="2" t="n"/>
      <c r="E424" s="130">
        <f>IF($F424="","","MVT-"&amp;TEXT(ROW()-6,"0000"))</f>
        <v/>
      </c>
      <c r="F424" s="134" t="n"/>
      <c r="G424" s="127" t="n"/>
      <c r="H424" s="130">
        <f>IF($G424="","",IFERROR(INDEX(FOU_Article,MATCH($G424,FOU_Code,0)),"⚠ Code inconnu"))</f>
        <v/>
      </c>
      <c r="I424" s="127" t="n"/>
      <c r="J424" s="128" t="n"/>
      <c r="K424" s="127" t="n"/>
      <c r="L424" s="127" t="n"/>
    </row>
    <row r="425" ht="21" customHeight="1">
      <c r="A425" s="1" t="n"/>
      <c r="B425" s="1" t="n"/>
      <c r="C425" s="2" t="n"/>
      <c r="E425" s="130">
        <f>IF($F425="","","MVT-"&amp;TEXT(ROW()-6,"0000"))</f>
        <v/>
      </c>
      <c r="F425" s="134" t="n"/>
      <c r="G425" s="127" t="n"/>
      <c r="H425" s="130">
        <f>IF($G425="","",IFERROR(INDEX(FOU_Article,MATCH($G425,FOU_Code,0)),"⚠ Code inconnu"))</f>
        <v/>
      </c>
      <c r="I425" s="127" t="n"/>
      <c r="J425" s="128" t="n"/>
      <c r="K425" s="127" t="n"/>
      <c r="L425" s="127" t="n"/>
    </row>
    <row r="426" ht="21" customHeight="1">
      <c r="A426" s="1" t="n"/>
      <c r="B426" s="1" t="n"/>
      <c r="C426" s="2" t="n"/>
      <c r="E426" s="130">
        <f>IF($F426="","","MVT-"&amp;TEXT(ROW()-6,"0000"))</f>
        <v/>
      </c>
      <c r="F426" s="134" t="n"/>
      <c r="G426" s="127" t="n"/>
      <c r="H426" s="130">
        <f>IF($G426="","",IFERROR(INDEX(FOU_Article,MATCH($G426,FOU_Code,0)),"⚠ Code inconnu"))</f>
        <v/>
      </c>
      <c r="I426" s="127" t="n"/>
      <c r="J426" s="128" t="n"/>
      <c r="K426" s="127" t="n"/>
      <c r="L426" s="127" t="n"/>
    </row>
    <row r="427" ht="21" customHeight="1">
      <c r="A427" s="1" t="n"/>
      <c r="B427" s="1" t="n"/>
      <c r="C427" s="2" t="n"/>
      <c r="E427" s="130">
        <f>IF($F427="","","MVT-"&amp;TEXT(ROW()-6,"0000"))</f>
        <v/>
      </c>
      <c r="F427" s="134" t="n"/>
      <c r="G427" s="127" t="n"/>
      <c r="H427" s="130">
        <f>IF($G427="","",IFERROR(INDEX(FOU_Article,MATCH($G427,FOU_Code,0)),"⚠ Code inconnu"))</f>
        <v/>
      </c>
      <c r="I427" s="127" t="n"/>
      <c r="J427" s="128" t="n"/>
      <c r="K427" s="127" t="n"/>
      <c r="L427" s="127" t="n"/>
    </row>
    <row r="428" ht="21" customHeight="1">
      <c r="A428" s="1" t="n"/>
      <c r="B428" s="1" t="n"/>
      <c r="C428" s="2" t="n"/>
      <c r="E428" s="130">
        <f>IF($F428="","","MVT-"&amp;TEXT(ROW()-6,"0000"))</f>
        <v/>
      </c>
      <c r="F428" s="134" t="n"/>
      <c r="G428" s="127" t="n"/>
      <c r="H428" s="130">
        <f>IF($G428="","",IFERROR(INDEX(FOU_Article,MATCH($G428,FOU_Code,0)),"⚠ Code inconnu"))</f>
        <v/>
      </c>
      <c r="I428" s="127" t="n"/>
      <c r="J428" s="128" t="n"/>
      <c r="K428" s="127" t="n"/>
      <c r="L428" s="127" t="n"/>
    </row>
    <row r="429" ht="21" customHeight="1">
      <c r="A429" s="1" t="n"/>
      <c r="B429" s="1" t="n"/>
      <c r="C429" s="2" t="n"/>
      <c r="E429" s="130">
        <f>IF($F429="","","MVT-"&amp;TEXT(ROW()-6,"0000"))</f>
        <v/>
      </c>
      <c r="F429" s="134" t="n"/>
      <c r="G429" s="127" t="n"/>
      <c r="H429" s="130">
        <f>IF($G429="","",IFERROR(INDEX(FOU_Article,MATCH($G429,FOU_Code,0)),"⚠ Code inconnu"))</f>
        <v/>
      </c>
      <c r="I429" s="127" t="n"/>
      <c r="J429" s="128" t="n"/>
      <c r="K429" s="127" t="n"/>
      <c r="L429" s="127" t="n"/>
    </row>
    <row r="430" ht="21" customHeight="1">
      <c r="A430" s="1" t="n"/>
      <c r="B430" s="1" t="n"/>
      <c r="C430" s="2" t="n"/>
      <c r="E430" s="130">
        <f>IF($F430="","","MVT-"&amp;TEXT(ROW()-6,"0000"))</f>
        <v/>
      </c>
      <c r="F430" s="134" t="n"/>
      <c r="G430" s="127" t="n"/>
      <c r="H430" s="130">
        <f>IF($G430="","",IFERROR(INDEX(FOU_Article,MATCH($G430,FOU_Code,0)),"⚠ Code inconnu"))</f>
        <v/>
      </c>
      <c r="I430" s="127" t="n"/>
      <c r="J430" s="128" t="n"/>
      <c r="K430" s="127" t="n"/>
      <c r="L430" s="127" t="n"/>
    </row>
    <row r="431" ht="21" customHeight="1">
      <c r="A431" s="1" t="n"/>
      <c r="B431" s="1" t="n"/>
      <c r="C431" s="2" t="n"/>
      <c r="E431" s="130">
        <f>IF($F431="","","MVT-"&amp;TEXT(ROW()-6,"0000"))</f>
        <v/>
      </c>
      <c r="F431" s="134" t="n"/>
      <c r="G431" s="127" t="n"/>
      <c r="H431" s="130">
        <f>IF($G431="","",IFERROR(INDEX(FOU_Article,MATCH($G431,FOU_Code,0)),"⚠ Code inconnu"))</f>
        <v/>
      </c>
      <c r="I431" s="127" t="n"/>
      <c r="J431" s="128" t="n"/>
      <c r="K431" s="127" t="n"/>
      <c r="L431" s="127" t="n"/>
    </row>
    <row r="432" ht="21" customHeight="1">
      <c r="A432" s="1" t="n"/>
      <c r="B432" s="1" t="n"/>
      <c r="C432" s="2" t="n"/>
      <c r="E432" s="130">
        <f>IF($F432="","","MVT-"&amp;TEXT(ROW()-6,"0000"))</f>
        <v/>
      </c>
      <c r="F432" s="134" t="n"/>
      <c r="G432" s="127" t="n"/>
      <c r="H432" s="130">
        <f>IF($G432="","",IFERROR(INDEX(FOU_Article,MATCH($G432,FOU_Code,0)),"⚠ Code inconnu"))</f>
        <v/>
      </c>
      <c r="I432" s="127" t="n"/>
      <c r="J432" s="128" t="n"/>
      <c r="K432" s="127" t="n"/>
      <c r="L432" s="127" t="n"/>
    </row>
    <row r="433" ht="21" customHeight="1">
      <c r="A433" s="1" t="n"/>
      <c r="B433" s="1" t="n"/>
      <c r="C433" s="2" t="n"/>
      <c r="E433" s="130">
        <f>IF($F433="","","MVT-"&amp;TEXT(ROW()-6,"0000"))</f>
        <v/>
      </c>
      <c r="F433" s="134" t="n"/>
      <c r="G433" s="127" t="n"/>
      <c r="H433" s="130">
        <f>IF($G433="","",IFERROR(INDEX(FOU_Article,MATCH($G433,FOU_Code,0)),"⚠ Code inconnu"))</f>
        <v/>
      </c>
      <c r="I433" s="127" t="n"/>
      <c r="J433" s="128" t="n"/>
      <c r="K433" s="127" t="n"/>
      <c r="L433" s="127" t="n"/>
    </row>
    <row r="434" ht="21" customHeight="1">
      <c r="A434" s="1" t="n"/>
      <c r="B434" s="1" t="n"/>
      <c r="C434" s="2" t="n"/>
      <c r="E434" s="130">
        <f>IF($F434="","","MVT-"&amp;TEXT(ROW()-6,"0000"))</f>
        <v/>
      </c>
      <c r="F434" s="134" t="n"/>
      <c r="G434" s="127" t="n"/>
      <c r="H434" s="130">
        <f>IF($G434="","",IFERROR(INDEX(FOU_Article,MATCH($G434,FOU_Code,0)),"⚠ Code inconnu"))</f>
        <v/>
      </c>
      <c r="I434" s="127" t="n"/>
      <c r="J434" s="128" t="n"/>
      <c r="K434" s="127" t="n"/>
      <c r="L434" s="127" t="n"/>
    </row>
    <row r="435" ht="21" customHeight="1">
      <c r="A435" s="1" t="n"/>
      <c r="B435" s="1" t="n"/>
      <c r="C435" s="2" t="n"/>
      <c r="E435" s="130">
        <f>IF($F435="","","MVT-"&amp;TEXT(ROW()-6,"0000"))</f>
        <v/>
      </c>
      <c r="F435" s="134" t="n"/>
      <c r="G435" s="127" t="n"/>
      <c r="H435" s="130">
        <f>IF($G435="","",IFERROR(INDEX(FOU_Article,MATCH($G435,FOU_Code,0)),"⚠ Code inconnu"))</f>
        <v/>
      </c>
      <c r="I435" s="127" t="n"/>
      <c r="J435" s="128" t="n"/>
      <c r="K435" s="127" t="n"/>
      <c r="L435" s="127" t="n"/>
    </row>
    <row r="436" ht="21" customHeight="1">
      <c r="A436" s="1" t="n"/>
      <c r="B436" s="1" t="n"/>
      <c r="C436" s="2" t="n"/>
      <c r="E436" s="130">
        <f>IF($F436="","","MVT-"&amp;TEXT(ROW()-6,"0000"))</f>
        <v/>
      </c>
      <c r="F436" s="134" t="n"/>
      <c r="G436" s="127" t="n"/>
      <c r="H436" s="130">
        <f>IF($G436="","",IFERROR(INDEX(FOU_Article,MATCH($G436,FOU_Code,0)),"⚠ Code inconnu"))</f>
        <v/>
      </c>
      <c r="I436" s="127" t="n"/>
      <c r="J436" s="128" t="n"/>
      <c r="K436" s="127" t="n"/>
      <c r="L436" s="127" t="n"/>
    </row>
    <row r="437" ht="21" customHeight="1">
      <c r="A437" s="1" t="n"/>
      <c r="B437" s="1" t="n"/>
      <c r="C437" s="2" t="n"/>
      <c r="E437" s="130">
        <f>IF($F437="","","MVT-"&amp;TEXT(ROW()-6,"0000"))</f>
        <v/>
      </c>
      <c r="F437" s="134" t="n"/>
      <c r="G437" s="127" t="n"/>
      <c r="H437" s="130">
        <f>IF($G437="","",IFERROR(INDEX(FOU_Article,MATCH($G437,FOU_Code,0)),"⚠ Code inconnu"))</f>
        <v/>
      </c>
      <c r="I437" s="127" t="n"/>
      <c r="J437" s="128" t="n"/>
      <c r="K437" s="127" t="n"/>
      <c r="L437" s="127" t="n"/>
    </row>
    <row r="438" ht="21" customHeight="1">
      <c r="A438" s="1" t="n"/>
      <c r="B438" s="1" t="n"/>
      <c r="C438" s="2" t="n"/>
      <c r="E438" s="130">
        <f>IF($F438="","","MVT-"&amp;TEXT(ROW()-6,"0000"))</f>
        <v/>
      </c>
      <c r="F438" s="134" t="n"/>
      <c r="G438" s="127" t="n"/>
      <c r="H438" s="130">
        <f>IF($G438="","",IFERROR(INDEX(FOU_Article,MATCH($G438,FOU_Code,0)),"⚠ Code inconnu"))</f>
        <v/>
      </c>
      <c r="I438" s="127" t="n"/>
      <c r="J438" s="128" t="n"/>
      <c r="K438" s="127" t="n"/>
      <c r="L438" s="127" t="n"/>
    </row>
    <row r="439" ht="21" customHeight="1">
      <c r="A439" s="1" t="n"/>
      <c r="B439" s="1" t="n"/>
      <c r="C439" s="2" t="n"/>
      <c r="E439" s="130">
        <f>IF($F439="","","MVT-"&amp;TEXT(ROW()-6,"0000"))</f>
        <v/>
      </c>
      <c r="F439" s="134" t="n"/>
      <c r="G439" s="127" t="n"/>
      <c r="H439" s="130">
        <f>IF($G439="","",IFERROR(INDEX(FOU_Article,MATCH($G439,FOU_Code,0)),"⚠ Code inconnu"))</f>
        <v/>
      </c>
      <c r="I439" s="127" t="n"/>
      <c r="J439" s="128" t="n"/>
      <c r="K439" s="127" t="n"/>
      <c r="L439" s="127" t="n"/>
    </row>
    <row r="440" ht="21" customHeight="1">
      <c r="A440" s="1" t="n"/>
      <c r="B440" s="1" t="n"/>
      <c r="C440" s="2" t="n"/>
      <c r="E440" s="130">
        <f>IF($F440="","","MVT-"&amp;TEXT(ROW()-6,"0000"))</f>
        <v/>
      </c>
      <c r="F440" s="134" t="n"/>
      <c r="G440" s="127" t="n"/>
      <c r="H440" s="130">
        <f>IF($G440="","",IFERROR(INDEX(FOU_Article,MATCH($G440,FOU_Code,0)),"⚠ Code inconnu"))</f>
        <v/>
      </c>
      <c r="I440" s="127" t="n"/>
      <c r="J440" s="128" t="n"/>
      <c r="K440" s="127" t="n"/>
      <c r="L440" s="127" t="n"/>
    </row>
    <row r="441" ht="21" customHeight="1">
      <c r="A441" s="1" t="n"/>
      <c r="B441" s="1" t="n"/>
      <c r="C441" s="2" t="n"/>
      <c r="E441" s="130">
        <f>IF($F441="","","MVT-"&amp;TEXT(ROW()-6,"0000"))</f>
        <v/>
      </c>
      <c r="F441" s="134" t="n"/>
      <c r="G441" s="127" t="n"/>
      <c r="H441" s="130">
        <f>IF($G441="","",IFERROR(INDEX(FOU_Article,MATCH($G441,FOU_Code,0)),"⚠ Code inconnu"))</f>
        <v/>
      </c>
      <c r="I441" s="127" t="n"/>
      <c r="J441" s="128" t="n"/>
      <c r="K441" s="127" t="n"/>
      <c r="L441" s="127" t="n"/>
    </row>
    <row r="442" ht="21" customHeight="1">
      <c r="A442" s="1" t="n"/>
      <c r="B442" s="1" t="n"/>
      <c r="C442" s="2" t="n"/>
      <c r="E442" s="130">
        <f>IF($F442="","","MVT-"&amp;TEXT(ROW()-6,"0000"))</f>
        <v/>
      </c>
      <c r="F442" s="134" t="n"/>
      <c r="G442" s="127" t="n"/>
      <c r="H442" s="130">
        <f>IF($G442="","",IFERROR(INDEX(FOU_Article,MATCH($G442,FOU_Code,0)),"⚠ Code inconnu"))</f>
        <v/>
      </c>
      <c r="I442" s="127" t="n"/>
      <c r="J442" s="128" t="n"/>
      <c r="K442" s="127" t="n"/>
      <c r="L442" s="127" t="n"/>
    </row>
    <row r="443" ht="21" customHeight="1">
      <c r="A443" s="1" t="n"/>
      <c r="B443" s="1" t="n"/>
      <c r="C443" s="2" t="n"/>
      <c r="E443" s="130">
        <f>IF($F443="","","MVT-"&amp;TEXT(ROW()-6,"0000"))</f>
        <v/>
      </c>
      <c r="F443" s="134" t="n"/>
      <c r="G443" s="127" t="n"/>
      <c r="H443" s="130">
        <f>IF($G443="","",IFERROR(INDEX(FOU_Article,MATCH($G443,FOU_Code,0)),"⚠ Code inconnu"))</f>
        <v/>
      </c>
      <c r="I443" s="127" t="n"/>
      <c r="J443" s="128" t="n"/>
      <c r="K443" s="127" t="n"/>
      <c r="L443" s="127" t="n"/>
    </row>
    <row r="444" ht="21" customHeight="1">
      <c r="A444" s="1" t="n"/>
      <c r="B444" s="1" t="n"/>
      <c r="C444" s="2" t="n"/>
      <c r="E444" s="130">
        <f>IF($F444="","","MVT-"&amp;TEXT(ROW()-6,"0000"))</f>
        <v/>
      </c>
      <c r="F444" s="134" t="n"/>
      <c r="G444" s="127" t="n"/>
      <c r="H444" s="130">
        <f>IF($G444="","",IFERROR(INDEX(FOU_Article,MATCH($G444,FOU_Code,0)),"⚠ Code inconnu"))</f>
        <v/>
      </c>
      <c r="I444" s="127" t="n"/>
      <c r="J444" s="128" t="n"/>
      <c r="K444" s="127" t="n"/>
      <c r="L444" s="127" t="n"/>
    </row>
    <row r="445" ht="21" customHeight="1">
      <c r="A445" s="1" t="n"/>
      <c r="B445" s="1" t="n"/>
      <c r="C445" s="2" t="n"/>
      <c r="E445" s="130">
        <f>IF($F445="","","MVT-"&amp;TEXT(ROW()-6,"0000"))</f>
        <v/>
      </c>
      <c r="F445" s="134" t="n"/>
      <c r="G445" s="127" t="n"/>
      <c r="H445" s="130">
        <f>IF($G445="","",IFERROR(INDEX(FOU_Article,MATCH($G445,FOU_Code,0)),"⚠ Code inconnu"))</f>
        <v/>
      </c>
      <c r="I445" s="127" t="n"/>
      <c r="J445" s="128" t="n"/>
      <c r="K445" s="127" t="n"/>
      <c r="L445" s="127" t="n"/>
    </row>
    <row r="446" ht="21" customHeight="1">
      <c r="A446" s="1" t="n"/>
      <c r="B446" s="1" t="n"/>
      <c r="C446" s="2" t="n"/>
      <c r="E446" s="130">
        <f>IF($F446="","","MVT-"&amp;TEXT(ROW()-6,"0000"))</f>
        <v/>
      </c>
      <c r="F446" s="134" t="n"/>
      <c r="G446" s="127" t="n"/>
      <c r="H446" s="130">
        <f>IF($G446="","",IFERROR(INDEX(FOU_Article,MATCH($G446,FOU_Code,0)),"⚠ Code inconnu"))</f>
        <v/>
      </c>
      <c r="I446" s="127" t="n"/>
      <c r="J446" s="128" t="n"/>
      <c r="K446" s="127" t="n"/>
      <c r="L446" s="127" t="n"/>
    </row>
    <row r="447" ht="21" customHeight="1">
      <c r="A447" s="1" t="n"/>
      <c r="B447" s="1" t="n"/>
      <c r="C447" s="2" t="n"/>
      <c r="E447" s="130">
        <f>IF($F447="","","MVT-"&amp;TEXT(ROW()-6,"0000"))</f>
        <v/>
      </c>
      <c r="F447" s="134" t="n"/>
      <c r="G447" s="127" t="n"/>
      <c r="H447" s="130">
        <f>IF($G447="","",IFERROR(INDEX(FOU_Article,MATCH($G447,FOU_Code,0)),"⚠ Code inconnu"))</f>
        <v/>
      </c>
      <c r="I447" s="127" t="n"/>
      <c r="J447" s="128" t="n"/>
      <c r="K447" s="127" t="n"/>
      <c r="L447" s="127" t="n"/>
    </row>
    <row r="448" ht="21" customHeight="1">
      <c r="A448" s="1" t="n"/>
      <c r="B448" s="1" t="n"/>
      <c r="C448" s="2" t="n"/>
      <c r="E448" s="130">
        <f>IF($F448="","","MVT-"&amp;TEXT(ROW()-6,"0000"))</f>
        <v/>
      </c>
      <c r="F448" s="134" t="n"/>
      <c r="G448" s="127" t="n"/>
      <c r="H448" s="130">
        <f>IF($G448="","",IFERROR(INDEX(FOU_Article,MATCH($G448,FOU_Code,0)),"⚠ Code inconnu"))</f>
        <v/>
      </c>
      <c r="I448" s="127" t="n"/>
      <c r="J448" s="128" t="n"/>
      <c r="K448" s="127" t="n"/>
      <c r="L448" s="127" t="n"/>
    </row>
    <row r="449" ht="21" customHeight="1">
      <c r="A449" s="1" t="n"/>
      <c r="B449" s="1" t="n"/>
      <c r="C449" s="2" t="n"/>
      <c r="E449" s="130">
        <f>IF($F449="","","MVT-"&amp;TEXT(ROW()-6,"0000"))</f>
        <v/>
      </c>
      <c r="F449" s="134" t="n"/>
      <c r="G449" s="127" t="n"/>
      <c r="H449" s="130">
        <f>IF($G449="","",IFERROR(INDEX(FOU_Article,MATCH($G449,FOU_Code,0)),"⚠ Code inconnu"))</f>
        <v/>
      </c>
      <c r="I449" s="127" t="n"/>
      <c r="J449" s="128" t="n"/>
      <c r="K449" s="127" t="n"/>
      <c r="L449" s="127" t="n"/>
    </row>
    <row r="450" ht="21" customHeight="1">
      <c r="A450" s="1" t="n"/>
      <c r="B450" s="1" t="n"/>
      <c r="C450" s="2" t="n"/>
      <c r="E450" s="130">
        <f>IF($F450="","","MVT-"&amp;TEXT(ROW()-6,"0000"))</f>
        <v/>
      </c>
      <c r="F450" s="134" t="n"/>
      <c r="G450" s="127" t="n"/>
      <c r="H450" s="130">
        <f>IF($G450="","",IFERROR(INDEX(FOU_Article,MATCH($G450,FOU_Code,0)),"⚠ Code inconnu"))</f>
        <v/>
      </c>
      <c r="I450" s="127" t="n"/>
      <c r="J450" s="128" t="n"/>
      <c r="K450" s="127" t="n"/>
      <c r="L450" s="127" t="n"/>
    </row>
    <row r="451" ht="21" customHeight="1">
      <c r="A451" s="1" t="n"/>
      <c r="B451" s="1" t="n"/>
      <c r="C451" s="2" t="n"/>
      <c r="E451" s="130">
        <f>IF($F451="","","MVT-"&amp;TEXT(ROW()-6,"0000"))</f>
        <v/>
      </c>
      <c r="F451" s="134" t="n"/>
      <c r="G451" s="127" t="n"/>
      <c r="H451" s="130">
        <f>IF($G451="","",IFERROR(INDEX(FOU_Article,MATCH($G451,FOU_Code,0)),"⚠ Code inconnu"))</f>
        <v/>
      </c>
      <c r="I451" s="127" t="n"/>
      <c r="J451" s="128" t="n"/>
      <c r="K451" s="127" t="n"/>
      <c r="L451" s="127" t="n"/>
    </row>
    <row r="452" ht="21" customHeight="1">
      <c r="A452" s="1" t="n"/>
      <c r="B452" s="1" t="n"/>
      <c r="C452" s="2" t="n"/>
      <c r="E452" s="130">
        <f>IF($F452="","","MVT-"&amp;TEXT(ROW()-6,"0000"))</f>
        <v/>
      </c>
      <c r="F452" s="134" t="n"/>
      <c r="G452" s="127" t="n"/>
      <c r="H452" s="130">
        <f>IF($G452="","",IFERROR(INDEX(FOU_Article,MATCH($G452,FOU_Code,0)),"⚠ Code inconnu"))</f>
        <v/>
      </c>
      <c r="I452" s="127" t="n"/>
      <c r="J452" s="128" t="n"/>
      <c r="K452" s="127" t="n"/>
      <c r="L452" s="127" t="n"/>
    </row>
    <row r="453" ht="21" customHeight="1">
      <c r="A453" s="1" t="n"/>
      <c r="B453" s="1" t="n"/>
      <c r="C453" s="2" t="n"/>
      <c r="E453" s="130">
        <f>IF($F453="","","MVT-"&amp;TEXT(ROW()-6,"0000"))</f>
        <v/>
      </c>
      <c r="F453" s="134" t="n"/>
      <c r="G453" s="127" t="n"/>
      <c r="H453" s="130">
        <f>IF($G453="","",IFERROR(INDEX(FOU_Article,MATCH($G453,FOU_Code,0)),"⚠ Code inconnu"))</f>
        <v/>
      </c>
      <c r="I453" s="127" t="n"/>
      <c r="J453" s="128" t="n"/>
      <c r="K453" s="127" t="n"/>
      <c r="L453" s="127" t="n"/>
    </row>
    <row r="454" ht="21" customHeight="1">
      <c r="A454" s="1" t="n"/>
      <c r="B454" s="1" t="n"/>
      <c r="C454" s="2" t="n"/>
      <c r="E454" s="130">
        <f>IF($F454="","","MVT-"&amp;TEXT(ROW()-6,"0000"))</f>
        <v/>
      </c>
      <c r="F454" s="134" t="n"/>
      <c r="G454" s="127" t="n"/>
      <c r="H454" s="130">
        <f>IF($G454="","",IFERROR(INDEX(FOU_Article,MATCH($G454,FOU_Code,0)),"⚠ Code inconnu"))</f>
        <v/>
      </c>
      <c r="I454" s="127" t="n"/>
      <c r="J454" s="128" t="n"/>
      <c r="K454" s="127" t="n"/>
      <c r="L454" s="127" t="n"/>
    </row>
    <row r="455" ht="21" customHeight="1">
      <c r="A455" s="1" t="n"/>
      <c r="B455" s="1" t="n"/>
      <c r="C455" s="2" t="n"/>
      <c r="E455" s="130">
        <f>IF($F455="","","MVT-"&amp;TEXT(ROW()-6,"0000"))</f>
        <v/>
      </c>
      <c r="F455" s="134" t="n"/>
      <c r="G455" s="127" t="n"/>
      <c r="H455" s="130">
        <f>IF($G455="","",IFERROR(INDEX(FOU_Article,MATCH($G455,FOU_Code,0)),"⚠ Code inconnu"))</f>
        <v/>
      </c>
      <c r="I455" s="127" t="n"/>
      <c r="J455" s="128" t="n"/>
      <c r="K455" s="127" t="n"/>
      <c r="L455" s="127" t="n"/>
    </row>
    <row r="456" ht="21" customHeight="1">
      <c r="A456" s="1" t="n"/>
      <c r="B456" s="1" t="n"/>
      <c r="C456" s="2" t="n"/>
      <c r="E456" s="130">
        <f>IF($F456="","","MVT-"&amp;TEXT(ROW()-6,"0000"))</f>
        <v/>
      </c>
      <c r="F456" s="134" t="n"/>
      <c r="G456" s="127" t="n"/>
      <c r="H456" s="130">
        <f>IF($G456="","",IFERROR(INDEX(FOU_Article,MATCH($G456,FOU_Code,0)),"⚠ Code inconnu"))</f>
        <v/>
      </c>
      <c r="I456" s="127" t="n"/>
      <c r="J456" s="128" t="n"/>
      <c r="K456" s="127" t="n"/>
      <c r="L456" s="127" t="n"/>
    </row>
    <row r="457" ht="21" customHeight="1">
      <c r="A457" s="1" t="n"/>
      <c r="B457" s="1" t="n"/>
      <c r="C457" s="2" t="n"/>
      <c r="E457" s="130">
        <f>IF($F457="","","MVT-"&amp;TEXT(ROW()-6,"0000"))</f>
        <v/>
      </c>
      <c r="F457" s="134" t="n"/>
      <c r="G457" s="127" t="n"/>
      <c r="H457" s="130">
        <f>IF($G457="","",IFERROR(INDEX(FOU_Article,MATCH($G457,FOU_Code,0)),"⚠ Code inconnu"))</f>
        <v/>
      </c>
      <c r="I457" s="127" t="n"/>
      <c r="J457" s="128" t="n"/>
      <c r="K457" s="127" t="n"/>
      <c r="L457" s="127" t="n"/>
    </row>
    <row r="458" ht="21" customHeight="1">
      <c r="A458" s="1" t="n"/>
      <c r="B458" s="1" t="n"/>
      <c r="C458" s="2" t="n"/>
      <c r="E458" s="130">
        <f>IF($F458="","","MVT-"&amp;TEXT(ROW()-6,"0000"))</f>
        <v/>
      </c>
      <c r="F458" s="134" t="n"/>
      <c r="G458" s="127" t="n"/>
      <c r="H458" s="130">
        <f>IF($G458="","",IFERROR(INDEX(FOU_Article,MATCH($G458,FOU_Code,0)),"⚠ Code inconnu"))</f>
        <v/>
      </c>
      <c r="I458" s="127" t="n"/>
      <c r="J458" s="128" t="n"/>
      <c r="K458" s="127" t="n"/>
      <c r="L458" s="127" t="n"/>
    </row>
    <row r="459" ht="21" customHeight="1">
      <c r="A459" s="1" t="n"/>
      <c r="B459" s="1" t="n"/>
      <c r="C459" s="2" t="n"/>
      <c r="E459" s="130">
        <f>IF($F459="","","MVT-"&amp;TEXT(ROW()-6,"0000"))</f>
        <v/>
      </c>
      <c r="F459" s="134" t="n"/>
      <c r="G459" s="127" t="n"/>
      <c r="H459" s="130">
        <f>IF($G459="","",IFERROR(INDEX(FOU_Article,MATCH($G459,FOU_Code,0)),"⚠ Code inconnu"))</f>
        <v/>
      </c>
      <c r="I459" s="127" t="n"/>
      <c r="J459" s="128" t="n"/>
      <c r="K459" s="127" t="n"/>
      <c r="L459" s="127" t="n"/>
    </row>
    <row r="460" ht="21" customHeight="1">
      <c r="A460" s="1" t="n"/>
      <c r="B460" s="1" t="n"/>
      <c r="C460" s="2" t="n"/>
      <c r="E460" s="130">
        <f>IF($F460="","","MVT-"&amp;TEXT(ROW()-6,"0000"))</f>
        <v/>
      </c>
      <c r="F460" s="134" t="n"/>
      <c r="G460" s="127" t="n"/>
      <c r="H460" s="130">
        <f>IF($G460="","",IFERROR(INDEX(FOU_Article,MATCH($G460,FOU_Code,0)),"⚠ Code inconnu"))</f>
        <v/>
      </c>
      <c r="I460" s="127" t="n"/>
      <c r="J460" s="128" t="n"/>
      <c r="K460" s="127" t="n"/>
      <c r="L460" s="127" t="n"/>
    </row>
    <row r="461" ht="21" customHeight="1">
      <c r="A461" s="1" t="n"/>
      <c r="B461" s="1" t="n"/>
      <c r="C461" s="2" t="n"/>
      <c r="E461" s="130">
        <f>IF($F461="","","MVT-"&amp;TEXT(ROW()-6,"0000"))</f>
        <v/>
      </c>
      <c r="F461" s="134" t="n"/>
      <c r="G461" s="127" t="n"/>
      <c r="H461" s="130">
        <f>IF($G461="","",IFERROR(INDEX(FOU_Article,MATCH($G461,FOU_Code,0)),"⚠ Code inconnu"))</f>
        <v/>
      </c>
      <c r="I461" s="127" t="n"/>
      <c r="J461" s="128" t="n"/>
      <c r="K461" s="127" t="n"/>
      <c r="L461" s="127" t="n"/>
    </row>
    <row r="462" ht="21" customHeight="1">
      <c r="A462" s="1" t="n"/>
      <c r="B462" s="1" t="n"/>
      <c r="C462" s="2" t="n"/>
      <c r="E462" s="130">
        <f>IF($F462="","","MVT-"&amp;TEXT(ROW()-6,"0000"))</f>
        <v/>
      </c>
      <c r="F462" s="134" t="n"/>
      <c r="G462" s="127" t="n"/>
      <c r="H462" s="130">
        <f>IF($G462="","",IFERROR(INDEX(FOU_Article,MATCH($G462,FOU_Code,0)),"⚠ Code inconnu"))</f>
        <v/>
      </c>
      <c r="I462" s="127" t="n"/>
      <c r="J462" s="128" t="n"/>
      <c r="K462" s="127" t="n"/>
      <c r="L462" s="127" t="n"/>
    </row>
    <row r="463" ht="21" customHeight="1">
      <c r="A463" s="1" t="n"/>
      <c r="B463" s="1" t="n"/>
      <c r="C463" s="2" t="n"/>
      <c r="E463" s="130">
        <f>IF($F463="","","MVT-"&amp;TEXT(ROW()-6,"0000"))</f>
        <v/>
      </c>
      <c r="F463" s="134" t="n"/>
      <c r="G463" s="127" t="n"/>
      <c r="H463" s="130">
        <f>IF($G463="","",IFERROR(INDEX(FOU_Article,MATCH($G463,FOU_Code,0)),"⚠ Code inconnu"))</f>
        <v/>
      </c>
      <c r="I463" s="127" t="n"/>
      <c r="J463" s="128" t="n"/>
      <c r="K463" s="127" t="n"/>
      <c r="L463" s="127" t="n"/>
    </row>
    <row r="464" ht="21" customHeight="1">
      <c r="A464" s="1" t="n"/>
      <c r="B464" s="1" t="n"/>
      <c r="C464" s="2" t="n"/>
      <c r="E464" s="130">
        <f>IF($F464="","","MVT-"&amp;TEXT(ROW()-6,"0000"))</f>
        <v/>
      </c>
      <c r="F464" s="134" t="n"/>
      <c r="G464" s="127" t="n"/>
      <c r="H464" s="130">
        <f>IF($G464="","",IFERROR(INDEX(FOU_Article,MATCH($G464,FOU_Code,0)),"⚠ Code inconnu"))</f>
        <v/>
      </c>
      <c r="I464" s="127" t="n"/>
      <c r="J464" s="128" t="n"/>
      <c r="K464" s="127" t="n"/>
      <c r="L464" s="127" t="n"/>
    </row>
    <row r="465" ht="21" customHeight="1">
      <c r="A465" s="1" t="n"/>
      <c r="B465" s="1" t="n"/>
      <c r="C465" s="2" t="n"/>
      <c r="E465" s="130">
        <f>IF($F465="","","MVT-"&amp;TEXT(ROW()-6,"0000"))</f>
        <v/>
      </c>
      <c r="F465" s="134" t="n"/>
      <c r="G465" s="127" t="n"/>
      <c r="H465" s="130">
        <f>IF($G465="","",IFERROR(INDEX(FOU_Article,MATCH($G465,FOU_Code,0)),"⚠ Code inconnu"))</f>
        <v/>
      </c>
      <c r="I465" s="127" t="n"/>
      <c r="J465" s="128" t="n"/>
      <c r="K465" s="127" t="n"/>
      <c r="L465" s="127" t="n"/>
    </row>
    <row r="466" ht="21" customHeight="1">
      <c r="A466" s="1" t="n"/>
      <c r="B466" s="1" t="n"/>
      <c r="C466" s="2" t="n"/>
      <c r="E466" s="130">
        <f>IF($F466="","","MVT-"&amp;TEXT(ROW()-6,"0000"))</f>
        <v/>
      </c>
      <c r="F466" s="134" t="n"/>
      <c r="G466" s="127" t="n"/>
      <c r="H466" s="130">
        <f>IF($G466="","",IFERROR(INDEX(FOU_Article,MATCH($G466,FOU_Code,0)),"⚠ Code inconnu"))</f>
        <v/>
      </c>
      <c r="I466" s="127" t="n"/>
      <c r="J466" s="128" t="n"/>
      <c r="K466" s="127" t="n"/>
      <c r="L466" s="127" t="n"/>
    </row>
    <row r="467" ht="21" customHeight="1">
      <c r="A467" s="1" t="n"/>
      <c r="B467" s="1" t="n"/>
      <c r="C467" s="2" t="n"/>
      <c r="E467" s="130">
        <f>IF($F467="","","MVT-"&amp;TEXT(ROW()-6,"0000"))</f>
        <v/>
      </c>
      <c r="F467" s="134" t="n"/>
      <c r="G467" s="127" t="n"/>
      <c r="H467" s="130">
        <f>IF($G467="","",IFERROR(INDEX(FOU_Article,MATCH($G467,FOU_Code,0)),"⚠ Code inconnu"))</f>
        <v/>
      </c>
      <c r="I467" s="127" t="n"/>
      <c r="J467" s="128" t="n"/>
      <c r="K467" s="127" t="n"/>
      <c r="L467" s="127" t="n"/>
    </row>
    <row r="468" ht="21" customHeight="1">
      <c r="A468" s="1" t="n"/>
      <c r="B468" s="1" t="n"/>
      <c r="C468" s="2" t="n"/>
      <c r="E468" s="130">
        <f>IF($F468="","","MVT-"&amp;TEXT(ROW()-6,"0000"))</f>
        <v/>
      </c>
      <c r="F468" s="134" t="n"/>
      <c r="G468" s="127" t="n"/>
      <c r="H468" s="130">
        <f>IF($G468="","",IFERROR(INDEX(FOU_Article,MATCH($G468,FOU_Code,0)),"⚠ Code inconnu"))</f>
        <v/>
      </c>
      <c r="I468" s="127" t="n"/>
      <c r="J468" s="128" t="n"/>
      <c r="K468" s="127" t="n"/>
      <c r="L468" s="127" t="n"/>
    </row>
    <row r="469" ht="21" customHeight="1">
      <c r="A469" s="1" t="n"/>
      <c r="B469" s="1" t="n"/>
      <c r="C469" s="2" t="n"/>
      <c r="E469" s="130">
        <f>IF($F469="","","MVT-"&amp;TEXT(ROW()-6,"0000"))</f>
        <v/>
      </c>
      <c r="F469" s="134" t="n"/>
      <c r="G469" s="127" t="n"/>
      <c r="H469" s="130">
        <f>IF($G469="","",IFERROR(INDEX(FOU_Article,MATCH($G469,FOU_Code,0)),"⚠ Code inconnu"))</f>
        <v/>
      </c>
      <c r="I469" s="127" t="n"/>
      <c r="J469" s="128" t="n"/>
      <c r="K469" s="127" t="n"/>
      <c r="L469" s="127" t="n"/>
    </row>
    <row r="470" ht="21" customHeight="1">
      <c r="A470" s="1" t="n"/>
      <c r="B470" s="1" t="n"/>
      <c r="C470" s="2" t="n"/>
      <c r="E470" s="130">
        <f>IF($F470="","","MVT-"&amp;TEXT(ROW()-6,"0000"))</f>
        <v/>
      </c>
      <c r="F470" s="134" t="n"/>
      <c r="G470" s="127" t="n"/>
      <c r="H470" s="130">
        <f>IF($G470="","",IFERROR(INDEX(FOU_Article,MATCH($G470,FOU_Code,0)),"⚠ Code inconnu"))</f>
        <v/>
      </c>
      <c r="I470" s="127" t="n"/>
      <c r="J470" s="128" t="n"/>
      <c r="K470" s="127" t="n"/>
      <c r="L470" s="127" t="n"/>
    </row>
    <row r="471" ht="21" customHeight="1">
      <c r="A471" s="1" t="n"/>
      <c r="B471" s="1" t="n"/>
      <c r="C471" s="2" t="n"/>
      <c r="E471" s="130">
        <f>IF($F471="","","MVT-"&amp;TEXT(ROW()-6,"0000"))</f>
        <v/>
      </c>
      <c r="F471" s="134" t="n"/>
      <c r="G471" s="127" t="n"/>
      <c r="H471" s="130">
        <f>IF($G471="","",IFERROR(INDEX(FOU_Article,MATCH($G471,FOU_Code,0)),"⚠ Code inconnu"))</f>
        <v/>
      </c>
      <c r="I471" s="127" t="n"/>
      <c r="J471" s="128" t="n"/>
      <c r="K471" s="127" t="n"/>
      <c r="L471" s="127" t="n"/>
    </row>
    <row r="472" ht="21" customHeight="1">
      <c r="A472" s="1" t="n"/>
      <c r="B472" s="1" t="n"/>
      <c r="C472" s="2" t="n"/>
      <c r="E472" s="130">
        <f>IF($F472="","","MVT-"&amp;TEXT(ROW()-6,"0000"))</f>
        <v/>
      </c>
      <c r="F472" s="134" t="n"/>
      <c r="G472" s="127" t="n"/>
      <c r="H472" s="130">
        <f>IF($G472="","",IFERROR(INDEX(FOU_Article,MATCH($G472,FOU_Code,0)),"⚠ Code inconnu"))</f>
        <v/>
      </c>
      <c r="I472" s="127" t="n"/>
      <c r="J472" s="128" t="n"/>
      <c r="K472" s="127" t="n"/>
      <c r="L472" s="127" t="n"/>
    </row>
    <row r="473" ht="21" customHeight="1">
      <c r="A473" s="1" t="n"/>
      <c r="B473" s="1" t="n"/>
      <c r="C473" s="2" t="n"/>
      <c r="E473" s="130">
        <f>IF($F473="","","MVT-"&amp;TEXT(ROW()-6,"0000"))</f>
        <v/>
      </c>
      <c r="F473" s="134" t="n"/>
      <c r="G473" s="127" t="n"/>
      <c r="H473" s="130">
        <f>IF($G473="","",IFERROR(INDEX(FOU_Article,MATCH($G473,FOU_Code,0)),"⚠ Code inconnu"))</f>
        <v/>
      </c>
      <c r="I473" s="127" t="n"/>
      <c r="J473" s="128" t="n"/>
      <c r="K473" s="127" t="n"/>
      <c r="L473" s="127" t="n"/>
    </row>
    <row r="474" ht="21" customHeight="1">
      <c r="A474" s="1" t="n"/>
      <c r="B474" s="1" t="n"/>
      <c r="C474" s="2" t="n"/>
      <c r="E474" s="130">
        <f>IF($F474="","","MVT-"&amp;TEXT(ROW()-6,"0000"))</f>
        <v/>
      </c>
      <c r="F474" s="134" t="n"/>
      <c r="G474" s="127" t="n"/>
      <c r="H474" s="130">
        <f>IF($G474="","",IFERROR(INDEX(FOU_Article,MATCH($G474,FOU_Code,0)),"⚠ Code inconnu"))</f>
        <v/>
      </c>
      <c r="I474" s="127" t="n"/>
      <c r="J474" s="128" t="n"/>
      <c r="K474" s="127" t="n"/>
      <c r="L474" s="127" t="n"/>
    </row>
    <row r="475" ht="21" customHeight="1">
      <c r="A475" s="1" t="n"/>
      <c r="B475" s="1" t="n"/>
      <c r="C475" s="2" t="n"/>
      <c r="E475" s="130">
        <f>IF($F475="","","MVT-"&amp;TEXT(ROW()-6,"0000"))</f>
        <v/>
      </c>
      <c r="F475" s="134" t="n"/>
      <c r="G475" s="127" t="n"/>
      <c r="H475" s="130">
        <f>IF($G475="","",IFERROR(INDEX(FOU_Article,MATCH($G475,FOU_Code,0)),"⚠ Code inconnu"))</f>
        <v/>
      </c>
      <c r="I475" s="127" t="n"/>
      <c r="J475" s="128" t="n"/>
      <c r="K475" s="127" t="n"/>
      <c r="L475" s="127" t="n"/>
    </row>
    <row r="476" ht="21" customHeight="1">
      <c r="A476" s="1" t="n"/>
      <c r="B476" s="1" t="n"/>
      <c r="C476" s="2" t="n"/>
      <c r="E476" s="130">
        <f>IF($F476="","","MVT-"&amp;TEXT(ROW()-6,"0000"))</f>
        <v/>
      </c>
      <c r="F476" s="134" t="n"/>
      <c r="G476" s="127" t="n"/>
      <c r="H476" s="130">
        <f>IF($G476="","",IFERROR(INDEX(FOU_Article,MATCH($G476,FOU_Code,0)),"⚠ Code inconnu"))</f>
        <v/>
      </c>
      <c r="I476" s="127" t="n"/>
      <c r="J476" s="128" t="n"/>
      <c r="K476" s="127" t="n"/>
      <c r="L476" s="127" t="n"/>
    </row>
    <row r="477" ht="21" customHeight="1">
      <c r="A477" s="1" t="n"/>
      <c r="B477" s="1" t="n"/>
      <c r="C477" s="2" t="n"/>
      <c r="E477" s="130">
        <f>IF($F477="","","MVT-"&amp;TEXT(ROW()-6,"0000"))</f>
        <v/>
      </c>
      <c r="F477" s="134" t="n"/>
      <c r="G477" s="127" t="n"/>
      <c r="H477" s="130">
        <f>IF($G477="","",IFERROR(INDEX(FOU_Article,MATCH($G477,FOU_Code,0)),"⚠ Code inconnu"))</f>
        <v/>
      </c>
      <c r="I477" s="127" t="n"/>
      <c r="J477" s="128" t="n"/>
      <c r="K477" s="127" t="n"/>
      <c r="L477" s="127" t="n"/>
    </row>
    <row r="478" ht="21" customHeight="1">
      <c r="A478" s="1" t="n"/>
      <c r="B478" s="1" t="n"/>
      <c r="C478" s="2" t="n"/>
      <c r="E478" s="130">
        <f>IF($F478="","","MVT-"&amp;TEXT(ROW()-6,"0000"))</f>
        <v/>
      </c>
      <c r="F478" s="134" t="n"/>
      <c r="G478" s="127" t="n"/>
      <c r="H478" s="130">
        <f>IF($G478="","",IFERROR(INDEX(FOU_Article,MATCH($G478,FOU_Code,0)),"⚠ Code inconnu"))</f>
        <v/>
      </c>
      <c r="I478" s="127" t="n"/>
      <c r="J478" s="128" t="n"/>
      <c r="K478" s="127" t="n"/>
      <c r="L478" s="127" t="n"/>
    </row>
    <row r="479" ht="21" customHeight="1">
      <c r="A479" s="1" t="n"/>
      <c r="B479" s="1" t="n"/>
      <c r="C479" s="2" t="n"/>
      <c r="E479" s="130">
        <f>IF($F479="","","MVT-"&amp;TEXT(ROW()-6,"0000"))</f>
        <v/>
      </c>
      <c r="F479" s="134" t="n"/>
      <c r="G479" s="127" t="n"/>
      <c r="H479" s="130">
        <f>IF($G479="","",IFERROR(INDEX(FOU_Article,MATCH($G479,FOU_Code,0)),"⚠ Code inconnu"))</f>
        <v/>
      </c>
      <c r="I479" s="127" t="n"/>
      <c r="J479" s="128" t="n"/>
      <c r="K479" s="127" t="n"/>
      <c r="L479" s="127" t="n"/>
    </row>
    <row r="480" ht="21" customHeight="1">
      <c r="A480" s="1" t="n"/>
      <c r="B480" s="1" t="n"/>
      <c r="C480" s="2" t="n"/>
      <c r="E480" s="130">
        <f>IF($F480="","","MVT-"&amp;TEXT(ROW()-6,"0000"))</f>
        <v/>
      </c>
      <c r="F480" s="134" t="n"/>
      <c r="G480" s="127" t="n"/>
      <c r="H480" s="130">
        <f>IF($G480="","",IFERROR(INDEX(FOU_Article,MATCH($G480,FOU_Code,0)),"⚠ Code inconnu"))</f>
        <v/>
      </c>
      <c r="I480" s="127" t="n"/>
      <c r="J480" s="128" t="n"/>
      <c r="K480" s="127" t="n"/>
      <c r="L480" s="127" t="n"/>
    </row>
    <row r="481" ht="21" customHeight="1">
      <c r="A481" s="1" t="n"/>
      <c r="B481" s="1" t="n"/>
      <c r="C481" s="2" t="n"/>
      <c r="E481" s="130">
        <f>IF($F481="","","MVT-"&amp;TEXT(ROW()-6,"0000"))</f>
        <v/>
      </c>
      <c r="F481" s="134" t="n"/>
      <c r="G481" s="127" t="n"/>
      <c r="H481" s="130">
        <f>IF($G481="","",IFERROR(INDEX(FOU_Article,MATCH($G481,FOU_Code,0)),"⚠ Code inconnu"))</f>
        <v/>
      </c>
      <c r="I481" s="127" t="n"/>
      <c r="J481" s="128" t="n"/>
      <c r="K481" s="127" t="n"/>
      <c r="L481" s="127" t="n"/>
    </row>
    <row r="482" ht="21" customHeight="1">
      <c r="A482" s="1" t="n"/>
      <c r="B482" s="1" t="n"/>
      <c r="C482" s="2" t="n"/>
      <c r="E482" s="130">
        <f>IF($F482="","","MVT-"&amp;TEXT(ROW()-6,"0000"))</f>
        <v/>
      </c>
      <c r="F482" s="134" t="n"/>
      <c r="G482" s="127" t="n"/>
      <c r="H482" s="130">
        <f>IF($G482="","",IFERROR(INDEX(FOU_Article,MATCH($G482,FOU_Code,0)),"⚠ Code inconnu"))</f>
        <v/>
      </c>
      <c r="I482" s="127" t="n"/>
      <c r="J482" s="128" t="n"/>
      <c r="K482" s="127" t="n"/>
      <c r="L482" s="127" t="n"/>
    </row>
    <row r="483" ht="21" customHeight="1">
      <c r="A483" s="1" t="n"/>
      <c r="B483" s="1" t="n"/>
      <c r="C483" s="2" t="n"/>
      <c r="E483" s="130">
        <f>IF($F483="","","MVT-"&amp;TEXT(ROW()-6,"0000"))</f>
        <v/>
      </c>
      <c r="F483" s="134" t="n"/>
      <c r="G483" s="127" t="n"/>
      <c r="H483" s="130">
        <f>IF($G483="","",IFERROR(INDEX(FOU_Article,MATCH($G483,FOU_Code,0)),"⚠ Code inconnu"))</f>
        <v/>
      </c>
      <c r="I483" s="127" t="n"/>
      <c r="J483" s="128" t="n"/>
      <c r="K483" s="127" t="n"/>
      <c r="L483" s="127" t="n"/>
    </row>
    <row r="484" ht="21" customHeight="1">
      <c r="A484" s="1" t="n"/>
      <c r="B484" s="1" t="n"/>
      <c r="C484" s="2" t="n"/>
      <c r="E484" s="130">
        <f>IF($F484="","","MVT-"&amp;TEXT(ROW()-6,"0000"))</f>
        <v/>
      </c>
      <c r="F484" s="134" t="n"/>
      <c r="G484" s="127" t="n"/>
      <c r="H484" s="130">
        <f>IF($G484="","",IFERROR(INDEX(FOU_Article,MATCH($G484,FOU_Code,0)),"⚠ Code inconnu"))</f>
        <v/>
      </c>
      <c r="I484" s="127" t="n"/>
      <c r="J484" s="128" t="n"/>
      <c r="K484" s="127" t="n"/>
      <c r="L484" s="127" t="n"/>
    </row>
    <row r="485" ht="21" customHeight="1">
      <c r="A485" s="1" t="n"/>
      <c r="B485" s="1" t="n"/>
      <c r="C485" s="2" t="n"/>
      <c r="E485" s="130">
        <f>IF($F485="","","MVT-"&amp;TEXT(ROW()-6,"0000"))</f>
        <v/>
      </c>
      <c r="F485" s="134" t="n"/>
      <c r="G485" s="127" t="n"/>
      <c r="H485" s="130">
        <f>IF($G485="","",IFERROR(INDEX(FOU_Article,MATCH($G485,FOU_Code,0)),"⚠ Code inconnu"))</f>
        <v/>
      </c>
      <c r="I485" s="127" t="n"/>
      <c r="J485" s="128" t="n"/>
      <c r="K485" s="127" t="n"/>
      <c r="L485" s="127" t="n"/>
    </row>
    <row r="486" ht="21" customHeight="1">
      <c r="A486" s="1" t="n"/>
      <c r="B486" s="1" t="n"/>
      <c r="C486" s="2" t="n"/>
      <c r="E486" s="130">
        <f>IF($F486="","","MVT-"&amp;TEXT(ROW()-6,"0000"))</f>
        <v/>
      </c>
      <c r="F486" s="134" t="n"/>
      <c r="G486" s="127" t="n"/>
      <c r="H486" s="130">
        <f>IF($G486="","",IFERROR(INDEX(FOU_Article,MATCH($G486,FOU_Code,0)),"⚠ Code inconnu"))</f>
        <v/>
      </c>
      <c r="I486" s="127" t="n"/>
      <c r="J486" s="128" t="n"/>
      <c r="K486" s="127" t="n"/>
      <c r="L486" s="127" t="n"/>
    </row>
    <row r="487" ht="21" customHeight="1">
      <c r="A487" s="1" t="n"/>
      <c r="B487" s="1" t="n"/>
      <c r="C487" s="2" t="n"/>
      <c r="E487" s="130">
        <f>IF($F487="","","MVT-"&amp;TEXT(ROW()-6,"0000"))</f>
        <v/>
      </c>
      <c r="F487" s="134" t="n"/>
      <c r="G487" s="127" t="n"/>
      <c r="H487" s="130">
        <f>IF($G487="","",IFERROR(INDEX(FOU_Article,MATCH($G487,FOU_Code,0)),"⚠ Code inconnu"))</f>
        <v/>
      </c>
      <c r="I487" s="127" t="n"/>
      <c r="J487" s="128" t="n"/>
      <c r="K487" s="127" t="n"/>
      <c r="L487" s="127" t="n"/>
    </row>
    <row r="488" ht="21" customHeight="1">
      <c r="A488" s="1" t="n"/>
      <c r="B488" s="1" t="n"/>
      <c r="C488" s="2" t="n"/>
      <c r="E488" s="130">
        <f>IF($F488="","","MVT-"&amp;TEXT(ROW()-6,"0000"))</f>
        <v/>
      </c>
      <c r="F488" s="134" t="n"/>
      <c r="G488" s="127" t="n"/>
      <c r="H488" s="130">
        <f>IF($G488="","",IFERROR(INDEX(FOU_Article,MATCH($G488,FOU_Code,0)),"⚠ Code inconnu"))</f>
        <v/>
      </c>
      <c r="I488" s="127" t="n"/>
      <c r="J488" s="128" t="n"/>
      <c r="K488" s="127" t="n"/>
      <c r="L488" s="127" t="n"/>
    </row>
    <row r="489" ht="21" customHeight="1">
      <c r="A489" s="1" t="n"/>
      <c r="B489" s="1" t="n"/>
      <c r="C489" s="2" t="n"/>
      <c r="E489" s="130">
        <f>IF($F489="","","MVT-"&amp;TEXT(ROW()-6,"0000"))</f>
        <v/>
      </c>
      <c r="F489" s="134" t="n"/>
      <c r="G489" s="127" t="n"/>
      <c r="H489" s="130">
        <f>IF($G489="","",IFERROR(INDEX(FOU_Article,MATCH($G489,FOU_Code,0)),"⚠ Code inconnu"))</f>
        <v/>
      </c>
      <c r="I489" s="127" t="n"/>
      <c r="J489" s="128" t="n"/>
      <c r="K489" s="127" t="n"/>
      <c r="L489" s="127" t="n"/>
    </row>
    <row r="490" ht="21" customHeight="1">
      <c r="A490" s="1" t="n"/>
      <c r="B490" s="1" t="n"/>
      <c r="C490" s="2" t="n"/>
      <c r="E490" s="130">
        <f>IF($F490="","","MVT-"&amp;TEXT(ROW()-6,"0000"))</f>
        <v/>
      </c>
      <c r="F490" s="134" t="n"/>
      <c r="G490" s="127" t="n"/>
      <c r="H490" s="130">
        <f>IF($G490="","",IFERROR(INDEX(FOU_Article,MATCH($G490,FOU_Code,0)),"⚠ Code inconnu"))</f>
        <v/>
      </c>
      <c r="I490" s="127" t="n"/>
      <c r="J490" s="128" t="n"/>
      <c r="K490" s="127" t="n"/>
      <c r="L490" s="127" t="n"/>
    </row>
    <row r="491" ht="21" customHeight="1">
      <c r="A491" s="1" t="n"/>
      <c r="B491" s="1" t="n"/>
      <c r="C491" s="2" t="n"/>
      <c r="E491" s="130">
        <f>IF($F491="","","MVT-"&amp;TEXT(ROW()-6,"0000"))</f>
        <v/>
      </c>
      <c r="F491" s="134" t="n"/>
      <c r="G491" s="127" t="n"/>
      <c r="H491" s="130">
        <f>IF($G491="","",IFERROR(INDEX(FOU_Article,MATCH($G491,FOU_Code,0)),"⚠ Code inconnu"))</f>
        <v/>
      </c>
      <c r="I491" s="127" t="n"/>
      <c r="J491" s="128" t="n"/>
      <c r="K491" s="127" t="n"/>
      <c r="L491" s="127" t="n"/>
    </row>
    <row r="492" ht="21" customHeight="1">
      <c r="A492" s="1" t="n"/>
      <c r="B492" s="1" t="n"/>
      <c r="C492" s="2" t="n"/>
      <c r="E492" s="130">
        <f>IF($F492="","","MVT-"&amp;TEXT(ROW()-6,"0000"))</f>
        <v/>
      </c>
      <c r="F492" s="134" t="n"/>
      <c r="G492" s="127" t="n"/>
      <c r="H492" s="130">
        <f>IF($G492="","",IFERROR(INDEX(FOU_Article,MATCH($G492,FOU_Code,0)),"⚠ Code inconnu"))</f>
        <v/>
      </c>
      <c r="I492" s="127" t="n"/>
      <c r="J492" s="128" t="n"/>
      <c r="K492" s="127" t="n"/>
      <c r="L492" s="127" t="n"/>
    </row>
    <row r="493" ht="21" customHeight="1">
      <c r="A493" s="1" t="n"/>
      <c r="B493" s="1" t="n"/>
      <c r="C493" s="2" t="n"/>
      <c r="E493" s="130">
        <f>IF($F493="","","MVT-"&amp;TEXT(ROW()-6,"0000"))</f>
        <v/>
      </c>
      <c r="F493" s="134" t="n"/>
      <c r="G493" s="127" t="n"/>
      <c r="H493" s="130">
        <f>IF($G493="","",IFERROR(INDEX(FOU_Article,MATCH($G493,FOU_Code,0)),"⚠ Code inconnu"))</f>
        <v/>
      </c>
      <c r="I493" s="127" t="n"/>
      <c r="J493" s="128" t="n"/>
      <c r="K493" s="127" t="n"/>
      <c r="L493" s="127" t="n"/>
    </row>
    <row r="494" ht="21" customHeight="1">
      <c r="A494" s="1" t="n"/>
      <c r="B494" s="1" t="n"/>
      <c r="C494" s="2" t="n"/>
      <c r="E494" s="130">
        <f>IF($F494="","","MVT-"&amp;TEXT(ROW()-6,"0000"))</f>
        <v/>
      </c>
      <c r="F494" s="134" t="n"/>
      <c r="G494" s="127" t="n"/>
      <c r="H494" s="130">
        <f>IF($G494="","",IFERROR(INDEX(FOU_Article,MATCH($G494,FOU_Code,0)),"⚠ Code inconnu"))</f>
        <v/>
      </c>
      <c r="I494" s="127" t="n"/>
      <c r="J494" s="128" t="n"/>
      <c r="K494" s="127" t="n"/>
      <c r="L494" s="127" t="n"/>
    </row>
    <row r="495" ht="21" customHeight="1">
      <c r="A495" s="1" t="n"/>
      <c r="B495" s="1" t="n"/>
      <c r="C495" s="2" t="n"/>
      <c r="E495" s="130">
        <f>IF($F495="","","MVT-"&amp;TEXT(ROW()-6,"0000"))</f>
        <v/>
      </c>
      <c r="F495" s="134" t="n"/>
      <c r="G495" s="127" t="n"/>
      <c r="H495" s="130">
        <f>IF($G495="","",IFERROR(INDEX(FOU_Article,MATCH($G495,FOU_Code,0)),"⚠ Code inconnu"))</f>
        <v/>
      </c>
      <c r="I495" s="127" t="n"/>
      <c r="J495" s="128" t="n"/>
      <c r="K495" s="127" t="n"/>
      <c r="L495" s="127" t="n"/>
    </row>
    <row r="496" ht="21" customHeight="1">
      <c r="A496" s="1" t="n"/>
      <c r="B496" s="1" t="n"/>
      <c r="C496" s="2" t="n"/>
      <c r="E496" s="130">
        <f>IF($F496="","","MVT-"&amp;TEXT(ROW()-6,"0000"))</f>
        <v/>
      </c>
      <c r="F496" s="134" t="n"/>
      <c r="G496" s="127" t="n"/>
      <c r="H496" s="130">
        <f>IF($G496="","",IFERROR(INDEX(FOU_Article,MATCH($G496,FOU_Code,0)),"⚠ Code inconnu"))</f>
        <v/>
      </c>
      <c r="I496" s="127" t="n"/>
      <c r="J496" s="128" t="n"/>
      <c r="K496" s="127" t="n"/>
      <c r="L496" s="127" t="n"/>
    </row>
    <row r="497" ht="21" customHeight="1">
      <c r="A497" s="1" t="n"/>
      <c r="B497" s="1" t="n"/>
      <c r="C497" s="2" t="n"/>
      <c r="E497" s="130">
        <f>IF($F497="","","MVT-"&amp;TEXT(ROW()-6,"0000"))</f>
        <v/>
      </c>
      <c r="F497" s="134" t="n"/>
      <c r="G497" s="127" t="n"/>
      <c r="H497" s="130">
        <f>IF($G497="","",IFERROR(INDEX(FOU_Article,MATCH($G497,FOU_Code,0)),"⚠ Code inconnu"))</f>
        <v/>
      </c>
      <c r="I497" s="127" t="n"/>
      <c r="J497" s="128" t="n"/>
      <c r="K497" s="127" t="n"/>
      <c r="L497" s="127" t="n"/>
    </row>
    <row r="498" ht="21" customHeight="1">
      <c r="A498" s="1" t="n"/>
      <c r="B498" s="1" t="n"/>
      <c r="C498" s="2" t="n"/>
      <c r="E498" s="130">
        <f>IF($F498="","","MVT-"&amp;TEXT(ROW()-6,"0000"))</f>
        <v/>
      </c>
      <c r="F498" s="134" t="n"/>
      <c r="G498" s="127" t="n"/>
      <c r="H498" s="130">
        <f>IF($G498="","",IFERROR(INDEX(FOU_Article,MATCH($G498,FOU_Code,0)),"⚠ Code inconnu"))</f>
        <v/>
      </c>
      <c r="I498" s="127" t="n"/>
      <c r="J498" s="128" t="n"/>
      <c r="K498" s="127" t="n"/>
      <c r="L498" s="127" t="n"/>
    </row>
    <row r="499" ht="21" customHeight="1">
      <c r="A499" s="1" t="n"/>
      <c r="B499" s="1" t="n"/>
      <c r="C499" s="2" t="n"/>
      <c r="E499" s="130">
        <f>IF($F499="","","MVT-"&amp;TEXT(ROW()-6,"0000"))</f>
        <v/>
      </c>
      <c r="F499" s="134" t="n"/>
      <c r="G499" s="127" t="n"/>
      <c r="H499" s="130">
        <f>IF($G499="","",IFERROR(INDEX(FOU_Article,MATCH($G499,FOU_Code,0)),"⚠ Code inconnu"))</f>
        <v/>
      </c>
      <c r="I499" s="127" t="n"/>
      <c r="J499" s="128" t="n"/>
      <c r="K499" s="127" t="n"/>
      <c r="L499" s="127" t="n"/>
    </row>
    <row r="500" ht="21" customHeight="1">
      <c r="A500" s="1" t="n"/>
      <c r="B500" s="1" t="n"/>
      <c r="C500" s="2" t="n"/>
      <c r="E500" s="130">
        <f>IF($F500="","","MVT-"&amp;TEXT(ROW()-6,"0000"))</f>
        <v/>
      </c>
      <c r="F500" s="134" t="n"/>
      <c r="G500" s="127" t="n"/>
      <c r="H500" s="130">
        <f>IF($G500="","",IFERROR(INDEX(FOU_Article,MATCH($G500,FOU_Code,0)),"⚠ Code inconnu"))</f>
        <v/>
      </c>
      <c r="I500" s="127" t="n"/>
      <c r="J500" s="128" t="n"/>
      <c r="K500" s="127" t="n"/>
      <c r="L500" s="127" t="n"/>
    </row>
    <row r="501" ht="21" customHeight="1">
      <c r="A501" s="1" t="n"/>
      <c r="B501" s="1" t="n"/>
      <c r="C501" s="2" t="n"/>
      <c r="E501" s="130">
        <f>IF($F501="","","MVT-"&amp;TEXT(ROW()-6,"0000"))</f>
        <v/>
      </c>
      <c r="F501" s="134" t="n"/>
      <c r="G501" s="127" t="n"/>
      <c r="H501" s="130">
        <f>IF($G501="","",IFERROR(INDEX(FOU_Article,MATCH($G501,FOU_Code,0)),"⚠ Code inconnu"))</f>
        <v/>
      </c>
      <c r="I501" s="127" t="n"/>
      <c r="J501" s="128" t="n"/>
      <c r="K501" s="127" t="n"/>
      <c r="L501" s="127" t="n"/>
    </row>
    <row r="502" ht="21" customHeight="1">
      <c r="A502" s="1" t="n"/>
      <c r="B502" s="1" t="n"/>
      <c r="C502" s="2" t="n"/>
      <c r="E502" s="130">
        <f>IF($F502="","","MVT-"&amp;TEXT(ROW()-6,"0000"))</f>
        <v/>
      </c>
      <c r="F502" s="134" t="n"/>
      <c r="G502" s="127" t="n"/>
      <c r="H502" s="130">
        <f>IF($G502="","",IFERROR(INDEX(FOU_Article,MATCH($G502,FOU_Code,0)),"⚠ Code inconnu"))</f>
        <v/>
      </c>
      <c r="I502" s="127" t="n"/>
      <c r="J502" s="128" t="n"/>
      <c r="K502" s="127" t="n"/>
      <c r="L502" s="127" t="n"/>
    </row>
    <row r="503" ht="21" customHeight="1">
      <c r="A503" s="1" t="n"/>
      <c r="B503" s="1" t="n"/>
      <c r="C503" s="2" t="n"/>
      <c r="E503" s="130">
        <f>IF($F503="","","MVT-"&amp;TEXT(ROW()-6,"0000"))</f>
        <v/>
      </c>
      <c r="F503" s="134" t="n"/>
      <c r="G503" s="127" t="n"/>
      <c r="H503" s="130">
        <f>IF($G503="","",IFERROR(INDEX(FOU_Article,MATCH($G503,FOU_Code,0)),"⚠ Code inconnu"))</f>
        <v/>
      </c>
      <c r="I503" s="127" t="n"/>
      <c r="J503" s="128" t="n"/>
      <c r="K503" s="127" t="n"/>
      <c r="L503" s="127" t="n"/>
    </row>
    <row r="504" ht="21" customHeight="1">
      <c r="A504" s="1" t="n"/>
      <c r="B504" s="1" t="n"/>
      <c r="C504" s="2" t="n"/>
      <c r="E504" s="130">
        <f>IF($F504="","","MVT-"&amp;TEXT(ROW()-6,"0000"))</f>
        <v/>
      </c>
      <c r="F504" s="134" t="n"/>
      <c r="G504" s="127" t="n"/>
      <c r="H504" s="130">
        <f>IF($G504="","",IFERROR(INDEX(FOU_Article,MATCH($G504,FOU_Code,0)),"⚠ Code inconnu"))</f>
        <v/>
      </c>
      <c r="I504" s="127" t="n"/>
      <c r="J504" s="128" t="n"/>
      <c r="K504" s="127" t="n"/>
      <c r="L504" s="127" t="n"/>
    </row>
    <row r="505" ht="21" customHeight="1">
      <c r="A505" s="1" t="n"/>
      <c r="B505" s="1" t="n"/>
      <c r="C505" s="2" t="n"/>
      <c r="E505" s="130">
        <f>IF($F505="","","MVT-"&amp;TEXT(ROW()-6,"0000"))</f>
        <v/>
      </c>
      <c r="F505" s="134" t="n"/>
      <c r="G505" s="127" t="n"/>
      <c r="H505" s="130">
        <f>IF($G505="","",IFERROR(INDEX(FOU_Article,MATCH($G505,FOU_Code,0)),"⚠ Code inconnu"))</f>
        <v/>
      </c>
      <c r="I505" s="127" t="n"/>
      <c r="J505" s="128" t="n"/>
      <c r="K505" s="127" t="n"/>
      <c r="L505" s="127" t="n"/>
    </row>
    <row r="506" ht="21" customHeight="1">
      <c r="A506" s="1" t="n"/>
      <c r="B506" s="1" t="n"/>
      <c r="C506" s="2" t="n"/>
      <c r="E506" s="130">
        <f>IF($F506="","","MVT-"&amp;TEXT(ROW()-6,"0000"))</f>
        <v/>
      </c>
      <c r="F506" s="134" t="n"/>
      <c r="G506" s="127" t="n"/>
      <c r="H506" s="130">
        <f>IF($G506="","",IFERROR(INDEX(FOU_Article,MATCH($G506,FOU_Code,0)),"⚠ Code inconnu"))</f>
        <v/>
      </c>
      <c r="I506" s="127" t="n"/>
      <c r="J506" s="128" t="n"/>
      <c r="K506" s="127" t="n"/>
      <c r="L506" s="127" t="n"/>
    </row>
    <row r="507" ht="21" customHeight="1">
      <c r="A507" s="1" t="n"/>
      <c r="B507" s="1" t="n"/>
      <c r="C507" s="2" t="n"/>
      <c r="E507" s="130">
        <f>IF($F507="","","MVT-"&amp;TEXT(ROW()-6,"0000"))</f>
        <v/>
      </c>
      <c r="F507" s="134" t="n"/>
      <c r="G507" s="127" t="n"/>
      <c r="H507" s="130">
        <f>IF($G507="","",IFERROR(INDEX(FOU_Article,MATCH($G507,FOU_Code,0)),"⚠ Code inconnu"))</f>
        <v/>
      </c>
      <c r="I507" s="127" t="n"/>
      <c r="J507" s="128" t="n"/>
      <c r="K507" s="127" t="n"/>
      <c r="L507" s="127" t="n"/>
    </row>
    <row r="508" ht="21" customHeight="1">
      <c r="A508" s="1" t="n"/>
      <c r="B508" s="1" t="n"/>
      <c r="C508" s="2" t="n"/>
      <c r="E508" s="130">
        <f>IF($F508="","","MVT-"&amp;TEXT(ROW()-6,"0000"))</f>
        <v/>
      </c>
      <c r="F508" s="134" t="n"/>
      <c r="G508" s="127" t="n"/>
      <c r="H508" s="130">
        <f>IF($G508="","",IFERROR(INDEX(FOU_Article,MATCH($G508,FOU_Code,0)),"⚠ Code inconnu"))</f>
        <v/>
      </c>
      <c r="I508" s="127" t="n"/>
      <c r="J508" s="128" t="n"/>
      <c r="K508" s="127" t="n"/>
      <c r="L508" s="127" t="n"/>
    </row>
    <row r="509" ht="21" customHeight="1">
      <c r="A509" s="1" t="n"/>
      <c r="B509" s="1" t="n"/>
      <c r="C509" s="2" t="n"/>
      <c r="E509" s="130">
        <f>IF($F509="","","MVT-"&amp;TEXT(ROW()-6,"0000"))</f>
        <v/>
      </c>
      <c r="F509" s="134" t="n"/>
      <c r="G509" s="127" t="n"/>
      <c r="H509" s="130">
        <f>IF($G509="","",IFERROR(INDEX(FOU_Article,MATCH($G509,FOU_Code,0)),"⚠ Code inconnu"))</f>
        <v/>
      </c>
      <c r="I509" s="127" t="n"/>
      <c r="J509" s="128" t="n"/>
      <c r="K509" s="127" t="n"/>
      <c r="L509" s="127" t="n"/>
    </row>
    <row r="510" ht="21" customHeight="1">
      <c r="A510" s="1" t="n"/>
      <c r="B510" s="1" t="n"/>
      <c r="C510" s="2" t="n"/>
      <c r="E510" s="130">
        <f>IF($F510="","","MVT-"&amp;TEXT(ROW()-6,"0000"))</f>
        <v/>
      </c>
      <c r="F510" s="134" t="n"/>
      <c r="G510" s="127" t="n"/>
      <c r="H510" s="130">
        <f>IF($G510="","",IFERROR(INDEX(FOU_Article,MATCH($G510,FOU_Code,0)),"⚠ Code inconnu"))</f>
        <v/>
      </c>
      <c r="I510" s="127" t="n"/>
      <c r="J510" s="128" t="n"/>
      <c r="K510" s="127" t="n"/>
      <c r="L510" s="127" t="n"/>
    </row>
    <row r="511" ht="21" customHeight="1">
      <c r="A511" s="1" t="n"/>
      <c r="B511" s="1" t="n"/>
      <c r="C511" s="2" t="n"/>
      <c r="E511" s="130">
        <f>IF($F511="","","MVT-"&amp;TEXT(ROW()-6,"0000"))</f>
        <v/>
      </c>
      <c r="F511" s="134" t="n"/>
      <c r="G511" s="127" t="n"/>
      <c r="H511" s="130">
        <f>IF($G511="","",IFERROR(INDEX(FOU_Article,MATCH($G511,FOU_Code,0)),"⚠ Code inconnu"))</f>
        <v/>
      </c>
      <c r="I511" s="127" t="n"/>
      <c r="J511" s="128" t="n"/>
      <c r="K511" s="127" t="n"/>
      <c r="L511" s="127" t="n"/>
    </row>
    <row r="512" ht="21" customHeight="1">
      <c r="A512" s="1" t="n"/>
      <c r="B512" s="1" t="n"/>
      <c r="C512" s="2" t="n"/>
      <c r="E512" s="130">
        <f>IF($F512="","","MVT-"&amp;TEXT(ROW()-6,"0000"))</f>
        <v/>
      </c>
      <c r="F512" s="134" t="n"/>
      <c r="G512" s="127" t="n"/>
      <c r="H512" s="130">
        <f>IF($G512="","",IFERROR(INDEX(FOU_Article,MATCH($G512,FOU_Code,0)),"⚠ Code inconnu"))</f>
        <v/>
      </c>
      <c r="I512" s="127" t="n"/>
      <c r="J512" s="128" t="n"/>
      <c r="K512" s="127" t="n"/>
      <c r="L512" s="127" t="n"/>
    </row>
    <row r="513" ht="21" customHeight="1">
      <c r="A513" s="1" t="n"/>
      <c r="B513" s="1" t="n"/>
      <c r="C513" s="2" t="n"/>
      <c r="E513" s="130">
        <f>IF($F513="","","MVT-"&amp;TEXT(ROW()-6,"0000"))</f>
        <v/>
      </c>
      <c r="F513" s="134" t="n"/>
      <c r="G513" s="127" t="n"/>
      <c r="H513" s="130">
        <f>IF($G513="","",IFERROR(INDEX(FOU_Article,MATCH($G513,FOU_Code,0)),"⚠ Code inconnu"))</f>
        <v/>
      </c>
      <c r="I513" s="127" t="n"/>
      <c r="J513" s="128" t="n"/>
      <c r="K513" s="127" t="n"/>
      <c r="L513" s="127" t="n"/>
    </row>
    <row r="514" ht="21" customHeight="1">
      <c r="A514" s="1" t="n"/>
      <c r="B514" s="1" t="n"/>
      <c r="C514" s="2" t="n"/>
      <c r="E514" s="130">
        <f>IF($F514="","","MVT-"&amp;TEXT(ROW()-6,"0000"))</f>
        <v/>
      </c>
      <c r="F514" s="134" t="n"/>
      <c r="G514" s="127" t="n"/>
      <c r="H514" s="130">
        <f>IF($G514="","",IFERROR(INDEX(FOU_Article,MATCH($G514,FOU_Code,0)),"⚠ Code inconnu"))</f>
        <v/>
      </c>
      <c r="I514" s="127" t="n"/>
      <c r="J514" s="128" t="n"/>
      <c r="K514" s="127" t="n"/>
      <c r="L514" s="127" t="n"/>
    </row>
    <row r="515" ht="21" customHeight="1">
      <c r="A515" s="1" t="n"/>
      <c r="B515" s="1" t="n"/>
      <c r="C515" s="2" t="n"/>
      <c r="E515" s="130">
        <f>IF($F515="","","MVT-"&amp;TEXT(ROW()-6,"0000"))</f>
        <v/>
      </c>
      <c r="F515" s="134" t="n"/>
      <c r="G515" s="127" t="n"/>
      <c r="H515" s="130">
        <f>IF($G515="","",IFERROR(INDEX(FOU_Article,MATCH($G515,FOU_Code,0)),"⚠ Code inconnu"))</f>
        <v/>
      </c>
      <c r="I515" s="127" t="n"/>
      <c r="J515" s="128" t="n"/>
      <c r="K515" s="127" t="n"/>
      <c r="L515" s="127" t="n"/>
    </row>
    <row r="516" ht="21" customHeight="1">
      <c r="A516" s="1" t="n"/>
      <c r="B516" s="1" t="n"/>
      <c r="C516" s="2" t="n"/>
      <c r="E516" s="130">
        <f>IF($F516="","","MVT-"&amp;TEXT(ROW()-6,"0000"))</f>
        <v/>
      </c>
      <c r="F516" s="134" t="n"/>
      <c r="G516" s="127" t="n"/>
      <c r="H516" s="130">
        <f>IF($G516="","",IFERROR(INDEX(FOU_Article,MATCH($G516,FOU_Code,0)),"⚠ Code inconnu"))</f>
        <v/>
      </c>
      <c r="I516" s="127" t="n"/>
      <c r="J516" s="128" t="n"/>
      <c r="K516" s="127" t="n"/>
      <c r="L516" s="127" t="n"/>
    </row>
    <row r="517" ht="21" customHeight="1">
      <c r="A517" s="1" t="n"/>
      <c r="B517" s="1" t="n"/>
      <c r="C517" s="2" t="n"/>
      <c r="E517" s="130">
        <f>IF($F517="","","MVT-"&amp;TEXT(ROW()-6,"0000"))</f>
        <v/>
      </c>
      <c r="F517" s="134" t="n"/>
      <c r="G517" s="127" t="n"/>
      <c r="H517" s="130">
        <f>IF($G517="","",IFERROR(INDEX(FOU_Article,MATCH($G517,FOU_Code,0)),"⚠ Code inconnu"))</f>
        <v/>
      </c>
      <c r="I517" s="127" t="n"/>
      <c r="J517" s="128" t="n"/>
      <c r="K517" s="127" t="n"/>
      <c r="L517" s="127" t="n"/>
    </row>
    <row r="518" ht="21" customHeight="1">
      <c r="A518" s="1" t="n"/>
      <c r="B518" s="1" t="n"/>
      <c r="C518" s="2" t="n"/>
      <c r="E518" s="130">
        <f>IF($F518="","","MVT-"&amp;TEXT(ROW()-6,"0000"))</f>
        <v/>
      </c>
      <c r="F518" s="134" t="n"/>
      <c r="G518" s="127" t="n"/>
      <c r="H518" s="130">
        <f>IF($G518="","",IFERROR(INDEX(FOU_Article,MATCH($G518,FOU_Code,0)),"⚠ Code inconnu"))</f>
        <v/>
      </c>
      <c r="I518" s="127" t="n"/>
      <c r="J518" s="128" t="n"/>
      <c r="K518" s="127" t="n"/>
      <c r="L518" s="127" t="n"/>
    </row>
    <row r="519" ht="21" customHeight="1">
      <c r="A519" s="1" t="n"/>
      <c r="B519" s="1" t="n"/>
      <c r="C519" s="2" t="n"/>
      <c r="E519" s="130">
        <f>IF($F519="","","MVT-"&amp;TEXT(ROW()-6,"0000"))</f>
        <v/>
      </c>
      <c r="F519" s="134" t="n"/>
      <c r="G519" s="127" t="n"/>
      <c r="H519" s="130">
        <f>IF($G519="","",IFERROR(INDEX(FOU_Article,MATCH($G519,FOU_Code,0)),"⚠ Code inconnu"))</f>
        <v/>
      </c>
      <c r="I519" s="127" t="n"/>
      <c r="J519" s="128" t="n"/>
      <c r="K519" s="127" t="n"/>
      <c r="L519" s="127" t="n"/>
    </row>
    <row r="520" ht="21" customHeight="1">
      <c r="A520" s="1" t="n"/>
      <c r="B520" s="1" t="n"/>
      <c r="C520" s="2" t="n"/>
      <c r="E520" s="130">
        <f>IF($F520="","","MVT-"&amp;TEXT(ROW()-6,"0000"))</f>
        <v/>
      </c>
      <c r="F520" s="134" t="n"/>
      <c r="G520" s="127" t="n"/>
      <c r="H520" s="130">
        <f>IF($G520="","",IFERROR(INDEX(FOU_Article,MATCH($G520,FOU_Code,0)),"⚠ Code inconnu"))</f>
        <v/>
      </c>
      <c r="I520" s="127" t="n"/>
      <c r="J520" s="128" t="n"/>
      <c r="K520" s="127" t="n"/>
      <c r="L520" s="127" t="n"/>
    </row>
    <row r="521" ht="21" customHeight="1">
      <c r="A521" s="1" t="n"/>
      <c r="B521" s="1" t="n"/>
      <c r="C521" s="2" t="n"/>
      <c r="E521" s="130">
        <f>IF($F521="","","MVT-"&amp;TEXT(ROW()-6,"0000"))</f>
        <v/>
      </c>
      <c r="F521" s="134" t="n"/>
      <c r="G521" s="127" t="n"/>
      <c r="H521" s="130">
        <f>IF($G521="","",IFERROR(INDEX(FOU_Article,MATCH($G521,FOU_Code,0)),"⚠ Code inconnu"))</f>
        <v/>
      </c>
      <c r="I521" s="127" t="n"/>
      <c r="J521" s="128" t="n"/>
      <c r="K521" s="127" t="n"/>
      <c r="L521" s="127" t="n"/>
    </row>
    <row r="522" ht="21" customHeight="1">
      <c r="A522" s="1" t="n"/>
      <c r="B522" s="1" t="n"/>
      <c r="C522" s="2" t="n"/>
      <c r="E522" s="130">
        <f>IF($F522="","","MVT-"&amp;TEXT(ROW()-6,"0000"))</f>
        <v/>
      </c>
      <c r="F522" s="134" t="n"/>
      <c r="G522" s="127" t="n"/>
      <c r="H522" s="130">
        <f>IF($G522="","",IFERROR(INDEX(FOU_Article,MATCH($G522,FOU_Code,0)),"⚠ Code inconnu"))</f>
        <v/>
      </c>
      <c r="I522" s="127" t="n"/>
      <c r="J522" s="128" t="n"/>
      <c r="K522" s="127" t="n"/>
      <c r="L522" s="127" t="n"/>
    </row>
    <row r="523" ht="21" customHeight="1">
      <c r="A523" s="1" t="n"/>
      <c r="B523" s="1" t="n"/>
      <c r="C523" s="2" t="n"/>
      <c r="E523" s="130">
        <f>IF($F523="","","MVT-"&amp;TEXT(ROW()-6,"0000"))</f>
        <v/>
      </c>
      <c r="F523" s="134" t="n"/>
      <c r="G523" s="127" t="n"/>
      <c r="H523" s="130">
        <f>IF($G523="","",IFERROR(INDEX(FOU_Article,MATCH($G523,FOU_Code,0)),"⚠ Code inconnu"))</f>
        <v/>
      </c>
      <c r="I523" s="127" t="n"/>
      <c r="J523" s="128" t="n"/>
      <c r="K523" s="127" t="n"/>
      <c r="L523" s="127" t="n"/>
    </row>
    <row r="524" ht="21" customHeight="1">
      <c r="A524" s="1" t="n"/>
      <c r="B524" s="1" t="n"/>
      <c r="C524" s="2" t="n"/>
      <c r="E524" s="130">
        <f>IF($F524="","","MVT-"&amp;TEXT(ROW()-6,"0000"))</f>
        <v/>
      </c>
      <c r="F524" s="134" t="n"/>
      <c r="G524" s="127" t="n"/>
      <c r="H524" s="130">
        <f>IF($G524="","",IFERROR(INDEX(FOU_Article,MATCH($G524,FOU_Code,0)),"⚠ Code inconnu"))</f>
        <v/>
      </c>
      <c r="I524" s="127" t="n"/>
      <c r="J524" s="128" t="n"/>
      <c r="K524" s="127" t="n"/>
      <c r="L524" s="127" t="n"/>
    </row>
    <row r="525" ht="21" customHeight="1">
      <c r="A525" s="1" t="n"/>
      <c r="B525" s="1" t="n"/>
      <c r="C525" s="2" t="n"/>
      <c r="E525" s="130">
        <f>IF($F525="","","MVT-"&amp;TEXT(ROW()-6,"0000"))</f>
        <v/>
      </c>
      <c r="F525" s="134" t="n"/>
      <c r="G525" s="127" t="n"/>
      <c r="H525" s="130">
        <f>IF($G525="","",IFERROR(INDEX(FOU_Article,MATCH($G525,FOU_Code,0)),"⚠ Code inconnu"))</f>
        <v/>
      </c>
      <c r="I525" s="127" t="n"/>
      <c r="J525" s="128" t="n"/>
      <c r="K525" s="127" t="n"/>
      <c r="L525" s="127" t="n"/>
    </row>
    <row r="526" ht="21" customHeight="1">
      <c r="A526" s="1" t="n"/>
      <c r="B526" s="1" t="n"/>
      <c r="C526" s="2" t="n"/>
      <c r="E526" s="130">
        <f>IF($F526="","","MVT-"&amp;TEXT(ROW()-6,"0000"))</f>
        <v/>
      </c>
      <c r="F526" s="134" t="n"/>
      <c r="G526" s="127" t="n"/>
      <c r="H526" s="130">
        <f>IF($G526="","",IFERROR(INDEX(FOU_Article,MATCH($G526,FOU_Code,0)),"⚠ Code inconnu"))</f>
        <v/>
      </c>
      <c r="I526" s="127" t="n"/>
      <c r="J526" s="128" t="n"/>
      <c r="K526" s="127" t="n"/>
      <c r="L526" s="127" t="n"/>
    </row>
    <row r="527" ht="21" customHeight="1">
      <c r="A527" s="1" t="n"/>
      <c r="B527" s="1" t="n"/>
      <c r="C527" s="2" t="n"/>
      <c r="E527" s="130">
        <f>IF($F527="","","MVT-"&amp;TEXT(ROW()-6,"0000"))</f>
        <v/>
      </c>
      <c r="F527" s="134" t="n"/>
      <c r="G527" s="127" t="n"/>
      <c r="H527" s="130">
        <f>IF($G527="","",IFERROR(INDEX(FOU_Article,MATCH($G527,FOU_Code,0)),"⚠ Code inconnu"))</f>
        <v/>
      </c>
      <c r="I527" s="127" t="n"/>
      <c r="J527" s="128" t="n"/>
      <c r="K527" s="127" t="n"/>
      <c r="L527" s="127" t="n"/>
    </row>
    <row r="528" ht="21" customHeight="1">
      <c r="A528" s="1" t="n"/>
      <c r="B528" s="1" t="n"/>
      <c r="C528" s="2" t="n"/>
      <c r="E528" s="130">
        <f>IF($F528="","","MVT-"&amp;TEXT(ROW()-6,"0000"))</f>
        <v/>
      </c>
      <c r="F528" s="134" t="n"/>
      <c r="G528" s="127" t="n"/>
      <c r="H528" s="130">
        <f>IF($G528="","",IFERROR(INDEX(FOU_Article,MATCH($G528,FOU_Code,0)),"⚠ Code inconnu"))</f>
        <v/>
      </c>
      <c r="I528" s="127" t="n"/>
      <c r="J528" s="128" t="n"/>
      <c r="K528" s="127" t="n"/>
      <c r="L528" s="127" t="n"/>
    </row>
    <row r="529" ht="21" customHeight="1">
      <c r="A529" s="1" t="n"/>
      <c r="B529" s="1" t="n"/>
      <c r="C529" s="2" t="n"/>
      <c r="E529" s="130">
        <f>IF($F529="","","MVT-"&amp;TEXT(ROW()-6,"0000"))</f>
        <v/>
      </c>
      <c r="F529" s="134" t="n"/>
      <c r="G529" s="127" t="n"/>
      <c r="H529" s="130">
        <f>IF($G529="","",IFERROR(INDEX(FOU_Article,MATCH($G529,FOU_Code,0)),"⚠ Code inconnu"))</f>
        <v/>
      </c>
      <c r="I529" s="127" t="n"/>
      <c r="J529" s="128" t="n"/>
      <c r="K529" s="127" t="n"/>
      <c r="L529" s="127" t="n"/>
    </row>
    <row r="530" ht="21" customHeight="1">
      <c r="A530" s="1" t="n"/>
      <c r="B530" s="1" t="n"/>
      <c r="C530" s="2" t="n"/>
      <c r="E530" s="130">
        <f>IF($F530="","","MVT-"&amp;TEXT(ROW()-6,"0000"))</f>
        <v/>
      </c>
      <c r="F530" s="134" t="n"/>
      <c r="G530" s="127" t="n"/>
      <c r="H530" s="130">
        <f>IF($G530="","",IFERROR(INDEX(FOU_Article,MATCH($G530,FOU_Code,0)),"⚠ Code inconnu"))</f>
        <v/>
      </c>
      <c r="I530" s="127" t="n"/>
      <c r="J530" s="128" t="n"/>
      <c r="K530" s="127" t="n"/>
      <c r="L530" s="127" t="n"/>
    </row>
    <row r="531" ht="21" customHeight="1">
      <c r="A531" s="1" t="n"/>
      <c r="B531" s="1" t="n"/>
      <c r="C531" s="2" t="n"/>
      <c r="E531" s="130">
        <f>IF($F531="","","MVT-"&amp;TEXT(ROW()-6,"0000"))</f>
        <v/>
      </c>
      <c r="F531" s="134" t="n"/>
      <c r="G531" s="127" t="n"/>
      <c r="H531" s="130">
        <f>IF($G531="","",IFERROR(INDEX(FOU_Article,MATCH($G531,FOU_Code,0)),"⚠ Code inconnu"))</f>
        <v/>
      </c>
      <c r="I531" s="127" t="n"/>
      <c r="J531" s="128" t="n"/>
      <c r="K531" s="127" t="n"/>
      <c r="L531" s="127" t="n"/>
    </row>
    <row r="532" ht="21" customHeight="1">
      <c r="A532" s="1" t="n"/>
      <c r="B532" s="1" t="n"/>
      <c r="C532" s="2" t="n"/>
      <c r="E532" s="130">
        <f>IF($F532="","","MVT-"&amp;TEXT(ROW()-6,"0000"))</f>
        <v/>
      </c>
      <c r="F532" s="134" t="n"/>
      <c r="G532" s="127" t="n"/>
      <c r="H532" s="130">
        <f>IF($G532="","",IFERROR(INDEX(FOU_Article,MATCH($G532,FOU_Code,0)),"⚠ Code inconnu"))</f>
        <v/>
      </c>
      <c r="I532" s="127" t="n"/>
      <c r="J532" s="128" t="n"/>
      <c r="K532" s="127" t="n"/>
      <c r="L532" s="127" t="n"/>
    </row>
    <row r="533" ht="21" customHeight="1">
      <c r="A533" s="1" t="n"/>
      <c r="B533" s="1" t="n"/>
      <c r="C533" s="2" t="n"/>
      <c r="E533" s="130">
        <f>IF($F533="","","MVT-"&amp;TEXT(ROW()-6,"0000"))</f>
        <v/>
      </c>
      <c r="F533" s="134" t="n"/>
      <c r="G533" s="127" t="n"/>
      <c r="H533" s="130">
        <f>IF($G533="","",IFERROR(INDEX(FOU_Article,MATCH($G533,FOU_Code,0)),"⚠ Code inconnu"))</f>
        <v/>
      </c>
      <c r="I533" s="127" t="n"/>
      <c r="J533" s="128" t="n"/>
      <c r="K533" s="127" t="n"/>
      <c r="L533" s="127" t="n"/>
    </row>
    <row r="534" ht="21" customHeight="1">
      <c r="A534" s="1" t="n"/>
      <c r="B534" s="1" t="n"/>
      <c r="C534" s="2" t="n"/>
      <c r="E534" s="130">
        <f>IF($F534="","","MVT-"&amp;TEXT(ROW()-6,"0000"))</f>
        <v/>
      </c>
      <c r="F534" s="134" t="n"/>
      <c r="G534" s="127" t="n"/>
      <c r="H534" s="130">
        <f>IF($G534="","",IFERROR(INDEX(FOU_Article,MATCH($G534,FOU_Code,0)),"⚠ Code inconnu"))</f>
        <v/>
      </c>
      <c r="I534" s="127" t="n"/>
      <c r="J534" s="128" t="n"/>
      <c r="K534" s="127" t="n"/>
      <c r="L534" s="127" t="n"/>
    </row>
    <row r="535" ht="21" customHeight="1">
      <c r="A535" s="1" t="n"/>
      <c r="B535" s="1" t="n"/>
      <c r="C535" s="2" t="n"/>
      <c r="E535" s="130">
        <f>IF($F535="","","MVT-"&amp;TEXT(ROW()-6,"0000"))</f>
        <v/>
      </c>
      <c r="F535" s="134" t="n"/>
      <c r="G535" s="127" t="n"/>
      <c r="H535" s="130">
        <f>IF($G535="","",IFERROR(INDEX(FOU_Article,MATCH($G535,FOU_Code,0)),"⚠ Code inconnu"))</f>
        <v/>
      </c>
      <c r="I535" s="127" t="n"/>
      <c r="J535" s="128" t="n"/>
      <c r="K535" s="127" t="n"/>
      <c r="L535" s="127" t="n"/>
    </row>
    <row r="536" ht="21" customHeight="1">
      <c r="A536" s="1" t="n"/>
      <c r="B536" s="1" t="n"/>
      <c r="C536" s="2" t="n"/>
      <c r="E536" s="130">
        <f>IF($F536="","","MVT-"&amp;TEXT(ROW()-6,"0000"))</f>
        <v/>
      </c>
      <c r="F536" s="134" t="n"/>
      <c r="G536" s="127" t="n"/>
      <c r="H536" s="130">
        <f>IF($G536="","",IFERROR(INDEX(FOU_Article,MATCH($G536,FOU_Code,0)),"⚠ Code inconnu"))</f>
        <v/>
      </c>
      <c r="I536" s="127" t="n"/>
      <c r="J536" s="128" t="n"/>
      <c r="K536" s="127" t="n"/>
      <c r="L536" s="127" t="n"/>
    </row>
    <row r="537" ht="21" customHeight="1">
      <c r="A537" s="1" t="n"/>
      <c r="B537" s="1" t="n"/>
      <c r="C537" s="2" t="n"/>
      <c r="E537" s="130">
        <f>IF($F537="","","MVT-"&amp;TEXT(ROW()-6,"0000"))</f>
        <v/>
      </c>
      <c r="F537" s="134" t="n"/>
      <c r="G537" s="127" t="n"/>
      <c r="H537" s="130">
        <f>IF($G537="","",IFERROR(INDEX(FOU_Article,MATCH($G537,FOU_Code,0)),"⚠ Code inconnu"))</f>
        <v/>
      </c>
      <c r="I537" s="127" t="n"/>
      <c r="J537" s="128" t="n"/>
      <c r="K537" s="127" t="n"/>
      <c r="L537" s="127" t="n"/>
    </row>
    <row r="538" ht="21" customHeight="1">
      <c r="A538" s="1" t="n"/>
      <c r="B538" s="1" t="n"/>
      <c r="C538" s="2" t="n"/>
      <c r="E538" s="130">
        <f>IF($F538="","","MVT-"&amp;TEXT(ROW()-6,"0000"))</f>
        <v/>
      </c>
      <c r="F538" s="134" t="n"/>
      <c r="G538" s="127" t="n"/>
      <c r="H538" s="130">
        <f>IF($G538="","",IFERROR(INDEX(FOU_Article,MATCH($G538,FOU_Code,0)),"⚠ Code inconnu"))</f>
        <v/>
      </c>
      <c r="I538" s="127" t="n"/>
      <c r="J538" s="128" t="n"/>
      <c r="K538" s="127" t="n"/>
      <c r="L538" s="127" t="n"/>
    </row>
    <row r="539" ht="21" customHeight="1">
      <c r="A539" s="1" t="n"/>
      <c r="B539" s="1" t="n"/>
      <c r="C539" s="2" t="n"/>
      <c r="E539" s="130">
        <f>IF($F539="","","MVT-"&amp;TEXT(ROW()-6,"0000"))</f>
        <v/>
      </c>
      <c r="F539" s="134" t="n"/>
      <c r="G539" s="127" t="n"/>
      <c r="H539" s="130">
        <f>IF($G539="","",IFERROR(INDEX(FOU_Article,MATCH($G539,FOU_Code,0)),"⚠ Code inconnu"))</f>
        <v/>
      </c>
      <c r="I539" s="127" t="n"/>
      <c r="J539" s="128" t="n"/>
      <c r="K539" s="127" t="n"/>
      <c r="L539" s="127" t="n"/>
    </row>
    <row r="540" ht="21" customHeight="1">
      <c r="A540" s="1" t="n"/>
      <c r="B540" s="1" t="n"/>
      <c r="C540" s="2" t="n"/>
      <c r="E540" s="130">
        <f>IF($F540="","","MVT-"&amp;TEXT(ROW()-6,"0000"))</f>
        <v/>
      </c>
      <c r="F540" s="134" t="n"/>
      <c r="G540" s="127" t="n"/>
      <c r="H540" s="130">
        <f>IF($G540="","",IFERROR(INDEX(FOU_Article,MATCH($G540,FOU_Code,0)),"⚠ Code inconnu"))</f>
        <v/>
      </c>
      <c r="I540" s="127" t="n"/>
      <c r="J540" s="128" t="n"/>
      <c r="K540" s="127" t="n"/>
      <c r="L540" s="127" t="n"/>
    </row>
    <row r="541" ht="21" customHeight="1">
      <c r="A541" s="1" t="n"/>
      <c r="B541" s="1" t="n"/>
      <c r="C541" s="2" t="n"/>
      <c r="E541" s="130">
        <f>IF($F541="","","MVT-"&amp;TEXT(ROW()-6,"0000"))</f>
        <v/>
      </c>
      <c r="F541" s="134" t="n"/>
      <c r="G541" s="127" t="n"/>
      <c r="H541" s="130">
        <f>IF($G541="","",IFERROR(INDEX(FOU_Article,MATCH($G541,FOU_Code,0)),"⚠ Code inconnu"))</f>
        <v/>
      </c>
      <c r="I541" s="127" t="n"/>
      <c r="J541" s="128" t="n"/>
      <c r="K541" s="127" t="n"/>
      <c r="L541" s="127" t="n"/>
    </row>
    <row r="542" ht="21" customHeight="1">
      <c r="A542" s="1" t="n"/>
      <c r="B542" s="1" t="n"/>
      <c r="C542" s="2" t="n"/>
      <c r="E542" s="130">
        <f>IF($F542="","","MVT-"&amp;TEXT(ROW()-6,"0000"))</f>
        <v/>
      </c>
      <c r="F542" s="134" t="n"/>
      <c r="G542" s="127" t="n"/>
      <c r="H542" s="130">
        <f>IF($G542="","",IFERROR(INDEX(FOU_Article,MATCH($G542,FOU_Code,0)),"⚠ Code inconnu"))</f>
        <v/>
      </c>
      <c r="I542" s="127" t="n"/>
      <c r="J542" s="128" t="n"/>
      <c r="K542" s="127" t="n"/>
      <c r="L542" s="127" t="n"/>
    </row>
    <row r="543" ht="21" customHeight="1">
      <c r="A543" s="1" t="n"/>
      <c r="B543" s="1" t="n"/>
      <c r="C543" s="2" t="n"/>
      <c r="E543" s="130">
        <f>IF($F543="","","MVT-"&amp;TEXT(ROW()-6,"0000"))</f>
        <v/>
      </c>
      <c r="F543" s="134" t="n"/>
      <c r="G543" s="127" t="n"/>
      <c r="H543" s="130">
        <f>IF($G543="","",IFERROR(INDEX(FOU_Article,MATCH($G543,FOU_Code,0)),"⚠ Code inconnu"))</f>
        <v/>
      </c>
      <c r="I543" s="127" t="n"/>
      <c r="J543" s="128" t="n"/>
      <c r="K543" s="127" t="n"/>
      <c r="L543" s="127" t="n"/>
    </row>
    <row r="544" ht="21" customHeight="1">
      <c r="A544" s="1" t="n"/>
      <c r="B544" s="1" t="n"/>
      <c r="C544" s="2" t="n"/>
      <c r="E544" s="130">
        <f>IF($F544="","","MVT-"&amp;TEXT(ROW()-6,"0000"))</f>
        <v/>
      </c>
      <c r="F544" s="134" t="n"/>
      <c r="G544" s="127" t="n"/>
      <c r="H544" s="130">
        <f>IF($G544="","",IFERROR(INDEX(FOU_Article,MATCH($G544,FOU_Code,0)),"⚠ Code inconnu"))</f>
        <v/>
      </c>
      <c r="I544" s="127" t="n"/>
      <c r="J544" s="128" t="n"/>
      <c r="K544" s="127" t="n"/>
      <c r="L544" s="127" t="n"/>
    </row>
    <row r="545" ht="21" customHeight="1">
      <c r="A545" s="1" t="n"/>
      <c r="B545" s="1" t="n"/>
      <c r="C545" s="2" t="n"/>
      <c r="E545" s="130">
        <f>IF($F545="","","MVT-"&amp;TEXT(ROW()-6,"0000"))</f>
        <v/>
      </c>
      <c r="F545" s="134" t="n"/>
      <c r="G545" s="127" t="n"/>
      <c r="H545" s="130">
        <f>IF($G545="","",IFERROR(INDEX(FOU_Article,MATCH($G545,FOU_Code,0)),"⚠ Code inconnu"))</f>
        <v/>
      </c>
      <c r="I545" s="127" t="n"/>
      <c r="J545" s="128" t="n"/>
      <c r="K545" s="127" t="n"/>
      <c r="L545" s="127" t="n"/>
    </row>
    <row r="546" ht="21" customHeight="1">
      <c r="A546" s="1" t="n"/>
      <c r="B546" s="1" t="n"/>
      <c r="C546" s="2" t="n"/>
      <c r="E546" s="130">
        <f>IF($F546="","","MVT-"&amp;TEXT(ROW()-6,"0000"))</f>
        <v/>
      </c>
      <c r="F546" s="134" t="n"/>
      <c r="G546" s="127" t="n"/>
      <c r="H546" s="130">
        <f>IF($G546="","",IFERROR(INDEX(FOU_Article,MATCH($G546,FOU_Code,0)),"⚠ Code inconnu"))</f>
        <v/>
      </c>
      <c r="I546" s="127" t="n"/>
      <c r="J546" s="128" t="n"/>
      <c r="K546" s="127" t="n"/>
      <c r="L546" s="127" t="n"/>
    </row>
    <row r="547" ht="21" customHeight="1">
      <c r="A547" s="1" t="n"/>
      <c r="B547" s="1" t="n"/>
      <c r="C547" s="2" t="n"/>
      <c r="E547" s="130">
        <f>IF($F547="","","MVT-"&amp;TEXT(ROW()-6,"0000"))</f>
        <v/>
      </c>
      <c r="F547" s="134" t="n"/>
      <c r="G547" s="127" t="n"/>
      <c r="H547" s="130">
        <f>IF($G547="","",IFERROR(INDEX(FOU_Article,MATCH($G547,FOU_Code,0)),"⚠ Code inconnu"))</f>
        <v/>
      </c>
      <c r="I547" s="127" t="n"/>
      <c r="J547" s="128" t="n"/>
      <c r="K547" s="127" t="n"/>
      <c r="L547" s="127" t="n"/>
    </row>
    <row r="548" ht="21" customHeight="1">
      <c r="A548" s="1" t="n"/>
      <c r="B548" s="1" t="n"/>
      <c r="C548" s="2" t="n"/>
      <c r="E548" s="130">
        <f>IF($F548="","","MVT-"&amp;TEXT(ROW()-6,"0000"))</f>
        <v/>
      </c>
      <c r="F548" s="134" t="n"/>
      <c r="G548" s="127" t="n"/>
      <c r="H548" s="130">
        <f>IF($G548="","",IFERROR(INDEX(FOU_Article,MATCH($G548,FOU_Code,0)),"⚠ Code inconnu"))</f>
        <v/>
      </c>
      <c r="I548" s="127" t="n"/>
      <c r="J548" s="128" t="n"/>
      <c r="K548" s="127" t="n"/>
      <c r="L548" s="127" t="n"/>
    </row>
    <row r="549" ht="21" customHeight="1">
      <c r="A549" s="1" t="n"/>
      <c r="B549" s="1" t="n"/>
      <c r="C549" s="2" t="n"/>
      <c r="E549" s="130">
        <f>IF($F549="","","MVT-"&amp;TEXT(ROW()-6,"0000"))</f>
        <v/>
      </c>
      <c r="F549" s="134" t="n"/>
      <c r="G549" s="127" t="n"/>
      <c r="H549" s="130">
        <f>IF($G549="","",IFERROR(INDEX(FOU_Article,MATCH($G549,FOU_Code,0)),"⚠ Code inconnu"))</f>
        <v/>
      </c>
      <c r="I549" s="127" t="n"/>
      <c r="J549" s="128" t="n"/>
      <c r="K549" s="127" t="n"/>
      <c r="L549" s="127" t="n"/>
    </row>
    <row r="550" ht="21" customHeight="1">
      <c r="A550" s="1" t="n"/>
      <c r="B550" s="1" t="n"/>
      <c r="C550" s="2" t="n"/>
      <c r="E550" s="130">
        <f>IF($F550="","","MVT-"&amp;TEXT(ROW()-6,"0000"))</f>
        <v/>
      </c>
      <c r="F550" s="134" t="n"/>
      <c r="G550" s="127" t="n"/>
      <c r="H550" s="130">
        <f>IF($G550="","",IFERROR(INDEX(FOU_Article,MATCH($G550,FOU_Code,0)),"⚠ Code inconnu"))</f>
        <v/>
      </c>
      <c r="I550" s="127" t="n"/>
      <c r="J550" s="128" t="n"/>
      <c r="K550" s="127" t="n"/>
      <c r="L550" s="127" t="n"/>
    </row>
    <row r="551" ht="21" customHeight="1">
      <c r="A551" s="1" t="n"/>
      <c r="B551" s="1" t="n"/>
      <c r="C551" s="2" t="n"/>
      <c r="E551" s="130">
        <f>IF($F551="","","MVT-"&amp;TEXT(ROW()-6,"0000"))</f>
        <v/>
      </c>
      <c r="F551" s="134" t="n"/>
      <c r="G551" s="127" t="n"/>
      <c r="H551" s="130">
        <f>IF($G551="","",IFERROR(INDEX(FOU_Article,MATCH($G551,FOU_Code,0)),"⚠ Code inconnu"))</f>
        <v/>
      </c>
      <c r="I551" s="127" t="n"/>
      <c r="J551" s="128" t="n"/>
      <c r="K551" s="127" t="n"/>
      <c r="L551" s="127" t="n"/>
    </row>
    <row r="552" ht="21" customHeight="1">
      <c r="A552" s="1" t="n"/>
      <c r="B552" s="1" t="n"/>
      <c r="C552" s="2" t="n"/>
      <c r="E552" s="130">
        <f>IF($F552="","","MVT-"&amp;TEXT(ROW()-6,"0000"))</f>
        <v/>
      </c>
      <c r="F552" s="134" t="n"/>
      <c r="G552" s="127" t="n"/>
      <c r="H552" s="130">
        <f>IF($G552="","",IFERROR(INDEX(FOU_Article,MATCH($G552,FOU_Code,0)),"⚠ Code inconnu"))</f>
        <v/>
      </c>
      <c r="I552" s="127" t="n"/>
      <c r="J552" s="128" t="n"/>
      <c r="K552" s="127" t="n"/>
      <c r="L552" s="127" t="n"/>
    </row>
    <row r="553" ht="21" customHeight="1">
      <c r="A553" s="1" t="n"/>
      <c r="B553" s="1" t="n"/>
      <c r="C553" s="2" t="n"/>
      <c r="E553" s="130">
        <f>IF($F553="","","MVT-"&amp;TEXT(ROW()-6,"0000"))</f>
        <v/>
      </c>
      <c r="F553" s="134" t="n"/>
      <c r="G553" s="127" t="n"/>
      <c r="H553" s="130">
        <f>IF($G553="","",IFERROR(INDEX(FOU_Article,MATCH($G553,FOU_Code,0)),"⚠ Code inconnu"))</f>
        <v/>
      </c>
      <c r="I553" s="127" t="n"/>
      <c r="J553" s="128" t="n"/>
      <c r="K553" s="127" t="n"/>
      <c r="L553" s="127" t="n"/>
    </row>
    <row r="554" ht="21" customHeight="1">
      <c r="A554" s="1" t="n"/>
      <c r="B554" s="1" t="n"/>
      <c r="C554" s="2" t="n"/>
      <c r="E554" s="130">
        <f>IF($F554="","","MVT-"&amp;TEXT(ROW()-6,"0000"))</f>
        <v/>
      </c>
      <c r="F554" s="134" t="n"/>
      <c r="G554" s="127" t="n"/>
      <c r="H554" s="130">
        <f>IF($G554="","",IFERROR(INDEX(FOU_Article,MATCH($G554,FOU_Code,0)),"⚠ Code inconnu"))</f>
        <v/>
      </c>
      <c r="I554" s="127" t="n"/>
      <c r="J554" s="128" t="n"/>
      <c r="K554" s="127" t="n"/>
      <c r="L554" s="127" t="n"/>
    </row>
    <row r="555" ht="21" customHeight="1">
      <c r="A555" s="1" t="n"/>
      <c r="B555" s="1" t="n"/>
      <c r="C555" s="2" t="n"/>
      <c r="E555" s="130">
        <f>IF($F555="","","MVT-"&amp;TEXT(ROW()-6,"0000"))</f>
        <v/>
      </c>
      <c r="F555" s="134" t="n"/>
      <c r="G555" s="127" t="n"/>
      <c r="H555" s="130">
        <f>IF($G555="","",IFERROR(INDEX(FOU_Article,MATCH($G555,FOU_Code,0)),"⚠ Code inconnu"))</f>
        <v/>
      </c>
      <c r="I555" s="127" t="n"/>
      <c r="J555" s="128" t="n"/>
      <c r="K555" s="127" t="n"/>
      <c r="L555" s="127" t="n"/>
    </row>
    <row r="556" ht="21" customHeight="1">
      <c r="A556" s="1" t="n"/>
      <c r="B556" s="1" t="n"/>
      <c r="C556" s="2" t="n"/>
      <c r="E556" s="130">
        <f>IF($F556="","","MVT-"&amp;TEXT(ROW()-6,"0000"))</f>
        <v/>
      </c>
      <c r="F556" s="134" t="n"/>
      <c r="G556" s="127" t="n"/>
      <c r="H556" s="130">
        <f>IF($G556="","",IFERROR(INDEX(FOU_Article,MATCH($G556,FOU_Code,0)),"⚠ Code inconnu"))</f>
        <v/>
      </c>
      <c r="I556" s="127" t="n"/>
      <c r="J556" s="128" t="n"/>
      <c r="K556" s="127" t="n"/>
      <c r="L556" s="127" t="n"/>
    </row>
    <row r="557" ht="21" customHeight="1">
      <c r="A557" s="1" t="n"/>
      <c r="B557" s="1" t="n"/>
      <c r="C557" s="2" t="n"/>
      <c r="E557" s="130">
        <f>IF($F557="","","MVT-"&amp;TEXT(ROW()-6,"0000"))</f>
        <v/>
      </c>
      <c r="F557" s="134" t="n"/>
      <c r="G557" s="127" t="n"/>
      <c r="H557" s="130">
        <f>IF($G557="","",IFERROR(INDEX(FOU_Article,MATCH($G557,FOU_Code,0)),"⚠ Code inconnu"))</f>
        <v/>
      </c>
      <c r="I557" s="127" t="n"/>
      <c r="J557" s="128" t="n"/>
      <c r="K557" s="127" t="n"/>
      <c r="L557" s="127" t="n"/>
    </row>
    <row r="558" ht="21" customHeight="1">
      <c r="A558" s="1" t="n"/>
      <c r="B558" s="1" t="n"/>
      <c r="C558" s="2" t="n"/>
      <c r="E558" s="130">
        <f>IF($F558="","","MVT-"&amp;TEXT(ROW()-6,"0000"))</f>
        <v/>
      </c>
      <c r="F558" s="134" t="n"/>
      <c r="G558" s="127" t="n"/>
      <c r="H558" s="130">
        <f>IF($G558="","",IFERROR(INDEX(FOU_Article,MATCH($G558,FOU_Code,0)),"⚠ Code inconnu"))</f>
        <v/>
      </c>
      <c r="I558" s="127" t="n"/>
      <c r="J558" s="128" t="n"/>
      <c r="K558" s="127" t="n"/>
      <c r="L558" s="127" t="n"/>
    </row>
    <row r="559" ht="21" customHeight="1">
      <c r="A559" s="1" t="n"/>
      <c r="B559" s="1" t="n"/>
      <c r="C559" s="2" t="n"/>
      <c r="E559" s="130">
        <f>IF($F559="","","MVT-"&amp;TEXT(ROW()-6,"0000"))</f>
        <v/>
      </c>
      <c r="F559" s="134" t="n"/>
      <c r="G559" s="127" t="n"/>
      <c r="H559" s="130">
        <f>IF($G559="","",IFERROR(INDEX(FOU_Article,MATCH($G559,FOU_Code,0)),"⚠ Code inconnu"))</f>
        <v/>
      </c>
      <c r="I559" s="127" t="n"/>
      <c r="J559" s="128" t="n"/>
      <c r="K559" s="127" t="n"/>
      <c r="L559" s="127" t="n"/>
    </row>
    <row r="560" ht="21" customHeight="1">
      <c r="A560" s="1" t="n"/>
      <c r="B560" s="1" t="n"/>
      <c r="C560" s="2" t="n"/>
      <c r="E560" s="130">
        <f>IF($F560="","","MVT-"&amp;TEXT(ROW()-6,"0000"))</f>
        <v/>
      </c>
      <c r="F560" s="134" t="n"/>
      <c r="G560" s="127" t="n"/>
      <c r="H560" s="130">
        <f>IF($G560="","",IFERROR(INDEX(FOU_Article,MATCH($G560,FOU_Code,0)),"⚠ Code inconnu"))</f>
        <v/>
      </c>
      <c r="I560" s="127" t="n"/>
      <c r="J560" s="128" t="n"/>
      <c r="K560" s="127" t="n"/>
      <c r="L560" s="127" t="n"/>
    </row>
    <row r="561" ht="21" customHeight="1">
      <c r="A561" s="1" t="n"/>
      <c r="B561" s="1" t="n"/>
      <c r="C561" s="2" t="n"/>
      <c r="E561" s="130">
        <f>IF($F561="","","MVT-"&amp;TEXT(ROW()-6,"0000"))</f>
        <v/>
      </c>
      <c r="F561" s="134" t="n"/>
      <c r="G561" s="127" t="n"/>
      <c r="H561" s="130">
        <f>IF($G561="","",IFERROR(INDEX(FOU_Article,MATCH($G561,FOU_Code,0)),"⚠ Code inconnu"))</f>
        <v/>
      </c>
      <c r="I561" s="127" t="n"/>
      <c r="J561" s="128" t="n"/>
      <c r="K561" s="127" t="n"/>
      <c r="L561" s="127" t="n"/>
    </row>
    <row r="562" ht="21" customHeight="1">
      <c r="A562" s="1" t="n"/>
      <c r="B562" s="1" t="n"/>
      <c r="C562" s="2" t="n"/>
      <c r="E562" s="130">
        <f>IF($F562="","","MVT-"&amp;TEXT(ROW()-6,"0000"))</f>
        <v/>
      </c>
      <c r="F562" s="134" t="n"/>
      <c r="G562" s="127" t="n"/>
      <c r="H562" s="130">
        <f>IF($G562="","",IFERROR(INDEX(FOU_Article,MATCH($G562,FOU_Code,0)),"⚠ Code inconnu"))</f>
        <v/>
      </c>
      <c r="I562" s="127" t="n"/>
      <c r="J562" s="128" t="n"/>
      <c r="K562" s="127" t="n"/>
      <c r="L562" s="127" t="n"/>
    </row>
    <row r="563" ht="21" customHeight="1">
      <c r="A563" s="1" t="n"/>
      <c r="B563" s="1" t="n"/>
      <c r="C563" s="2" t="n"/>
      <c r="E563" s="130">
        <f>IF($F563="","","MVT-"&amp;TEXT(ROW()-6,"0000"))</f>
        <v/>
      </c>
      <c r="F563" s="134" t="n"/>
      <c r="G563" s="127" t="n"/>
      <c r="H563" s="130">
        <f>IF($G563="","",IFERROR(INDEX(FOU_Article,MATCH($G563,FOU_Code,0)),"⚠ Code inconnu"))</f>
        <v/>
      </c>
      <c r="I563" s="127" t="n"/>
      <c r="J563" s="128" t="n"/>
      <c r="K563" s="127" t="n"/>
      <c r="L563" s="127" t="n"/>
    </row>
    <row r="564" ht="21" customHeight="1">
      <c r="A564" s="1" t="n"/>
      <c r="B564" s="1" t="n"/>
      <c r="C564" s="2" t="n"/>
      <c r="E564" s="130">
        <f>IF($F564="","","MVT-"&amp;TEXT(ROW()-6,"0000"))</f>
        <v/>
      </c>
      <c r="F564" s="134" t="n"/>
      <c r="G564" s="127" t="n"/>
      <c r="H564" s="130">
        <f>IF($G564="","",IFERROR(INDEX(FOU_Article,MATCH($G564,FOU_Code,0)),"⚠ Code inconnu"))</f>
        <v/>
      </c>
      <c r="I564" s="127" t="n"/>
      <c r="J564" s="128" t="n"/>
      <c r="K564" s="127" t="n"/>
      <c r="L564" s="127" t="n"/>
    </row>
    <row r="565" ht="21" customHeight="1">
      <c r="A565" s="1" t="n"/>
      <c r="B565" s="1" t="n"/>
      <c r="C565" s="2" t="n"/>
      <c r="E565" s="130">
        <f>IF($F565="","","MVT-"&amp;TEXT(ROW()-6,"0000"))</f>
        <v/>
      </c>
      <c r="F565" s="134" t="n"/>
      <c r="G565" s="127" t="n"/>
      <c r="H565" s="130">
        <f>IF($G565="","",IFERROR(INDEX(FOU_Article,MATCH($G565,FOU_Code,0)),"⚠ Code inconnu"))</f>
        <v/>
      </c>
      <c r="I565" s="127" t="n"/>
      <c r="J565" s="128" t="n"/>
      <c r="K565" s="127" t="n"/>
      <c r="L565" s="127" t="n"/>
    </row>
    <row r="566" ht="21" customHeight="1">
      <c r="A566" s="1" t="n"/>
      <c r="B566" s="1" t="n"/>
      <c r="C566" s="2" t="n"/>
      <c r="E566" s="130">
        <f>IF($F566="","","MVT-"&amp;TEXT(ROW()-6,"0000"))</f>
        <v/>
      </c>
      <c r="F566" s="134" t="n"/>
      <c r="G566" s="127" t="n"/>
      <c r="H566" s="130">
        <f>IF($G566="","",IFERROR(INDEX(FOU_Article,MATCH($G566,FOU_Code,0)),"⚠ Code inconnu"))</f>
        <v/>
      </c>
      <c r="I566" s="127" t="n"/>
      <c r="J566" s="128" t="n"/>
      <c r="K566" s="127" t="n"/>
      <c r="L566" s="127" t="n"/>
    </row>
    <row r="567" ht="21" customHeight="1">
      <c r="A567" s="1" t="n"/>
      <c r="B567" s="1" t="n"/>
      <c r="C567" s="2" t="n"/>
      <c r="E567" s="130">
        <f>IF($F567="","","MVT-"&amp;TEXT(ROW()-6,"0000"))</f>
        <v/>
      </c>
      <c r="F567" s="134" t="n"/>
      <c r="G567" s="127" t="n"/>
      <c r="H567" s="130">
        <f>IF($G567="","",IFERROR(INDEX(FOU_Article,MATCH($G567,FOU_Code,0)),"⚠ Code inconnu"))</f>
        <v/>
      </c>
      <c r="I567" s="127" t="n"/>
      <c r="J567" s="128" t="n"/>
      <c r="K567" s="127" t="n"/>
      <c r="L567" s="127" t="n"/>
    </row>
    <row r="568" ht="21" customHeight="1">
      <c r="A568" s="1" t="n"/>
      <c r="B568" s="1" t="n"/>
      <c r="C568" s="2" t="n"/>
      <c r="E568" s="130">
        <f>IF($F568="","","MVT-"&amp;TEXT(ROW()-6,"0000"))</f>
        <v/>
      </c>
      <c r="F568" s="134" t="n"/>
      <c r="G568" s="127" t="n"/>
      <c r="H568" s="130">
        <f>IF($G568="","",IFERROR(INDEX(FOU_Article,MATCH($G568,FOU_Code,0)),"⚠ Code inconnu"))</f>
        <v/>
      </c>
      <c r="I568" s="127" t="n"/>
      <c r="J568" s="128" t="n"/>
      <c r="K568" s="127" t="n"/>
      <c r="L568" s="127" t="n"/>
    </row>
    <row r="569" ht="21" customHeight="1">
      <c r="A569" s="1" t="n"/>
      <c r="B569" s="1" t="n"/>
      <c r="C569" s="2" t="n"/>
      <c r="E569" s="130">
        <f>IF($F569="","","MVT-"&amp;TEXT(ROW()-6,"0000"))</f>
        <v/>
      </c>
      <c r="F569" s="134" t="n"/>
      <c r="G569" s="127" t="n"/>
      <c r="H569" s="130">
        <f>IF($G569="","",IFERROR(INDEX(FOU_Article,MATCH($G569,FOU_Code,0)),"⚠ Code inconnu"))</f>
        <v/>
      </c>
      <c r="I569" s="127" t="n"/>
      <c r="J569" s="128" t="n"/>
      <c r="K569" s="127" t="n"/>
      <c r="L569" s="127" t="n"/>
    </row>
    <row r="570" ht="21" customHeight="1">
      <c r="A570" s="1" t="n"/>
      <c r="B570" s="1" t="n"/>
      <c r="C570" s="2" t="n"/>
      <c r="E570" s="130">
        <f>IF($F570="","","MVT-"&amp;TEXT(ROW()-6,"0000"))</f>
        <v/>
      </c>
      <c r="F570" s="134" t="n"/>
      <c r="G570" s="127" t="n"/>
      <c r="H570" s="130">
        <f>IF($G570="","",IFERROR(INDEX(FOU_Article,MATCH($G570,FOU_Code,0)),"⚠ Code inconnu"))</f>
        <v/>
      </c>
      <c r="I570" s="127" t="n"/>
      <c r="J570" s="128" t="n"/>
      <c r="K570" s="127" t="n"/>
      <c r="L570" s="127" t="n"/>
    </row>
    <row r="571" ht="21" customHeight="1">
      <c r="A571" s="1" t="n"/>
      <c r="B571" s="1" t="n"/>
      <c r="C571" s="2" t="n"/>
      <c r="E571" s="130">
        <f>IF($F571="","","MVT-"&amp;TEXT(ROW()-6,"0000"))</f>
        <v/>
      </c>
      <c r="F571" s="134" t="n"/>
      <c r="G571" s="127" t="n"/>
      <c r="H571" s="130">
        <f>IF($G571="","",IFERROR(INDEX(FOU_Article,MATCH($G571,FOU_Code,0)),"⚠ Code inconnu"))</f>
        <v/>
      </c>
      <c r="I571" s="127" t="n"/>
      <c r="J571" s="128" t="n"/>
      <c r="K571" s="127" t="n"/>
      <c r="L571" s="127" t="n"/>
    </row>
    <row r="572" ht="21" customHeight="1">
      <c r="A572" s="1" t="n"/>
      <c r="B572" s="1" t="n"/>
      <c r="C572" s="2" t="n"/>
      <c r="E572" s="130">
        <f>IF($F572="","","MVT-"&amp;TEXT(ROW()-6,"0000"))</f>
        <v/>
      </c>
      <c r="F572" s="134" t="n"/>
      <c r="G572" s="127" t="n"/>
      <c r="H572" s="130">
        <f>IF($G572="","",IFERROR(INDEX(FOU_Article,MATCH($G572,FOU_Code,0)),"⚠ Code inconnu"))</f>
        <v/>
      </c>
      <c r="I572" s="127" t="n"/>
      <c r="J572" s="128" t="n"/>
      <c r="K572" s="127" t="n"/>
      <c r="L572" s="127" t="n"/>
    </row>
    <row r="573" ht="21" customHeight="1">
      <c r="A573" s="1" t="n"/>
      <c r="B573" s="1" t="n"/>
      <c r="C573" s="2" t="n"/>
      <c r="E573" s="130">
        <f>IF($F573="","","MVT-"&amp;TEXT(ROW()-6,"0000"))</f>
        <v/>
      </c>
      <c r="F573" s="134" t="n"/>
      <c r="G573" s="127" t="n"/>
      <c r="H573" s="130">
        <f>IF($G573="","",IFERROR(INDEX(FOU_Article,MATCH($G573,FOU_Code,0)),"⚠ Code inconnu"))</f>
        <v/>
      </c>
      <c r="I573" s="127" t="n"/>
      <c r="J573" s="128" t="n"/>
      <c r="K573" s="127" t="n"/>
      <c r="L573" s="127" t="n"/>
    </row>
    <row r="574" ht="21" customHeight="1">
      <c r="A574" s="1" t="n"/>
      <c r="B574" s="1" t="n"/>
      <c r="C574" s="2" t="n"/>
      <c r="E574" s="130">
        <f>IF($F574="","","MVT-"&amp;TEXT(ROW()-6,"0000"))</f>
        <v/>
      </c>
      <c r="F574" s="134" t="n"/>
      <c r="G574" s="127" t="n"/>
      <c r="H574" s="130">
        <f>IF($G574="","",IFERROR(INDEX(FOU_Article,MATCH($G574,FOU_Code,0)),"⚠ Code inconnu"))</f>
        <v/>
      </c>
      <c r="I574" s="127" t="n"/>
      <c r="J574" s="128" t="n"/>
      <c r="K574" s="127" t="n"/>
      <c r="L574" s="127" t="n"/>
    </row>
    <row r="575" ht="21" customHeight="1">
      <c r="A575" s="1" t="n"/>
      <c r="B575" s="1" t="n"/>
      <c r="C575" s="2" t="n"/>
      <c r="E575" s="130">
        <f>IF($F575="","","MVT-"&amp;TEXT(ROW()-6,"0000"))</f>
        <v/>
      </c>
      <c r="F575" s="134" t="n"/>
      <c r="G575" s="127" t="n"/>
      <c r="H575" s="130">
        <f>IF($G575="","",IFERROR(INDEX(FOU_Article,MATCH($G575,FOU_Code,0)),"⚠ Code inconnu"))</f>
        <v/>
      </c>
      <c r="I575" s="127" t="n"/>
      <c r="J575" s="128" t="n"/>
      <c r="K575" s="127" t="n"/>
      <c r="L575" s="127" t="n"/>
    </row>
    <row r="576" ht="21" customHeight="1">
      <c r="A576" s="1" t="n"/>
      <c r="B576" s="1" t="n"/>
      <c r="C576" s="2" t="n"/>
      <c r="E576" s="130">
        <f>IF($F576="","","MVT-"&amp;TEXT(ROW()-6,"0000"))</f>
        <v/>
      </c>
      <c r="F576" s="134" t="n"/>
      <c r="G576" s="127" t="n"/>
      <c r="H576" s="130">
        <f>IF($G576="","",IFERROR(INDEX(FOU_Article,MATCH($G576,FOU_Code,0)),"⚠ Code inconnu"))</f>
        <v/>
      </c>
      <c r="I576" s="127" t="n"/>
      <c r="J576" s="128" t="n"/>
      <c r="K576" s="127" t="n"/>
      <c r="L576" s="127" t="n"/>
    </row>
    <row r="577" ht="21" customHeight="1">
      <c r="A577" s="1" t="n"/>
      <c r="B577" s="1" t="n"/>
      <c r="C577" s="2" t="n"/>
      <c r="E577" s="130">
        <f>IF($F577="","","MVT-"&amp;TEXT(ROW()-6,"0000"))</f>
        <v/>
      </c>
      <c r="F577" s="134" t="n"/>
      <c r="G577" s="127" t="n"/>
      <c r="H577" s="130">
        <f>IF($G577="","",IFERROR(INDEX(FOU_Article,MATCH($G577,FOU_Code,0)),"⚠ Code inconnu"))</f>
        <v/>
      </c>
      <c r="I577" s="127" t="n"/>
      <c r="J577" s="128" t="n"/>
      <c r="K577" s="127" t="n"/>
      <c r="L577" s="127" t="n"/>
    </row>
    <row r="578" ht="21" customHeight="1">
      <c r="A578" s="1" t="n"/>
      <c r="B578" s="1" t="n"/>
      <c r="C578" s="2" t="n"/>
      <c r="E578" s="130">
        <f>IF($F578="","","MVT-"&amp;TEXT(ROW()-6,"0000"))</f>
        <v/>
      </c>
      <c r="F578" s="134" t="n"/>
      <c r="G578" s="127" t="n"/>
      <c r="H578" s="130">
        <f>IF($G578="","",IFERROR(INDEX(FOU_Article,MATCH($G578,FOU_Code,0)),"⚠ Code inconnu"))</f>
        <v/>
      </c>
      <c r="I578" s="127" t="n"/>
      <c r="J578" s="128" t="n"/>
      <c r="K578" s="127" t="n"/>
      <c r="L578" s="127" t="n"/>
    </row>
    <row r="579" ht="21" customHeight="1">
      <c r="A579" s="1" t="n"/>
      <c r="B579" s="1" t="n"/>
      <c r="C579" s="2" t="n"/>
      <c r="E579" s="130">
        <f>IF($F579="","","MVT-"&amp;TEXT(ROW()-6,"0000"))</f>
        <v/>
      </c>
      <c r="F579" s="134" t="n"/>
      <c r="G579" s="127" t="n"/>
      <c r="H579" s="130">
        <f>IF($G579="","",IFERROR(INDEX(FOU_Article,MATCH($G579,FOU_Code,0)),"⚠ Code inconnu"))</f>
        <v/>
      </c>
      <c r="I579" s="127" t="n"/>
      <c r="J579" s="128" t="n"/>
      <c r="K579" s="127" t="n"/>
      <c r="L579" s="127" t="n"/>
    </row>
    <row r="580" ht="21" customHeight="1">
      <c r="A580" s="1" t="n"/>
      <c r="B580" s="1" t="n"/>
      <c r="C580" s="2" t="n"/>
      <c r="E580" s="130">
        <f>IF($F580="","","MVT-"&amp;TEXT(ROW()-6,"0000"))</f>
        <v/>
      </c>
      <c r="F580" s="134" t="n"/>
      <c r="G580" s="127" t="n"/>
      <c r="H580" s="130">
        <f>IF($G580="","",IFERROR(INDEX(FOU_Article,MATCH($G580,FOU_Code,0)),"⚠ Code inconnu"))</f>
        <v/>
      </c>
      <c r="I580" s="127" t="n"/>
      <c r="J580" s="128" t="n"/>
      <c r="K580" s="127" t="n"/>
      <c r="L580" s="127" t="n"/>
    </row>
    <row r="581" ht="21" customHeight="1">
      <c r="A581" s="1" t="n"/>
      <c r="B581" s="1" t="n"/>
      <c r="C581" s="2" t="n"/>
      <c r="E581" s="130">
        <f>IF($F581="","","MVT-"&amp;TEXT(ROW()-6,"0000"))</f>
        <v/>
      </c>
      <c r="F581" s="134" t="n"/>
      <c r="G581" s="127" t="n"/>
      <c r="H581" s="130">
        <f>IF($G581="","",IFERROR(INDEX(FOU_Article,MATCH($G581,FOU_Code,0)),"⚠ Code inconnu"))</f>
        <v/>
      </c>
      <c r="I581" s="127" t="n"/>
      <c r="J581" s="128" t="n"/>
      <c r="K581" s="127" t="n"/>
      <c r="L581" s="127" t="n"/>
    </row>
    <row r="582" ht="21" customHeight="1">
      <c r="A582" s="1" t="n"/>
      <c r="B582" s="1" t="n"/>
      <c r="C582" s="2" t="n"/>
      <c r="E582" s="130">
        <f>IF($F582="","","MVT-"&amp;TEXT(ROW()-6,"0000"))</f>
        <v/>
      </c>
      <c r="F582" s="134" t="n"/>
      <c r="G582" s="127" t="n"/>
      <c r="H582" s="130">
        <f>IF($G582="","",IFERROR(INDEX(FOU_Article,MATCH($G582,FOU_Code,0)),"⚠ Code inconnu"))</f>
        <v/>
      </c>
      <c r="I582" s="127" t="n"/>
      <c r="J582" s="128" t="n"/>
      <c r="K582" s="127" t="n"/>
      <c r="L582" s="127" t="n"/>
    </row>
    <row r="583" ht="21" customHeight="1">
      <c r="A583" s="1" t="n"/>
      <c r="B583" s="1" t="n"/>
      <c r="C583" s="2" t="n"/>
      <c r="E583" s="130">
        <f>IF($F583="","","MVT-"&amp;TEXT(ROW()-6,"0000"))</f>
        <v/>
      </c>
      <c r="F583" s="134" t="n"/>
      <c r="G583" s="127" t="n"/>
      <c r="H583" s="130">
        <f>IF($G583="","",IFERROR(INDEX(FOU_Article,MATCH($G583,FOU_Code,0)),"⚠ Code inconnu"))</f>
        <v/>
      </c>
      <c r="I583" s="127" t="n"/>
      <c r="J583" s="128" t="n"/>
      <c r="K583" s="127" t="n"/>
      <c r="L583" s="127" t="n"/>
    </row>
    <row r="584" ht="21" customHeight="1">
      <c r="A584" s="1" t="n"/>
      <c r="B584" s="1" t="n"/>
      <c r="C584" s="2" t="n"/>
      <c r="E584" s="130">
        <f>IF($F584="","","MVT-"&amp;TEXT(ROW()-6,"0000"))</f>
        <v/>
      </c>
      <c r="F584" s="134" t="n"/>
      <c r="G584" s="127" t="n"/>
      <c r="H584" s="130">
        <f>IF($G584="","",IFERROR(INDEX(FOU_Article,MATCH($G584,FOU_Code,0)),"⚠ Code inconnu"))</f>
        <v/>
      </c>
      <c r="I584" s="127" t="n"/>
      <c r="J584" s="128" t="n"/>
      <c r="K584" s="127" t="n"/>
      <c r="L584" s="127" t="n"/>
    </row>
    <row r="585" ht="21" customHeight="1">
      <c r="A585" s="1" t="n"/>
      <c r="B585" s="1" t="n"/>
      <c r="C585" s="2" t="n"/>
      <c r="E585" s="130">
        <f>IF($F585="","","MVT-"&amp;TEXT(ROW()-6,"0000"))</f>
        <v/>
      </c>
      <c r="F585" s="134" t="n"/>
      <c r="G585" s="127" t="n"/>
      <c r="H585" s="130">
        <f>IF($G585="","",IFERROR(INDEX(FOU_Article,MATCH($G585,FOU_Code,0)),"⚠ Code inconnu"))</f>
        <v/>
      </c>
      <c r="I585" s="127" t="n"/>
      <c r="J585" s="128" t="n"/>
      <c r="K585" s="127" t="n"/>
      <c r="L585" s="127" t="n"/>
    </row>
    <row r="586" ht="21" customHeight="1">
      <c r="A586" s="1" t="n"/>
      <c r="B586" s="1" t="n"/>
      <c r="C586" s="2" t="n"/>
      <c r="E586" s="130">
        <f>IF($F586="","","MVT-"&amp;TEXT(ROW()-6,"0000"))</f>
        <v/>
      </c>
      <c r="F586" s="134" t="n"/>
      <c r="G586" s="127" t="n"/>
      <c r="H586" s="130">
        <f>IF($G586="","",IFERROR(INDEX(FOU_Article,MATCH($G586,FOU_Code,0)),"⚠ Code inconnu"))</f>
        <v/>
      </c>
      <c r="I586" s="127" t="n"/>
      <c r="J586" s="128" t="n"/>
      <c r="K586" s="127" t="n"/>
      <c r="L586" s="127" t="n"/>
    </row>
    <row r="587" ht="21" customHeight="1">
      <c r="A587" s="1" t="n"/>
      <c r="B587" s="1" t="n"/>
      <c r="C587" s="2" t="n"/>
      <c r="E587" s="130">
        <f>IF($F587="","","MVT-"&amp;TEXT(ROW()-6,"0000"))</f>
        <v/>
      </c>
      <c r="F587" s="134" t="n"/>
      <c r="G587" s="127" t="n"/>
      <c r="H587" s="130">
        <f>IF($G587="","",IFERROR(INDEX(FOU_Article,MATCH($G587,FOU_Code,0)),"⚠ Code inconnu"))</f>
        <v/>
      </c>
      <c r="I587" s="127" t="n"/>
      <c r="J587" s="128" t="n"/>
      <c r="K587" s="127" t="n"/>
      <c r="L587" s="127" t="n"/>
    </row>
    <row r="588" ht="21" customHeight="1">
      <c r="A588" s="1" t="n"/>
      <c r="B588" s="1" t="n"/>
      <c r="C588" s="2" t="n"/>
      <c r="E588" s="130">
        <f>IF($F588="","","MVT-"&amp;TEXT(ROW()-6,"0000"))</f>
        <v/>
      </c>
      <c r="F588" s="134" t="n"/>
      <c r="G588" s="127" t="n"/>
      <c r="H588" s="130">
        <f>IF($G588="","",IFERROR(INDEX(FOU_Article,MATCH($G588,FOU_Code,0)),"⚠ Code inconnu"))</f>
        <v/>
      </c>
      <c r="I588" s="127" t="n"/>
      <c r="J588" s="128" t="n"/>
      <c r="K588" s="127" t="n"/>
      <c r="L588" s="127" t="n"/>
    </row>
    <row r="589" ht="21" customHeight="1">
      <c r="A589" s="1" t="n"/>
      <c r="B589" s="1" t="n"/>
      <c r="C589" s="2" t="n"/>
      <c r="E589" s="130">
        <f>IF($F589="","","MVT-"&amp;TEXT(ROW()-6,"0000"))</f>
        <v/>
      </c>
      <c r="F589" s="134" t="n"/>
      <c r="G589" s="127" t="n"/>
      <c r="H589" s="130">
        <f>IF($G589="","",IFERROR(INDEX(FOU_Article,MATCH($G589,FOU_Code,0)),"⚠ Code inconnu"))</f>
        <v/>
      </c>
      <c r="I589" s="127" t="n"/>
      <c r="J589" s="128" t="n"/>
      <c r="K589" s="127" t="n"/>
      <c r="L589" s="127" t="n"/>
    </row>
    <row r="590" ht="21" customHeight="1">
      <c r="A590" s="1" t="n"/>
      <c r="B590" s="1" t="n"/>
      <c r="C590" s="2" t="n"/>
      <c r="E590" s="130">
        <f>IF($F590="","","MVT-"&amp;TEXT(ROW()-6,"0000"))</f>
        <v/>
      </c>
      <c r="F590" s="134" t="n"/>
      <c r="G590" s="127" t="n"/>
      <c r="H590" s="130">
        <f>IF($G590="","",IFERROR(INDEX(FOU_Article,MATCH($G590,FOU_Code,0)),"⚠ Code inconnu"))</f>
        <v/>
      </c>
      <c r="I590" s="127" t="n"/>
      <c r="J590" s="128" t="n"/>
      <c r="K590" s="127" t="n"/>
      <c r="L590" s="127" t="n"/>
    </row>
    <row r="591" ht="21" customHeight="1">
      <c r="A591" s="1" t="n"/>
      <c r="B591" s="1" t="n"/>
      <c r="C591" s="2" t="n"/>
      <c r="E591" s="130">
        <f>IF($F591="","","MVT-"&amp;TEXT(ROW()-6,"0000"))</f>
        <v/>
      </c>
      <c r="F591" s="134" t="n"/>
      <c r="G591" s="127" t="n"/>
      <c r="H591" s="130">
        <f>IF($G591="","",IFERROR(INDEX(FOU_Article,MATCH($G591,FOU_Code,0)),"⚠ Code inconnu"))</f>
        <v/>
      </c>
      <c r="I591" s="127" t="n"/>
      <c r="J591" s="128" t="n"/>
      <c r="K591" s="127" t="n"/>
      <c r="L591" s="127" t="n"/>
    </row>
    <row r="592" ht="21" customHeight="1">
      <c r="A592" s="1" t="n"/>
      <c r="B592" s="1" t="n"/>
      <c r="C592" s="2" t="n"/>
      <c r="E592" s="130">
        <f>IF($F592="","","MVT-"&amp;TEXT(ROW()-6,"0000"))</f>
        <v/>
      </c>
      <c r="F592" s="134" t="n"/>
      <c r="G592" s="127" t="n"/>
      <c r="H592" s="130">
        <f>IF($G592="","",IFERROR(INDEX(FOU_Article,MATCH($G592,FOU_Code,0)),"⚠ Code inconnu"))</f>
        <v/>
      </c>
      <c r="I592" s="127" t="n"/>
      <c r="J592" s="128" t="n"/>
      <c r="K592" s="127" t="n"/>
      <c r="L592" s="127" t="n"/>
    </row>
    <row r="593" ht="21" customHeight="1">
      <c r="A593" s="1" t="n"/>
      <c r="B593" s="1" t="n"/>
      <c r="C593" s="2" t="n"/>
      <c r="E593" s="130">
        <f>IF($F593="","","MVT-"&amp;TEXT(ROW()-6,"0000"))</f>
        <v/>
      </c>
      <c r="F593" s="134" t="n"/>
      <c r="G593" s="127" t="n"/>
      <c r="H593" s="130">
        <f>IF($G593="","",IFERROR(INDEX(FOU_Article,MATCH($G593,FOU_Code,0)),"⚠ Code inconnu"))</f>
        <v/>
      </c>
      <c r="I593" s="127" t="n"/>
      <c r="J593" s="128" t="n"/>
      <c r="K593" s="127" t="n"/>
      <c r="L593" s="127" t="n"/>
    </row>
    <row r="594" ht="21" customHeight="1">
      <c r="A594" s="1" t="n"/>
      <c r="B594" s="1" t="n"/>
      <c r="C594" s="2" t="n"/>
      <c r="E594" s="130">
        <f>IF($F594="","","MVT-"&amp;TEXT(ROW()-6,"0000"))</f>
        <v/>
      </c>
      <c r="F594" s="134" t="n"/>
      <c r="G594" s="127" t="n"/>
      <c r="H594" s="130">
        <f>IF($G594="","",IFERROR(INDEX(FOU_Article,MATCH($G594,FOU_Code,0)),"⚠ Code inconnu"))</f>
        <v/>
      </c>
      <c r="I594" s="127" t="n"/>
      <c r="J594" s="128" t="n"/>
      <c r="K594" s="127" t="n"/>
      <c r="L594" s="127" t="n"/>
    </row>
    <row r="595" ht="21" customHeight="1">
      <c r="A595" s="1" t="n"/>
      <c r="B595" s="1" t="n"/>
      <c r="C595" s="2" t="n"/>
      <c r="E595" s="130">
        <f>IF($F595="","","MVT-"&amp;TEXT(ROW()-6,"0000"))</f>
        <v/>
      </c>
      <c r="F595" s="134" t="n"/>
      <c r="G595" s="127" t="n"/>
      <c r="H595" s="130">
        <f>IF($G595="","",IFERROR(INDEX(FOU_Article,MATCH($G595,FOU_Code,0)),"⚠ Code inconnu"))</f>
        <v/>
      </c>
      <c r="I595" s="127" t="n"/>
      <c r="J595" s="128" t="n"/>
      <c r="K595" s="127" t="n"/>
      <c r="L595" s="127" t="n"/>
    </row>
    <row r="596" ht="21" customHeight="1">
      <c r="A596" s="1" t="n"/>
      <c r="B596" s="1" t="n"/>
      <c r="C596" s="2" t="n"/>
      <c r="E596" s="130">
        <f>IF($F596="","","MVT-"&amp;TEXT(ROW()-6,"0000"))</f>
        <v/>
      </c>
      <c r="F596" s="134" t="n"/>
      <c r="G596" s="127" t="n"/>
      <c r="H596" s="130">
        <f>IF($G596="","",IFERROR(INDEX(FOU_Article,MATCH($G596,FOU_Code,0)),"⚠ Code inconnu"))</f>
        <v/>
      </c>
      <c r="I596" s="127" t="n"/>
      <c r="J596" s="128" t="n"/>
      <c r="K596" s="127" t="n"/>
      <c r="L596" s="127" t="n"/>
    </row>
    <row r="597" ht="21" customHeight="1">
      <c r="A597" s="1" t="n"/>
      <c r="B597" s="1" t="n"/>
      <c r="C597" s="2" t="n"/>
      <c r="E597" s="130">
        <f>IF($F597="","","MVT-"&amp;TEXT(ROW()-6,"0000"))</f>
        <v/>
      </c>
      <c r="F597" s="134" t="n"/>
      <c r="G597" s="127" t="n"/>
      <c r="H597" s="130">
        <f>IF($G597="","",IFERROR(INDEX(FOU_Article,MATCH($G597,FOU_Code,0)),"⚠ Code inconnu"))</f>
        <v/>
      </c>
      <c r="I597" s="127" t="n"/>
      <c r="J597" s="128" t="n"/>
      <c r="K597" s="127" t="n"/>
      <c r="L597" s="127" t="n"/>
    </row>
    <row r="598" ht="21" customHeight="1">
      <c r="A598" s="1" t="n"/>
      <c r="B598" s="1" t="n"/>
      <c r="C598" s="2" t="n"/>
      <c r="E598" s="130">
        <f>IF($F598="","","MVT-"&amp;TEXT(ROW()-6,"0000"))</f>
        <v/>
      </c>
      <c r="F598" s="134" t="n"/>
      <c r="G598" s="127" t="n"/>
      <c r="H598" s="130">
        <f>IF($G598="","",IFERROR(INDEX(FOU_Article,MATCH($G598,FOU_Code,0)),"⚠ Code inconnu"))</f>
        <v/>
      </c>
      <c r="I598" s="127" t="n"/>
      <c r="J598" s="128" t="n"/>
      <c r="K598" s="127" t="n"/>
      <c r="L598" s="127" t="n"/>
    </row>
    <row r="599" ht="21" customHeight="1">
      <c r="A599" s="1" t="n"/>
      <c r="B599" s="1" t="n"/>
      <c r="C599" s="2" t="n"/>
      <c r="E599" s="130">
        <f>IF($F599="","","MVT-"&amp;TEXT(ROW()-6,"0000"))</f>
        <v/>
      </c>
      <c r="F599" s="134" t="n"/>
      <c r="G599" s="127" t="n"/>
      <c r="H599" s="130">
        <f>IF($G599="","",IFERROR(INDEX(FOU_Article,MATCH($G599,FOU_Code,0)),"⚠ Code inconnu"))</f>
        <v/>
      </c>
      <c r="I599" s="127" t="n"/>
      <c r="J599" s="128" t="n"/>
      <c r="K599" s="127" t="n"/>
      <c r="L599" s="127" t="n"/>
    </row>
    <row r="600" ht="21" customHeight="1">
      <c r="A600" s="1" t="n"/>
      <c r="B600" s="1" t="n"/>
      <c r="C600" s="2" t="n"/>
      <c r="E600" s="130">
        <f>IF($F600="","","MVT-"&amp;TEXT(ROW()-6,"0000"))</f>
        <v/>
      </c>
      <c r="F600" s="134" t="n"/>
      <c r="G600" s="127" t="n"/>
      <c r="H600" s="130">
        <f>IF($G600="","",IFERROR(INDEX(FOU_Article,MATCH($G600,FOU_Code,0)),"⚠ Code inconnu"))</f>
        <v/>
      </c>
      <c r="I600" s="127" t="n"/>
      <c r="J600" s="128" t="n"/>
      <c r="K600" s="127" t="n"/>
      <c r="L600" s="127" t="n"/>
    </row>
    <row r="601" ht="21" customHeight="1">
      <c r="A601" s="1" t="n"/>
      <c r="B601" s="1" t="n"/>
      <c r="C601" s="2" t="n"/>
      <c r="E601" s="130">
        <f>IF($F601="","","MVT-"&amp;TEXT(ROW()-6,"0000"))</f>
        <v/>
      </c>
      <c r="F601" s="134" t="n"/>
      <c r="G601" s="127" t="n"/>
      <c r="H601" s="130">
        <f>IF($G601="","",IFERROR(INDEX(FOU_Article,MATCH($G601,FOU_Code,0)),"⚠ Code inconnu"))</f>
        <v/>
      </c>
      <c r="I601" s="127" t="n"/>
      <c r="J601" s="128" t="n"/>
      <c r="K601" s="127" t="n"/>
      <c r="L601" s="127" t="n"/>
    </row>
    <row r="602" ht="21" customHeight="1">
      <c r="A602" s="1" t="n"/>
      <c r="B602" s="1" t="n"/>
      <c r="C602" s="2" t="n"/>
      <c r="E602" s="130">
        <f>IF($F602="","","MVT-"&amp;TEXT(ROW()-6,"0000"))</f>
        <v/>
      </c>
      <c r="F602" s="134" t="n"/>
      <c r="G602" s="127" t="n"/>
      <c r="H602" s="130">
        <f>IF($G602="","",IFERROR(INDEX(FOU_Article,MATCH($G602,FOU_Code,0)),"⚠ Code inconnu"))</f>
        <v/>
      </c>
      <c r="I602" s="127" t="n"/>
      <c r="J602" s="128" t="n"/>
      <c r="K602" s="127" t="n"/>
      <c r="L602" s="127" t="n"/>
    </row>
    <row r="603" ht="21" customHeight="1">
      <c r="A603" s="1" t="n"/>
      <c r="B603" s="1" t="n"/>
      <c r="C603" s="2" t="n"/>
      <c r="E603" s="130">
        <f>IF($F603="","","MVT-"&amp;TEXT(ROW()-6,"0000"))</f>
        <v/>
      </c>
      <c r="F603" s="134" t="n"/>
      <c r="G603" s="127" t="n"/>
      <c r="H603" s="130">
        <f>IF($G603="","",IFERROR(INDEX(FOU_Article,MATCH($G603,FOU_Code,0)),"⚠ Code inconnu"))</f>
        <v/>
      </c>
      <c r="I603" s="127" t="n"/>
      <c r="J603" s="128" t="n"/>
      <c r="K603" s="127" t="n"/>
      <c r="L603" s="127" t="n"/>
    </row>
    <row r="604" ht="21" customHeight="1">
      <c r="A604" s="1" t="n"/>
      <c r="B604" s="1" t="n"/>
      <c r="C604" s="2" t="n"/>
      <c r="E604" s="130">
        <f>IF($F604="","","MVT-"&amp;TEXT(ROW()-6,"0000"))</f>
        <v/>
      </c>
      <c r="F604" s="134" t="n"/>
      <c r="G604" s="127" t="n"/>
      <c r="H604" s="130">
        <f>IF($G604="","",IFERROR(INDEX(FOU_Article,MATCH($G604,FOU_Code,0)),"⚠ Code inconnu"))</f>
        <v/>
      </c>
      <c r="I604" s="127" t="n"/>
      <c r="J604" s="128" t="n"/>
      <c r="K604" s="127" t="n"/>
      <c r="L604" s="127" t="n"/>
    </row>
    <row r="605" ht="21" customHeight="1">
      <c r="A605" s="1" t="n"/>
      <c r="B605" s="1" t="n"/>
      <c r="C605" s="2" t="n"/>
      <c r="E605" s="130">
        <f>IF($F605="","","MVT-"&amp;TEXT(ROW()-6,"0000"))</f>
        <v/>
      </c>
      <c r="F605" s="134" t="n"/>
      <c r="G605" s="127" t="n"/>
      <c r="H605" s="130">
        <f>IF($G605="","",IFERROR(INDEX(FOU_Article,MATCH($G605,FOU_Code,0)),"⚠ Code inconnu"))</f>
        <v/>
      </c>
      <c r="I605" s="127" t="n"/>
      <c r="J605" s="128" t="n"/>
      <c r="K605" s="127" t="n"/>
      <c r="L605" s="127" t="n"/>
    </row>
    <row r="606" ht="21" customHeight="1">
      <c r="A606" s="1" t="n"/>
      <c r="B606" s="1" t="n"/>
      <c r="C606" s="2" t="n"/>
      <c r="E606" s="130">
        <f>IF($F606="","","MVT-"&amp;TEXT(ROW()-6,"0000"))</f>
        <v/>
      </c>
      <c r="F606" s="134" t="n"/>
      <c r="G606" s="127" t="n"/>
      <c r="H606" s="130">
        <f>IF($G606="","",IFERROR(INDEX(FOU_Article,MATCH($G606,FOU_Code,0)),"⚠ Code inconnu"))</f>
        <v/>
      </c>
      <c r="I606" s="127" t="n"/>
      <c r="J606" s="128" t="n"/>
      <c r="K606" s="127" t="n"/>
      <c r="L606" s="127" t="n"/>
    </row>
    <row r="607" ht="21" customHeight="1">
      <c r="A607" s="1" t="n"/>
      <c r="B607" s="1" t="n"/>
      <c r="C607" s="2" t="n"/>
      <c r="E607" s="130">
        <f>IF($F607="","","MVT-"&amp;TEXT(ROW()-6,"0000"))</f>
        <v/>
      </c>
      <c r="F607" s="134" t="n"/>
      <c r="G607" s="127" t="n"/>
      <c r="H607" s="130">
        <f>IF($G607="","",IFERROR(INDEX(FOU_Article,MATCH($G607,FOU_Code,0)),"⚠ Code inconnu"))</f>
        <v/>
      </c>
      <c r="I607" s="127" t="n"/>
      <c r="J607" s="128" t="n"/>
      <c r="K607" s="127" t="n"/>
      <c r="L607" s="127" t="n"/>
    </row>
    <row r="608" ht="21" customHeight="1">
      <c r="A608" s="1" t="n"/>
      <c r="B608" s="1" t="n"/>
      <c r="C608" s="2" t="n"/>
      <c r="E608" s="130">
        <f>IF($F608="","","MVT-"&amp;TEXT(ROW()-6,"0000"))</f>
        <v/>
      </c>
      <c r="F608" s="134" t="n"/>
      <c r="G608" s="127" t="n"/>
      <c r="H608" s="130">
        <f>IF($G608="","",IFERROR(INDEX(FOU_Article,MATCH($G608,FOU_Code,0)),"⚠ Code inconnu"))</f>
        <v/>
      </c>
      <c r="I608" s="127" t="n"/>
      <c r="J608" s="128" t="n"/>
      <c r="K608" s="127" t="n"/>
      <c r="L608" s="127" t="n"/>
    </row>
    <row r="609" ht="21" customHeight="1">
      <c r="A609" s="1" t="n"/>
      <c r="B609" s="1" t="n"/>
      <c r="C609" s="2" t="n"/>
      <c r="E609" s="130">
        <f>IF($F609="","","MVT-"&amp;TEXT(ROW()-6,"0000"))</f>
        <v/>
      </c>
      <c r="F609" s="134" t="n"/>
      <c r="G609" s="127" t="n"/>
      <c r="H609" s="130">
        <f>IF($G609="","",IFERROR(INDEX(FOU_Article,MATCH($G609,FOU_Code,0)),"⚠ Code inconnu"))</f>
        <v/>
      </c>
      <c r="I609" s="127" t="n"/>
      <c r="J609" s="128" t="n"/>
      <c r="K609" s="127" t="n"/>
      <c r="L609" s="127" t="n"/>
    </row>
    <row r="610" ht="21" customHeight="1">
      <c r="A610" s="1" t="n"/>
      <c r="B610" s="1" t="n"/>
      <c r="C610" s="2" t="n"/>
      <c r="E610" s="130">
        <f>IF($F610="","","MVT-"&amp;TEXT(ROW()-6,"0000"))</f>
        <v/>
      </c>
      <c r="F610" s="134" t="n"/>
      <c r="G610" s="127" t="n"/>
      <c r="H610" s="130">
        <f>IF($G610="","",IFERROR(INDEX(FOU_Article,MATCH($G610,FOU_Code,0)),"⚠ Code inconnu"))</f>
        <v/>
      </c>
      <c r="I610" s="127" t="n"/>
      <c r="J610" s="128" t="n"/>
      <c r="K610" s="127" t="n"/>
      <c r="L610" s="127" t="n"/>
    </row>
    <row r="611" ht="21" customHeight="1">
      <c r="A611" s="1" t="n"/>
      <c r="B611" s="1" t="n"/>
      <c r="C611" s="2" t="n"/>
      <c r="E611" s="130">
        <f>IF($F611="","","MVT-"&amp;TEXT(ROW()-6,"0000"))</f>
        <v/>
      </c>
      <c r="F611" s="134" t="n"/>
      <c r="G611" s="127" t="n"/>
      <c r="H611" s="130">
        <f>IF($G611="","",IFERROR(INDEX(FOU_Article,MATCH($G611,FOU_Code,0)),"⚠ Code inconnu"))</f>
        <v/>
      </c>
      <c r="I611" s="127" t="n"/>
      <c r="J611" s="128" t="n"/>
      <c r="K611" s="127" t="n"/>
      <c r="L611" s="127" t="n"/>
    </row>
    <row r="612" ht="21" customHeight="1">
      <c r="A612" s="1" t="n"/>
      <c r="B612" s="1" t="n"/>
      <c r="C612" s="2" t="n"/>
      <c r="E612" s="130">
        <f>IF($F612="","","MVT-"&amp;TEXT(ROW()-6,"0000"))</f>
        <v/>
      </c>
      <c r="F612" s="134" t="n"/>
      <c r="G612" s="127" t="n"/>
      <c r="H612" s="130">
        <f>IF($G612="","",IFERROR(INDEX(FOU_Article,MATCH($G612,FOU_Code,0)),"⚠ Code inconnu"))</f>
        <v/>
      </c>
      <c r="I612" s="127" t="n"/>
      <c r="J612" s="128" t="n"/>
      <c r="K612" s="127" t="n"/>
      <c r="L612" s="127" t="n"/>
    </row>
    <row r="613" ht="21" customHeight="1">
      <c r="A613" s="1" t="n"/>
      <c r="B613" s="1" t="n"/>
      <c r="C613" s="2" t="n"/>
      <c r="E613" s="130">
        <f>IF($F613="","","MVT-"&amp;TEXT(ROW()-6,"0000"))</f>
        <v/>
      </c>
      <c r="F613" s="134" t="n"/>
      <c r="G613" s="127" t="n"/>
      <c r="H613" s="130">
        <f>IF($G613="","",IFERROR(INDEX(FOU_Article,MATCH($G613,FOU_Code,0)),"⚠ Code inconnu"))</f>
        <v/>
      </c>
      <c r="I613" s="127" t="n"/>
      <c r="J613" s="128" t="n"/>
      <c r="K613" s="127" t="n"/>
      <c r="L613" s="127" t="n"/>
    </row>
    <row r="614" ht="21" customHeight="1">
      <c r="A614" s="1" t="n"/>
      <c r="B614" s="1" t="n"/>
      <c r="C614" s="2" t="n"/>
      <c r="E614" s="130">
        <f>IF($F614="","","MVT-"&amp;TEXT(ROW()-6,"0000"))</f>
        <v/>
      </c>
      <c r="F614" s="134" t="n"/>
      <c r="G614" s="127" t="n"/>
      <c r="H614" s="130">
        <f>IF($G614="","",IFERROR(INDEX(FOU_Article,MATCH($G614,FOU_Code,0)),"⚠ Code inconnu"))</f>
        <v/>
      </c>
      <c r="I614" s="127" t="n"/>
      <c r="J614" s="128" t="n"/>
      <c r="K614" s="127" t="n"/>
      <c r="L614" s="127" t="n"/>
    </row>
    <row r="615" ht="21" customHeight="1">
      <c r="A615" s="1" t="n"/>
      <c r="B615" s="1" t="n"/>
      <c r="C615" s="2" t="n"/>
      <c r="E615" s="130">
        <f>IF($F615="","","MVT-"&amp;TEXT(ROW()-6,"0000"))</f>
        <v/>
      </c>
      <c r="F615" s="134" t="n"/>
      <c r="G615" s="127" t="n"/>
      <c r="H615" s="130">
        <f>IF($G615="","",IFERROR(INDEX(FOU_Article,MATCH($G615,FOU_Code,0)),"⚠ Code inconnu"))</f>
        <v/>
      </c>
      <c r="I615" s="127" t="n"/>
      <c r="J615" s="128" t="n"/>
      <c r="K615" s="127" t="n"/>
      <c r="L615" s="127" t="n"/>
    </row>
    <row r="616" ht="21" customHeight="1">
      <c r="A616" s="1" t="n"/>
      <c r="B616" s="1" t="n"/>
      <c r="C616" s="2" t="n"/>
      <c r="E616" s="130">
        <f>IF($F616="","","MVT-"&amp;TEXT(ROW()-6,"0000"))</f>
        <v/>
      </c>
      <c r="F616" s="134" t="n"/>
      <c r="G616" s="127" t="n"/>
      <c r="H616" s="130">
        <f>IF($G616="","",IFERROR(INDEX(FOU_Article,MATCH($G616,FOU_Code,0)),"⚠ Code inconnu"))</f>
        <v/>
      </c>
      <c r="I616" s="127" t="n"/>
      <c r="J616" s="128" t="n"/>
      <c r="K616" s="127" t="n"/>
      <c r="L616" s="127" t="n"/>
    </row>
    <row r="617" ht="21" customHeight="1">
      <c r="A617" s="1" t="n"/>
      <c r="B617" s="1" t="n"/>
      <c r="C617" s="2" t="n"/>
      <c r="E617" s="130">
        <f>IF($F617="","","MVT-"&amp;TEXT(ROW()-6,"0000"))</f>
        <v/>
      </c>
      <c r="F617" s="134" t="n"/>
      <c r="G617" s="127" t="n"/>
      <c r="H617" s="130">
        <f>IF($G617="","",IFERROR(INDEX(FOU_Article,MATCH($G617,FOU_Code,0)),"⚠ Code inconnu"))</f>
        <v/>
      </c>
      <c r="I617" s="127" t="n"/>
      <c r="J617" s="128" t="n"/>
      <c r="K617" s="127" t="n"/>
      <c r="L617" s="127" t="n"/>
    </row>
    <row r="618" ht="21" customHeight="1">
      <c r="A618" s="1" t="n"/>
      <c r="B618" s="1" t="n"/>
      <c r="C618" s="2" t="n"/>
      <c r="E618" s="130">
        <f>IF($F618="","","MVT-"&amp;TEXT(ROW()-6,"0000"))</f>
        <v/>
      </c>
      <c r="F618" s="134" t="n"/>
      <c r="G618" s="127" t="n"/>
      <c r="H618" s="130">
        <f>IF($G618="","",IFERROR(INDEX(FOU_Article,MATCH($G618,FOU_Code,0)),"⚠ Code inconnu"))</f>
        <v/>
      </c>
      <c r="I618" s="127" t="n"/>
      <c r="J618" s="128" t="n"/>
      <c r="K618" s="127" t="n"/>
      <c r="L618" s="127" t="n"/>
    </row>
    <row r="619" ht="21" customHeight="1">
      <c r="A619" s="1" t="n"/>
      <c r="B619" s="1" t="n"/>
      <c r="C619" s="2" t="n"/>
      <c r="E619" s="130">
        <f>IF($F619="","","MVT-"&amp;TEXT(ROW()-6,"0000"))</f>
        <v/>
      </c>
      <c r="F619" s="134" t="n"/>
      <c r="G619" s="127" t="n"/>
      <c r="H619" s="130">
        <f>IF($G619="","",IFERROR(INDEX(FOU_Article,MATCH($G619,FOU_Code,0)),"⚠ Code inconnu"))</f>
        <v/>
      </c>
      <c r="I619" s="127" t="n"/>
      <c r="J619" s="128" t="n"/>
      <c r="K619" s="127" t="n"/>
      <c r="L619" s="127" t="n"/>
    </row>
    <row r="620" ht="21" customHeight="1">
      <c r="A620" s="1" t="n"/>
      <c r="B620" s="1" t="n"/>
      <c r="C620" s="2" t="n"/>
      <c r="E620" s="130">
        <f>IF($F620="","","MVT-"&amp;TEXT(ROW()-6,"0000"))</f>
        <v/>
      </c>
      <c r="F620" s="134" t="n"/>
      <c r="G620" s="127" t="n"/>
      <c r="H620" s="130">
        <f>IF($G620="","",IFERROR(INDEX(FOU_Article,MATCH($G620,FOU_Code,0)),"⚠ Code inconnu"))</f>
        <v/>
      </c>
      <c r="I620" s="127" t="n"/>
      <c r="J620" s="128" t="n"/>
      <c r="K620" s="127" t="n"/>
      <c r="L620" s="127" t="n"/>
    </row>
    <row r="621" ht="21" customHeight="1">
      <c r="A621" s="1" t="n"/>
      <c r="B621" s="1" t="n"/>
      <c r="C621" s="2" t="n"/>
      <c r="E621" s="130">
        <f>IF($F621="","","MVT-"&amp;TEXT(ROW()-6,"0000"))</f>
        <v/>
      </c>
      <c r="F621" s="134" t="n"/>
      <c r="G621" s="127" t="n"/>
      <c r="H621" s="130">
        <f>IF($G621="","",IFERROR(INDEX(FOU_Article,MATCH($G621,FOU_Code,0)),"⚠ Code inconnu"))</f>
        <v/>
      </c>
      <c r="I621" s="127" t="n"/>
      <c r="J621" s="128" t="n"/>
      <c r="K621" s="127" t="n"/>
      <c r="L621" s="127" t="n"/>
    </row>
    <row r="622" ht="21" customHeight="1">
      <c r="A622" s="1" t="n"/>
      <c r="B622" s="1" t="n"/>
      <c r="C622" s="2" t="n"/>
      <c r="E622" s="130">
        <f>IF($F622="","","MVT-"&amp;TEXT(ROW()-6,"0000"))</f>
        <v/>
      </c>
      <c r="F622" s="134" t="n"/>
      <c r="G622" s="127" t="n"/>
      <c r="H622" s="130">
        <f>IF($G622="","",IFERROR(INDEX(FOU_Article,MATCH($G622,FOU_Code,0)),"⚠ Code inconnu"))</f>
        <v/>
      </c>
      <c r="I622" s="127" t="n"/>
      <c r="J622" s="128" t="n"/>
      <c r="K622" s="127" t="n"/>
      <c r="L622" s="127" t="n"/>
    </row>
    <row r="623" ht="21" customHeight="1">
      <c r="A623" s="1" t="n"/>
      <c r="B623" s="1" t="n"/>
      <c r="C623" s="2" t="n"/>
      <c r="E623" s="130">
        <f>IF($F623="","","MVT-"&amp;TEXT(ROW()-6,"0000"))</f>
        <v/>
      </c>
      <c r="F623" s="134" t="n"/>
      <c r="G623" s="127" t="n"/>
      <c r="H623" s="130">
        <f>IF($G623="","",IFERROR(INDEX(FOU_Article,MATCH($G623,FOU_Code,0)),"⚠ Code inconnu"))</f>
        <v/>
      </c>
      <c r="I623" s="127" t="n"/>
      <c r="J623" s="128" t="n"/>
      <c r="K623" s="127" t="n"/>
      <c r="L623" s="127" t="n"/>
    </row>
    <row r="624" ht="21" customHeight="1">
      <c r="A624" s="1" t="n"/>
      <c r="B624" s="1" t="n"/>
      <c r="C624" s="2" t="n"/>
      <c r="E624" s="130">
        <f>IF($F624="","","MVT-"&amp;TEXT(ROW()-6,"0000"))</f>
        <v/>
      </c>
      <c r="F624" s="134" t="n"/>
      <c r="G624" s="127" t="n"/>
      <c r="H624" s="130">
        <f>IF($G624="","",IFERROR(INDEX(FOU_Article,MATCH($G624,FOU_Code,0)),"⚠ Code inconnu"))</f>
        <v/>
      </c>
      <c r="I624" s="127" t="n"/>
      <c r="J624" s="128" t="n"/>
      <c r="K624" s="127" t="n"/>
      <c r="L624" s="127" t="n"/>
    </row>
    <row r="625" ht="21" customHeight="1">
      <c r="A625" s="1" t="n"/>
      <c r="B625" s="1" t="n"/>
      <c r="C625" s="2" t="n"/>
      <c r="E625" s="130">
        <f>IF($F625="","","MVT-"&amp;TEXT(ROW()-6,"0000"))</f>
        <v/>
      </c>
      <c r="F625" s="134" t="n"/>
      <c r="G625" s="127" t="n"/>
      <c r="H625" s="130">
        <f>IF($G625="","",IFERROR(INDEX(FOU_Article,MATCH($G625,FOU_Code,0)),"⚠ Code inconnu"))</f>
        <v/>
      </c>
      <c r="I625" s="127" t="n"/>
      <c r="J625" s="128" t="n"/>
      <c r="K625" s="127" t="n"/>
      <c r="L625" s="127" t="n"/>
    </row>
    <row r="626" ht="21" customHeight="1">
      <c r="A626" s="1" t="n"/>
      <c r="B626" s="1" t="n"/>
      <c r="C626" s="2" t="n"/>
      <c r="E626" s="130">
        <f>IF($F626="","","MVT-"&amp;TEXT(ROW()-6,"0000"))</f>
        <v/>
      </c>
      <c r="F626" s="134" t="n"/>
      <c r="G626" s="127" t="n"/>
      <c r="H626" s="130">
        <f>IF($G626="","",IFERROR(INDEX(FOU_Article,MATCH($G626,FOU_Code,0)),"⚠ Code inconnu"))</f>
        <v/>
      </c>
      <c r="I626" s="127" t="n"/>
      <c r="J626" s="128" t="n"/>
      <c r="K626" s="127" t="n"/>
      <c r="L626" s="127" t="n"/>
    </row>
    <row r="627" ht="21" customHeight="1">
      <c r="A627" s="1" t="n"/>
      <c r="B627" s="1" t="n"/>
      <c r="C627" s="2" t="n"/>
      <c r="E627" s="130">
        <f>IF($F627="","","MVT-"&amp;TEXT(ROW()-6,"0000"))</f>
        <v/>
      </c>
      <c r="F627" s="134" t="n"/>
      <c r="G627" s="127" t="n"/>
      <c r="H627" s="130">
        <f>IF($G627="","",IFERROR(INDEX(FOU_Article,MATCH($G627,FOU_Code,0)),"⚠ Code inconnu"))</f>
        <v/>
      </c>
      <c r="I627" s="127" t="n"/>
      <c r="J627" s="128" t="n"/>
      <c r="K627" s="127" t="n"/>
      <c r="L627" s="127" t="n"/>
    </row>
    <row r="628" ht="21" customHeight="1">
      <c r="A628" s="1" t="n"/>
      <c r="B628" s="1" t="n"/>
      <c r="C628" s="2" t="n"/>
      <c r="E628" s="130">
        <f>IF($F628="","","MVT-"&amp;TEXT(ROW()-6,"0000"))</f>
        <v/>
      </c>
      <c r="F628" s="134" t="n"/>
      <c r="G628" s="127" t="n"/>
      <c r="H628" s="130">
        <f>IF($G628="","",IFERROR(INDEX(FOU_Article,MATCH($G628,FOU_Code,0)),"⚠ Code inconnu"))</f>
        <v/>
      </c>
      <c r="I628" s="127" t="n"/>
      <c r="J628" s="128" t="n"/>
      <c r="K628" s="127" t="n"/>
      <c r="L628" s="127" t="n"/>
    </row>
    <row r="629" ht="21" customHeight="1">
      <c r="A629" s="1" t="n"/>
      <c r="B629" s="1" t="n"/>
      <c r="C629" s="2" t="n"/>
      <c r="E629" s="130">
        <f>IF($F629="","","MVT-"&amp;TEXT(ROW()-6,"0000"))</f>
        <v/>
      </c>
      <c r="F629" s="134" t="n"/>
      <c r="G629" s="127" t="n"/>
      <c r="H629" s="130">
        <f>IF($G629="","",IFERROR(INDEX(FOU_Article,MATCH($G629,FOU_Code,0)),"⚠ Code inconnu"))</f>
        <v/>
      </c>
      <c r="I629" s="127" t="n"/>
      <c r="J629" s="128" t="n"/>
      <c r="K629" s="127" t="n"/>
      <c r="L629" s="127" t="n"/>
    </row>
    <row r="630" ht="21" customHeight="1">
      <c r="A630" s="1" t="n"/>
      <c r="B630" s="1" t="n"/>
      <c r="C630" s="2" t="n"/>
      <c r="E630" s="130">
        <f>IF($F630="","","MVT-"&amp;TEXT(ROW()-6,"0000"))</f>
        <v/>
      </c>
      <c r="F630" s="134" t="n"/>
      <c r="G630" s="127" t="n"/>
      <c r="H630" s="130">
        <f>IF($G630="","",IFERROR(INDEX(FOU_Article,MATCH($G630,FOU_Code,0)),"⚠ Code inconnu"))</f>
        <v/>
      </c>
      <c r="I630" s="127" t="n"/>
      <c r="J630" s="128" t="n"/>
      <c r="K630" s="127" t="n"/>
      <c r="L630" s="127" t="n"/>
    </row>
    <row r="631" ht="21" customHeight="1">
      <c r="A631" s="1" t="n"/>
      <c r="B631" s="1" t="n"/>
      <c r="C631" s="2" t="n"/>
      <c r="E631" s="130">
        <f>IF($F631="","","MVT-"&amp;TEXT(ROW()-6,"0000"))</f>
        <v/>
      </c>
      <c r="F631" s="134" t="n"/>
      <c r="G631" s="127" t="n"/>
      <c r="H631" s="130">
        <f>IF($G631="","",IFERROR(INDEX(FOU_Article,MATCH($G631,FOU_Code,0)),"⚠ Code inconnu"))</f>
        <v/>
      </c>
      <c r="I631" s="127" t="n"/>
      <c r="J631" s="128" t="n"/>
      <c r="K631" s="127" t="n"/>
      <c r="L631" s="127" t="n"/>
    </row>
    <row r="632" ht="21" customHeight="1">
      <c r="A632" s="1" t="n"/>
      <c r="B632" s="1" t="n"/>
      <c r="C632" s="2" t="n"/>
      <c r="E632" s="130">
        <f>IF($F632="","","MVT-"&amp;TEXT(ROW()-6,"0000"))</f>
        <v/>
      </c>
      <c r="F632" s="134" t="n"/>
      <c r="G632" s="127" t="n"/>
      <c r="H632" s="130">
        <f>IF($G632="","",IFERROR(INDEX(FOU_Article,MATCH($G632,FOU_Code,0)),"⚠ Code inconnu"))</f>
        <v/>
      </c>
      <c r="I632" s="127" t="n"/>
      <c r="J632" s="128" t="n"/>
      <c r="K632" s="127" t="n"/>
      <c r="L632" s="127" t="n"/>
    </row>
    <row r="633" ht="21" customHeight="1">
      <c r="A633" s="1" t="n"/>
      <c r="B633" s="1" t="n"/>
      <c r="C633" s="2" t="n"/>
      <c r="E633" s="130">
        <f>IF($F633="","","MVT-"&amp;TEXT(ROW()-6,"0000"))</f>
        <v/>
      </c>
      <c r="F633" s="134" t="n"/>
      <c r="G633" s="127" t="n"/>
      <c r="H633" s="130">
        <f>IF($G633="","",IFERROR(INDEX(FOU_Article,MATCH($G633,FOU_Code,0)),"⚠ Code inconnu"))</f>
        <v/>
      </c>
      <c r="I633" s="127" t="n"/>
      <c r="J633" s="128" t="n"/>
      <c r="K633" s="127" t="n"/>
      <c r="L633" s="127" t="n"/>
    </row>
    <row r="634" ht="21" customHeight="1">
      <c r="A634" s="1" t="n"/>
      <c r="B634" s="1" t="n"/>
      <c r="C634" s="2" t="n"/>
      <c r="E634" s="130">
        <f>IF($F634="","","MVT-"&amp;TEXT(ROW()-6,"0000"))</f>
        <v/>
      </c>
      <c r="F634" s="134" t="n"/>
      <c r="G634" s="127" t="n"/>
      <c r="H634" s="130">
        <f>IF($G634="","",IFERROR(INDEX(FOU_Article,MATCH($G634,FOU_Code,0)),"⚠ Code inconnu"))</f>
        <v/>
      </c>
      <c r="I634" s="127" t="n"/>
      <c r="J634" s="128" t="n"/>
      <c r="K634" s="127" t="n"/>
      <c r="L634" s="127" t="n"/>
    </row>
    <row r="635" ht="21" customHeight="1">
      <c r="A635" s="1" t="n"/>
      <c r="B635" s="1" t="n"/>
      <c r="C635" s="2" t="n"/>
      <c r="E635" s="130">
        <f>IF($F635="","","MVT-"&amp;TEXT(ROW()-6,"0000"))</f>
        <v/>
      </c>
      <c r="F635" s="134" t="n"/>
      <c r="G635" s="127" t="n"/>
      <c r="H635" s="130">
        <f>IF($G635="","",IFERROR(INDEX(FOU_Article,MATCH($G635,FOU_Code,0)),"⚠ Code inconnu"))</f>
        <v/>
      </c>
      <c r="I635" s="127" t="n"/>
      <c r="J635" s="128" t="n"/>
      <c r="K635" s="127" t="n"/>
      <c r="L635" s="127" t="n"/>
    </row>
    <row r="636" ht="21" customHeight="1">
      <c r="A636" s="1" t="n"/>
      <c r="B636" s="1" t="n"/>
      <c r="C636" s="2" t="n"/>
      <c r="E636" s="130">
        <f>IF($F636="","","MVT-"&amp;TEXT(ROW()-6,"0000"))</f>
        <v/>
      </c>
      <c r="F636" s="134" t="n"/>
      <c r="G636" s="127" t="n"/>
      <c r="H636" s="130">
        <f>IF($G636="","",IFERROR(INDEX(FOU_Article,MATCH($G636,FOU_Code,0)),"⚠ Code inconnu"))</f>
        <v/>
      </c>
      <c r="I636" s="127" t="n"/>
      <c r="J636" s="128" t="n"/>
      <c r="K636" s="127" t="n"/>
      <c r="L636" s="127" t="n"/>
    </row>
    <row r="637" ht="21" customHeight="1">
      <c r="A637" s="1" t="n"/>
      <c r="B637" s="1" t="n"/>
      <c r="C637" s="2" t="n"/>
      <c r="E637" s="130">
        <f>IF($F637="","","MVT-"&amp;TEXT(ROW()-6,"0000"))</f>
        <v/>
      </c>
      <c r="F637" s="134" t="n"/>
      <c r="G637" s="127" t="n"/>
      <c r="H637" s="130">
        <f>IF($G637="","",IFERROR(INDEX(FOU_Article,MATCH($G637,FOU_Code,0)),"⚠ Code inconnu"))</f>
        <v/>
      </c>
      <c r="I637" s="127" t="n"/>
      <c r="J637" s="128" t="n"/>
      <c r="K637" s="127" t="n"/>
      <c r="L637" s="127" t="n"/>
    </row>
    <row r="638" ht="21" customHeight="1">
      <c r="A638" s="1" t="n"/>
      <c r="B638" s="1" t="n"/>
      <c r="C638" s="2" t="n"/>
      <c r="E638" s="130">
        <f>IF($F638="","","MVT-"&amp;TEXT(ROW()-6,"0000"))</f>
        <v/>
      </c>
      <c r="F638" s="134" t="n"/>
      <c r="G638" s="127" t="n"/>
      <c r="H638" s="130">
        <f>IF($G638="","",IFERROR(INDEX(FOU_Article,MATCH($G638,FOU_Code,0)),"⚠ Code inconnu"))</f>
        <v/>
      </c>
      <c r="I638" s="127" t="n"/>
      <c r="J638" s="128" t="n"/>
      <c r="K638" s="127" t="n"/>
      <c r="L638" s="127" t="n"/>
    </row>
    <row r="639" ht="21" customHeight="1">
      <c r="A639" s="1" t="n"/>
      <c r="B639" s="1" t="n"/>
      <c r="C639" s="2" t="n"/>
      <c r="E639" s="130">
        <f>IF($F639="","","MVT-"&amp;TEXT(ROW()-6,"0000"))</f>
        <v/>
      </c>
      <c r="F639" s="134" t="n"/>
      <c r="G639" s="127" t="n"/>
      <c r="H639" s="130">
        <f>IF($G639="","",IFERROR(INDEX(FOU_Article,MATCH($G639,FOU_Code,0)),"⚠ Code inconnu"))</f>
        <v/>
      </c>
      <c r="I639" s="127" t="n"/>
      <c r="J639" s="128" t="n"/>
      <c r="K639" s="127" t="n"/>
      <c r="L639" s="127" t="n"/>
    </row>
    <row r="640" ht="21" customHeight="1">
      <c r="A640" s="1" t="n"/>
      <c r="B640" s="1" t="n"/>
      <c r="C640" s="2" t="n"/>
      <c r="E640" s="130">
        <f>IF($F640="","","MVT-"&amp;TEXT(ROW()-6,"0000"))</f>
        <v/>
      </c>
      <c r="F640" s="134" t="n"/>
      <c r="G640" s="127" t="n"/>
      <c r="H640" s="130">
        <f>IF($G640="","",IFERROR(INDEX(FOU_Article,MATCH($G640,FOU_Code,0)),"⚠ Code inconnu"))</f>
        <v/>
      </c>
      <c r="I640" s="127" t="n"/>
      <c r="J640" s="128" t="n"/>
      <c r="K640" s="127" t="n"/>
      <c r="L640" s="127" t="n"/>
    </row>
    <row r="641" ht="21" customHeight="1">
      <c r="A641" s="1" t="n"/>
      <c r="B641" s="1" t="n"/>
      <c r="C641" s="2" t="n"/>
      <c r="E641" s="130">
        <f>IF($F641="","","MVT-"&amp;TEXT(ROW()-6,"0000"))</f>
        <v/>
      </c>
      <c r="F641" s="134" t="n"/>
      <c r="G641" s="127" t="n"/>
      <c r="H641" s="130">
        <f>IF($G641="","",IFERROR(INDEX(FOU_Article,MATCH($G641,FOU_Code,0)),"⚠ Code inconnu"))</f>
        <v/>
      </c>
      <c r="I641" s="127" t="n"/>
      <c r="J641" s="128" t="n"/>
      <c r="K641" s="127" t="n"/>
      <c r="L641" s="127" t="n"/>
    </row>
    <row r="642" ht="21" customHeight="1">
      <c r="A642" s="1" t="n"/>
      <c r="B642" s="1" t="n"/>
      <c r="C642" s="2" t="n"/>
      <c r="E642" s="130">
        <f>IF($F642="","","MVT-"&amp;TEXT(ROW()-6,"0000"))</f>
        <v/>
      </c>
      <c r="F642" s="134" t="n"/>
      <c r="G642" s="127" t="n"/>
      <c r="H642" s="130">
        <f>IF($G642="","",IFERROR(INDEX(FOU_Article,MATCH($G642,FOU_Code,0)),"⚠ Code inconnu"))</f>
        <v/>
      </c>
      <c r="I642" s="127" t="n"/>
      <c r="J642" s="128" t="n"/>
      <c r="K642" s="127" t="n"/>
      <c r="L642" s="127" t="n"/>
    </row>
    <row r="643" ht="21" customHeight="1">
      <c r="A643" s="1" t="n"/>
      <c r="B643" s="1" t="n"/>
      <c r="C643" s="2" t="n"/>
      <c r="E643" s="130">
        <f>IF($F643="","","MVT-"&amp;TEXT(ROW()-6,"0000"))</f>
        <v/>
      </c>
      <c r="F643" s="134" t="n"/>
      <c r="G643" s="127" t="n"/>
      <c r="H643" s="130">
        <f>IF($G643="","",IFERROR(INDEX(FOU_Article,MATCH($G643,FOU_Code,0)),"⚠ Code inconnu"))</f>
        <v/>
      </c>
      <c r="I643" s="127" t="n"/>
      <c r="J643" s="128" t="n"/>
      <c r="K643" s="127" t="n"/>
      <c r="L643" s="127" t="n"/>
    </row>
    <row r="644" ht="21" customHeight="1">
      <c r="A644" s="1" t="n"/>
      <c r="B644" s="1" t="n"/>
      <c r="C644" s="2" t="n"/>
      <c r="E644" s="130">
        <f>IF($F644="","","MVT-"&amp;TEXT(ROW()-6,"0000"))</f>
        <v/>
      </c>
      <c r="F644" s="134" t="n"/>
      <c r="G644" s="127" t="n"/>
      <c r="H644" s="130">
        <f>IF($G644="","",IFERROR(INDEX(FOU_Article,MATCH($G644,FOU_Code,0)),"⚠ Code inconnu"))</f>
        <v/>
      </c>
      <c r="I644" s="127" t="n"/>
      <c r="J644" s="128" t="n"/>
      <c r="K644" s="127" t="n"/>
      <c r="L644" s="127" t="n"/>
    </row>
    <row r="645" ht="21" customHeight="1">
      <c r="A645" s="1" t="n"/>
      <c r="B645" s="1" t="n"/>
      <c r="C645" s="2" t="n"/>
      <c r="E645" s="130">
        <f>IF($F645="","","MVT-"&amp;TEXT(ROW()-6,"0000"))</f>
        <v/>
      </c>
      <c r="F645" s="134" t="n"/>
      <c r="G645" s="127" t="n"/>
      <c r="H645" s="130">
        <f>IF($G645="","",IFERROR(INDEX(FOU_Article,MATCH($G645,FOU_Code,0)),"⚠ Code inconnu"))</f>
        <v/>
      </c>
      <c r="I645" s="127" t="n"/>
      <c r="J645" s="128" t="n"/>
      <c r="K645" s="127" t="n"/>
      <c r="L645" s="127" t="n"/>
    </row>
    <row r="646" ht="21" customHeight="1">
      <c r="A646" s="1" t="n"/>
      <c r="B646" s="1" t="n"/>
      <c r="C646" s="2" t="n"/>
      <c r="E646" s="130">
        <f>IF($F646="","","MVT-"&amp;TEXT(ROW()-6,"0000"))</f>
        <v/>
      </c>
      <c r="F646" s="134" t="n"/>
      <c r="G646" s="127" t="n"/>
      <c r="H646" s="130">
        <f>IF($G646="","",IFERROR(INDEX(FOU_Article,MATCH($G646,FOU_Code,0)),"⚠ Code inconnu"))</f>
        <v/>
      </c>
      <c r="I646" s="127" t="n"/>
      <c r="J646" s="128" t="n"/>
      <c r="K646" s="127" t="n"/>
      <c r="L646" s="127" t="n"/>
    </row>
    <row r="647" ht="21" customHeight="1">
      <c r="A647" s="1" t="n"/>
      <c r="B647" s="1" t="n"/>
      <c r="C647" s="2" t="n"/>
      <c r="E647" s="130">
        <f>IF($F647="","","MVT-"&amp;TEXT(ROW()-6,"0000"))</f>
        <v/>
      </c>
      <c r="F647" s="134" t="n"/>
      <c r="G647" s="127" t="n"/>
      <c r="H647" s="130">
        <f>IF($G647="","",IFERROR(INDEX(FOU_Article,MATCH($G647,FOU_Code,0)),"⚠ Code inconnu"))</f>
        <v/>
      </c>
      <c r="I647" s="127" t="n"/>
      <c r="J647" s="128" t="n"/>
      <c r="K647" s="127" t="n"/>
      <c r="L647" s="127" t="n"/>
    </row>
    <row r="648" ht="21" customHeight="1">
      <c r="A648" s="1" t="n"/>
      <c r="B648" s="1" t="n"/>
      <c r="C648" s="2" t="n"/>
      <c r="E648" s="130">
        <f>IF($F648="","","MVT-"&amp;TEXT(ROW()-6,"0000"))</f>
        <v/>
      </c>
      <c r="F648" s="134" t="n"/>
      <c r="G648" s="127" t="n"/>
      <c r="H648" s="130">
        <f>IF($G648="","",IFERROR(INDEX(FOU_Article,MATCH($G648,FOU_Code,0)),"⚠ Code inconnu"))</f>
        <v/>
      </c>
      <c r="I648" s="127" t="n"/>
      <c r="J648" s="128" t="n"/>
      <c r="K648" s="127" t="n"/>
      <c r="L648" s="127" t="n"/>
    </row>
    <row r="649" ht="21" customHeight="1">
      <c r="A649" s="1" t="n"/>
      <c r="B649" s="1" t="n"/>
      <c r="C649" s="2" t="n"/>
      <c r="E649" s="130">
        <f>IF($F649="","","MVT-"&amp;TEXT(ROW()-6,"0000"))</f>
        <v/>
      </c>
      <c r="F649" s="134" t="n"/>
      <c r="G649" s="127" t="n"/>
      <c r="H649" s="130">
        <f>IF($G649="","",IFERROR(INDEX(FOU_Article,MATCH($G649,FOU_Code,0)),"⚠ Code inconnu"))</f>
        <v/>
      </c>
      <c r="I649" s="127" t="n"/>
      <c r="J649" s="128" t="n"/>
      <c r="K649" s="127" t="n"/>
      <c r="L649" s="127" t="n"/>
    </row>
    <row r="650" ht="21" customHeight="1">
      <c r="A650" s="1" t="n"/>
      <c r="B650" s="1" t="n"/>
      <c r="C650" s="2" t="n"/>
      <c r="E650" s="130">
        <f>IF($F650="","","MVT-"&amp;TEXT(ROW()-6,"0000"))</f>
        <v/>
      </c>
      <c r="F650" s="134" t="n"/>
      <c r="G650" s="127" t="n"/>
      <c r="H650" s="130">
        <f>IF($G650="","",IFERROR(INDEX(FOU_Article,MATCH($G650,FOU_Code,0)),"⚠ Code inconnu"))</f>
        <v/>
      </c>
      <c r="I650" s="127" t="n"/>
      <c r="J650" s="128" t="n"/>
      <c r="K650" s="127" t="n"/>
      <c r="L650" s="127" t="n"/>
    </row>
    <row r="651" ht="21" customHeight="1">
      <c r="A651" s="1" t="n"/>
      <c r="B651" s="1" t="n"/>
      <c r="C651" s="2" t="n"/>
      <c r="E651" s="130">
        <f>IF($F651="","","MVT-"&amp;TEXT(ROW()-6,"0000"))</f>
        <v/>
      </c>
      <c r="F651" s="134" t="n"/>
      <c r="G651" s="127" t="n"/>
      <c r="H651" s="130">
        <f>IF($G651="","",IFERROR(INDEX(FOU_Article,MATCH($G651,FOU_Code,0)),"⚠ Code inconnu"))</f>
        <v/>
      </c>
      <c r="I651" s="127" t="n"/>
      <c r="J651" s="128" t="n"/>
      <c r="K651" s="127" t="n"/>
      <c r="L651" s="127" t="n"/>
    </row>
    <row r="652" ht="21" customHeight="1">
      <c r="A652" s="1" t="n"/>
      <c r="B652" s="1" t="n"/>
      <c r="C652" s="2" t="n"/>
      <c r="E652" s="130">
        <f>IF($F652="","","MVT-"&amp;TEXT(ROW()-6,"0000"))</f>
        <v/>
      </c>
      <c r="F652" s="134" t="n"/>
      <c r="G652" s="127" t="n"/>
      <c r="H652" s="130">
        <f>IF($G652="","",IFERROR(INDEX(FOU_Article,MATCH($G652,FOU_Code,0)),"⚠ Code inconnu"))</f>
        <v/>
      </c>
      <c r="I652" s="127" t="n"/>
      <c r="J652" s="128" t="n"/>
      <c r="K652" s="127" t="n"/>
      <c r="L652" s="127" t="n"/>
    </row>
    <row r="653" ht="21" customHeight="1">
      <c r="A653" s="1" t="n"/>
      <c r="B653" s="1" t="n"/>
      <c r="C653" s="2" t="n"/>
      <c r="E653" s="130">
        <f>IF($F653="","","MVT-"&amp;TEXT(ROW()-6,"0000"))</f>
        <v/>
      </c>
      <c r="F653" s="134" t="n"/>
      <c r="G653" s="127" t="n"/>
      <c r="H653" s="130">
        <f>IF($G653="","",IFERROR(INDEX(FOU_Article,MATCH($G653,FOU_Code,0)),"⚠ Code inconnu"))</f>
        <v/>
      </c>
      <c r="I653" s="127" t="n"/>
      <c r="J653" s="128" t="n"/>
      <c r="K653" s="127" t="n"/>
      <c r="L653" s="127" t="n"/>
    </row>
    <row r="654" ht="21" customHeight="1">
      <c r="A654" s="1" t="n"/>
      <c r="B654" s="1" t="n"/>
      <c r="C654" s="2" t="n"/>
      <c r="E654" s="130">
        <f>IF($F654="","","MVT-"&amp;TEXT(ROW()-6,"0000"))</f>
        <v/>
      </c>
      <c r="F654" s="134" t="n"/>
      <c r="G654" s="127" t="n"/>
      <c r="H654" s="130">
        <f>IF($G654="","",IFERROR(INDEX(FOU_Article,MATCH($G654,FOU_Code,0)),"⚠ Code inconnu"))</f>
        <v/>
      </c>
      <c r="I654" s="127" t="n"/>
      <c r="J654" s="128" t="n"/>
      <c r="K654" s="127" t="n"/>
      <c r="L654" s="127" t="n"/>
    </row>
    <row r="655" ht="21" customHeight="1">
      <c r="A655" s="1" t="n"/>
      <c r="B655" s="1" t="n"/>
      <c r="C655" s="2" t="n"/>
      <c r="E655" s="130">
        <f>IF($F655="","","MVT-"&amp;TEXT(ROW()-6,"0000"))</f>
        <v/>
      </c>
      <c r="F655" s="134" t="n"/>
      <c r="G655" s="127" t="n"/>
      <c r="H655" s="130">
        <f>IF($G655="","",IFERROR(INDEX(FOU_Article,MATCH($G655,FOU_Code,0)),"⚠ Code inconnu"))</f>
        <v/>
      </c>
      <c r="I655" s="127" t="n"/>
      <c r="J655" s="128" t="n"/>
      <c r="K655" s="127" t="n"/>
      <c r="L655" s="127" t="n"/>
    </row>
    <row r="656" ht="21" customHeight="1">
      <c r="A656" s="1" t="n"/>
      <c r="B656" s="1" t="n"/>
      <c r="C656" s="2" t="n"/>
      <c r="E656" s="130">
        <f>IF($F656="","","MVT-"&amp;TEXT(ROW()-6,"0000"))</f>
        <v/>
      </c>
      <c r="F656" s="134" t="n"/>
      <c r="G656" s="127" t="n"/>
      <c r="H656" s="130">
        <f>IF($G656="","",IFERROR(INDEX(FOU_Article,MATCH($G656,FOU_Code,0)),"⚠ Code inconnu"))</f>
        <v/>
      </c>
      <c r="I656" s="127" t="n"/>
      <c r="J656" s="128" t="n"/>
      <c r="K656" s="127" t="n"/>
      <c r="L656" s="127" t="n"/>
    </row>
    <row r="657" ht="21" customHeight="1">
      <c r="A657" s="1" t="n"/>
      <c r="B657" s="1" t="n"/>
      <c r="C657" s="2" t="n"/>
      <c r="E657" s="130">
        <f>IF($F657="","","MVT-"&amp;TEXT(ROW()-6,"0000"))</f>
        <v/>
      </c>
      <c r="F657" s="134" t="n"/>
      <c r="G657" s="127" t="n"/>
      <c r="H657" s="130">
        <f>IF($G657="","",IFERROR(INDEX(FOU_Article,MATCH($G657,FOU_Code,0)),"⚠ Code inconnu"))</f>
        <v/>
      </c>
      <c r="I657" s="127" t="n"/>
      <c r="J657" s="128" t="n"/>
      <c r="K657" s="127" t="n"/>
      <c r="L657" s="127" t="n"/>
    </row>
    <row r="658" ht="21" customHeight="1">
      <c r="A658" s="1" t="n"/>
      <c r="B658" s="1" t="n"/>
      <c r="C658" s="2" t="n"/>
      <c r="E658" s="130">
        <f>IF($F658="","","MVT-"&amp;TEXT(ROW()-6,"0000"))</f>
        <v/>
      </c>
      <c r="F658" s="134" t="n"/>
      <c r="G658" s="127" t="n"/>
      <c r="H658" s="130">
        <f>IF($G658="","",IFERROR(INDEX(FOU_Article,MATCH($G658,FOU_Code,0)),"⚠ Code inconnu"))</f>
        <v/>
      </c>
      <c r="I658" s="127" t="n"/>
      <c r="J658" s="128" t="n"/>
      <c r="K658" s="127" t="n"/>
      <c r="L658" s="127" t="n"/>
    </row>
    <row r="659" ht="21" customHeight="1">
      <c r="A659" s="1" t="n"/>
      <c r="B659" s="1" t="n"/>
      <c r="C659" s="2" t="n"/>
      <c r="E659" s="130">
        <f>IF($F659="","","MVT-"&amp;TEXT(ROW()-6,"0000"))</f>
        <v/>
      </c>
      <c r="F659" s="134" t="n"/>
      <c r="G659" s="127" t="n"/>
      <c r="H659" s="130">
        <f>IF($G659="","",IFERROR(INDEX(FOU_Article,MATCH($G659,FOU_Code,0)),"⚠ Code inconnu"))</f>
        <v/>
      </c>
      <c r="I659" s="127" t="n"/>
      <c r="J659" s="128" t="n"/>
      <c r="K659" s="127" t="n"/>
      <c r="L659" s="127" t="n"/>
    </row>
    <row r="660" ht="21" customHeight="1">
      <c r="A660" s="1" t="n"/>
      <c r="B660" s="1" t="n"/>
      <c r="C660" s="2" t="n"/>
      <c r="E660" s="130">
        <f>IF($F660="","","MVT-"&amp;TEXT(ROW()-6,"0000"))</f>
        <v/>
      </c>
      <c r="F660" s="134" t="n"/>
      <c r="G660" s="127" t="n"/>
      <c r="H660" s="130">
        <f>IF($G660="","",IFERROR(INDEX(FOU_Article,MATCH($G660,FOU_Code,0)),"⚠ Code inconnu"))</f>
        <v/>
      </c>
      <c r="I660" s="127" t="n"/>
      <c r="J660" s="128" t="n"/>
      <c r="K660" s="127" t="n"/>
      <c r="L660" s="127" t="n"/>
    </row>
    <row r="661" ht="21" customHeight="1">
      <c r="A661" s="1" t="n"/>
      <c r="B661" s="1" t="n"/>
      <c r="C661" s="2" t="n"/>
      <c r="E661" s="130">
        <f>IF($F661="","","MVT-"&amp;TEXT(ROW()-6,"0000"))</f>
        <v/>
      </c>
      <c r="F661" s="134" t="n"/>
      <c r="G661" s="127" t="n"/>
      <c r="H661" s="130">
        <f>IF($G661="","",IFERROR(INDEX(FOU_Article,MATCH($G661,FOU_Code,0)),"⚠ Code inconnu"))</f>
        <v/>
      </c>
      <c r="I661" s="127" t="n"/>
      <c r="J661" s="128" t="n"/>
      <c r="K661" s="127" t="n"/>
      <c r="L661" s="127" t="n"/>
    </row>
    <row r="662" ht="21" customHeight="1">
      <c r="A662" s="1" t="n"/>
      <c r="B662" s="1" t="n"/>
      <c r="C662" s="2" t="n"/>
      <c r="E662" s="130">
        <f>IF($F662="","","MVT-"&amp;TEXT(ROW()-6,"0000"))</f>
        <v/>
      </c>
      <c r="F662" s="134" t="n"/>
      <c r="G662" s="127" t="n"/>
      <c r="H662" s="130">
        <f>IF($G662="","",IFERROR(INDEX(FOU_Article,MATCH($G662,FOU_Code,0)),"⚠ Code inconnu"))</f>
        <v/>
      </c>
      <c r="I662" s="127" t="n"/>
      <c r="J662" s="128" t="n"/>
      <c r="K662" s="127" t="n"/>
      <c r="L662" s="127" t="n"/>
    </row>
    <row r="663" ht="21" customHeight="1">
      <c r="A663" s="1" t="n"/>
      <c r="B663" s="1" t="n"/>
      <c r="C663" s="2" t="n"/>
      <c r="E663" s="130">
        <f>IF($F663="","","MVT-"&amp;TEXT(ROW()-6,"0000"))</f>
        <v/>
      </c>
      <c r="F663" s="134" t="n"/>
      <c r="G663" s="127" t="n"/>
      <c r="H663" s="130">
        <f>IF($G663="","",IFERROR(INDEX(FOU_Article,MATCH($G663,FOU_Code,0)),"⚠ Code inconnu"))</f>
        <v/>
      </c>
      <c r="I663" s="127" t="n"/>
      <c r="J663" s="128" t="n"/>
      <c r="K663" s="127" t="n"/>
      <c r="L663" s="127" t="n"/>
    </row>
    <row r="664" ht="21" customHeight="1">
      <c r="A664" s="1" t="n"/>
      <c r="B664" s="1" t="n"/>
      <c r="C664" s="2" t="n"/>
      <c r="E664" s="130">
        <f>IF($F664="","","MVT-"&amp;TEXT(ROW()-6,"0000"))</f>
        <v/>
      </c>
      <c r="F664" s="134" t="n"/>
      <c r="G664" s="127" t="n"/>
      <c r="H664" s="130">
        <f>IF($G664="","",IFERROR(INDEX(FOU_Article,MATCH($G664,FOU_Code,0)),"⚠ Code inconnu"))</f>
        <v/>
      </c>
      <c r="I664" s="127" t="n"/>
      <c r="J664" s="128" t="n"/>
      <c r="K664" s="127" t="n"/>
      <c r="L664" s="127" t="n"/>
    </row>
    <row r="665" ht="21" customHeight="1">
      <c r="A665" s="1" t="n"/>
      <c r="B665" s="1" t="n"/>
      <c r="C665" s="2" t="n"/>
      <c r="E665" s="130">
        <f>IF($F665="","","MVT-"&amp;TEXT(ROW()-6,"0000"))</f>
        <v/>
      </c>
      <c r="F665" s="134" t="n"/>
      <c r="G665" s="127" t="n"/>
      <c r="H665" s="130">
        <f>IF($G665="","",IFERROR(INDEX(FOU_Article,MATCH($G665,FOU_Code,0)),"⚠ Code inconnu"))</f>
        <v/>
      </c>
      <c r="I665" s="127" t="n"/>
      <c r="J665" s="128" t="n"/>
      <c r="K665" s="127" t="n"/>
      <c r="L665" s="127" t="n"/>
    </row>
    <row r="666" ht="21" customHeight="1">
      <c r="A666" s="1" t="n"/>
      <c r="B666" s="1" t="n"/>
      <c r="C666" s="2" t="n"/>
      <c r="E666" s="130">
        <f>IF($F666="","","MVT-"&amp;TEXT(ROW()-6,"0000"))</f>
        <v/>
      </c>
      <c r="F666" s="134" t="n"/>
      <c r="G666" s="127" t="n"/>
      <c r="H666" s="130">
        <f>IF($G666="","",IFERROR(INDEX(FOU_Article,MATCH($G666,FOU_Code,0)),"⚠ Code inconnu"))</f>
        <v/>
      </c>
      <c r="I666" s="127" t="n"/>
      <c r="J666" s="128" t="n"/>
      <c r="K666" s="127" t="n"/>
      <c r="L666" s="127" t="n"/>
    </row>
    <row r="667" ht="21" customHeight="1">
      <c r="A667" s="1" t="n"/>
      <c r="B667" s="1" t="n"/>
      <c r="C667" s="2" t="n"/>
      <c r="E667" s="130">
        <f>IF($F667="","","MVT-"&amp;TEXT(ROW()-6,"0000"))</f>
        <v/>
      </c>
      <c r="F667" s="134" t="n"/>
      <c r="G667" s="127" t="n"/>
      <c r="H667" s="130">
        <f>IF($G667="","",IFERROR(INDEX(FOU_Article,MATCH($G667,FOU_Code,0)),"⚠ Code inconnu"))</f>
        <v/>
      </c>
      <c r="I667" s="127" t="n"/>
      <c r="J667" s="128" t="n"/>
      <c r="K667" s="127" t="n"/>
      <c r="L667" s="127" t="n"/>
    </row>
    <row r="668" ht="21" customHeight="1">
      <c r="A668" s="1" t="n"/>
      <c r="B668" s="1" t="n"/>
      <c r="C668" s="2" t="n"/>
      <c r="E668" s="130">
        <f>IF($F668="","","MVT-"&amp;TEXT(ROW()-6,"0000"))</f>
        <v/>
      </c>
      <c r="F668" s="134" t="n"/>
      <c r="G668" s="127" t="n"/>
      <c r="H668" s="130">
        <f>IF($G668="","",IFERROR(INDEX(FOU_Article,MATCH($G668,FOU_Code,0)),"⚠ Code inconnu"))</f>
        <v/>
      </c>
      <c r="I668" s="127" t="n"/>
      <c r="J668" s="128" t="n"/>
      <c r="K668" s="127" t="n"/>
      <c r="L668" s="127" t="n"/>
    </row>
    <row r="669" ht="21" customHeight="1">
      <c r="A669" s="1" t="n"/>
      <c r="B669" s="1" t="n"/>
      <c r="C669" s="2" t="n"/>
      <c r="E669" s="130">
        <f>IF($F669="","","MVT-"&amp;TEXT(ROW()-6,"0000"))</f>
        <v/>
      </c>
      <c r="F669" s="134" t="n"/>
      <c r="G669" s="127" t="n"/>
      <c r="H669" s="130">
        <f>IF($G669="","",IFERROR(INDEX(FOU_Article,MATCH($G669,FOU_Code,0)),"⚠ Code inconnu"))</f>
        <v/>
      </c>
      <c r="I669" s="127" t="n"/>
      <c r="J669" s="128" t="n"/>
      <c r="K669" s="127" t="n"/>
      <c r="L669" s="127" t="n"/>
    </row>
    <row r="670" ht="21" customHeight="1">
      <c r="A670" s="1" t="n"/>
      <c r="B670" s="1" t="n"/>
      <c r="C670" s="2" t="n"/>
      <c r="E670" s="130">
        <f>IF($F670="","","MVT-"&amp;TEXT(ROW()-6,"0000"))</f>
        <v/>
      </c>
      <c r="F670" s="134" t="n"/>
      <c r="G670" s="127" t="n"/>
      <c r="H670" s="130">
        <f>IF($G670="","",IFERROR(INDEX(FOU_Article,MATCH($G670,FOU_Code,0)),"⚠ Code inconnu"))</f>
        <v/>
      </c>
      <c r="I670" s="127" t="n"/>
      <c r="J670" s="128" t="n"/>
      <c r="K670" s="127" t="n"/>
      <c r="L670" s="127" t="n"/>
    </row>
    <row r="671" ht="21" customHeight="1">
      <c r="A671" s="1" t="n"/>
      <c r="B671" s="1" t="n"/>
      <c r="C671" s="2" t="n"/>
      <c r="E671" s="130">
        <f>IF($F671="","","MVT-"&amp;TEXT(ROW()-6,"0000"))</f>
        <v/>
      </c>
      <c r="F671" s="134" t="n"/>
      <c r="G671" s="127" t="n"/>
      <c r="H671" s="130">
        <f>IF($G671="","",IFERROR(INDEX(FOU_Article,MATCH($G671,FOU_Code,0)),"⚠ Code inconnu"))</f>
        <v/>
      </c>
      <c r="I671" s="127" t="n"/>
      <c r="J671" s="128" t="n"/>
      <c r="K671" s="127" t="n"/>
      <c r="L671" s="127" t="n"/>
    </row>
    <row r="672" ht="21" customHeight="1">
      <c r="A672" s="1" t="n"/>
      <c r="B672" s="1" t="n"/>
      <c r="C672" s="2" t="n"/>
      <c r="E672" s="130">
        <f>IF($F672="","","MVT-"&amp;TEXT(ROW()-6,"0000"))</f>
        <v/>
      </c>
      <c r="F672" s="134" t="n"/>
      <c r="G672" s="127" t="n"/>
      <c r="H672" s="130">
        <f>IF($G672="","",IFERROR(INDEX(FOU_Article,MATCH($G672,FOU_Code,0)),"⚠ Code inconnu"))</f>
        <v/>
      </c>
      <c r="I672" s="127" t="n"/>
      <c r="J672" s="128" t="n"/>
      <c r="K672" s="127" t="n"/>
      <c r="L672" s="127" t="n"/>
    </row>
    <row r="673" ht="21" customHeight="1">
      <c r="A673" s="1" t="n"/>
      <c r="B673" s="1" t="n"/>
      <c r="C673" s="2" t="n"/>
      <c r="E673" s="130">
        <f>IF($F673="","","MVT-"&amp;TEXT(ROW()-6,"0000"))</f>
        <v/>
      </c>
      <c r="F673" s="134" t="n"/>
      <c r="G673" s="127" t="n"/>
      <c r="H673" s="130">
        <f>IF($G673="","",IFERROR(INDEX(FOU_Article,MATCH($G673,FOU_Code,0)),"⚠ Code inconnu"))</f>
        <v/>
      </c>
      <c r="I673" s="127" t="n"/>
      <c r="J673" s="128" t="n"/>
      <c r="K673" s="127" t="n"/>
      <c r="L673" s="127" t="n"/>
    </row>
    <row r="674" ht="21" customHeight="1">
      <c r="A674" s="1" t="n"/>
      <c r="B674" s="1" t="n"/>
      <c r="C674" s="2" t="n"/>
      <c r="E674" s="130">
        <f>IF($F674="","","MVT-"&amp;TEXT(ROW()-6,"0000"))</f>
        <v/>
      </c>
      <c r="F674" s="134" t="n"/>
      <c r="G674" s="127" t="n"/>
      <c r="H674" s="130">
        <f>IF($G674="","",IFERROR(INDEX(FOU_Article,MATCH($G674,FOU_Code,0)),"⚠ Code inconnu"))</f>
        <v/>
      </c>
      <c r="I674" s="127" t="n"/>
      <c r="J674" s="128" t="n"/>
      <c r="K674" s="127" t="n"/>
      <c r="L674" s="127" t="n"/>
    </row>
    <row r="675" ht="21" customHeight="1">
      <c r="A675" s="1" t="n"/>
      <c r="B675" s="1" t="n"/>
      <c r="C675" s="2" t="n"/>
      <c r="E675" s="130">
        <f>IF($F675="","","MVT-"&amp;TEXT(ROW()-6,"0000"))</f>
        <v/>
      </c>
      <c r="F675" s="134" t="n"/>
      <c r="G675" s="127" t="n"/>
      <c r="H675" s="130">
        <f>IF($G675="","",IFERROR(INDEX(FOU_Article,MATCH($G675,FOU_Code,0)),"⚠ Code inconnu"))</f>
        <v/>
      </c>
      <c r="I675" s="127" t="n"/>
      <c r="J675" s="128" t="n"/>
      <c r="K675" s="127" t="n"/>
      <c r="L675" s="127" t="n"/>
    </row>
    <row r="676" ht="21" customHeight="1">
      <c r="A676" s="1" t="n"/>
      <c r="B676" s="1" t="n"/>
      <c r="C676" s="2" t="n"/>
      <c r="E676" s="130">
        <f>IF($F676="","","MVT-"&amp;TEXT(ROW()-6,"0000"))</f>
        <v/>
      </c>
      <c r="F676" s="134" t="n"/>
      <c r="G676" s="127" t="n"/>
      <c r="H676" s="130">
        <f>IF($G676="","",IFERROR(INDEX(FOU_Article,MATCH($G676,FOU_Code,0)),"⚠ Code inconnu"))</f>
        <v/>
      </c>
      <c r="I676" s="127" t="n"/>
      <c r="J676" s="128" t="n"/>
      <c r="K676" s="127" t="n"/>
      <c r="L676" s="127" t="n"/>
    </row>
    <row r="677" ht="21" customHeight="1">
      <c r="A677" s="1" t="n"/>
      <c r="B677" s="1" t="n"/>
      <c r="C677" s="2" t="n"/>
      <c r="E677" s="130">
        <f>IF($F677="","","MVT-"&amp;TEXT(ROW()-6,"0000"))</f>
        <v/>
      </c>
      <c r="F677" s="134" t="n"/>
      <c r="G677" s="127" t="n"/>
      <c r="H677" s="130">
        <f>IF($G677="","",IFERROR(INDEX(FOU_Article,MATCH($G677,FOU_Code,0)),"⚠ Code inconnu"))</f>
        <v/>
      </c>
      <c r="I677" s="127" t="n"/>
      <c r="J677" s="128" t="n"/>
      <c r="K677" s="127" t="n"/>
      <c r="L677" s="127" t="n"/>
    </row>
    <row r="678" ht="21" customHeight="1">
      <c r="A678" s="1" t="n"/>
      <c r="B678" s="1" t="n"/>
      <c r="C678" s="2" t="n"/>
      <c r="E678" s="130">
        <f>IF($F678="","","MVT-"&amp;TEXT(ROW()-6,"0000"))</f>
        <v/>
      </c>
      <c r="F678" s="134" t="n"/>
      <c r="G678" s="127" t="n"/>
      <c r="H678" s="130">
        <f>IF($G678="","",IFERROR(INDEX(FOU_Article,MATCH($G678,FOU_Code,0)),"⚠ Code inconnu"))</f>
        <v/>
      </c>
      <c r="I678" s="127" t="n"/>
      <c r="J678" s="128" t="n"/>
      <c r="K678" s="127" t="n"/>
      <c r="L678" s="127" t="n"/>
    </row>
    <row r="679" ht="21" customHeight="1">
      <c r="A679" s="1" t="n"/>
      <c r="B679" s="1" t="n"/>
      <c r="C679" s="2" t="n"/>
      <c r="E679" s="130">
        <f>IF($F679="","","MVT-"&amp;TEXT(ROW()-6,"0000"))</f>
        <v/>
      </c>
      <c r="F679" s="134" t="n"/>
      <c r="G679" s="127" t="n"/>
      <c r="H679" s="130">
        <f>IF($G679="","",IFERROR(INDEX(FOU_Article,MATCH($G679,FOU_Code,0)),"⚠ Code inconnu"))</f>
        <v/>
      </c>
      <c r="I679" s="127" t="n"/>
      <c r="J679" s="128" t="n"/>
      <c r="K679" s="127" t="n"/>
      <c r="L679" s="127" t="n"/>
    </row>
    <row r="680" ht="21" customHeight="1">
      <c r="A680" s="1" t="n"/>
      <c r="B680" s="1" t="n"/>
      <c r="C680" s="2" t="n"/>
      <c r="E680" s="130">
        <f>IF($F680="","","MVT-"&amp;TEXT(ROW()-6,"0000"))</f>
        <v/>
      </c>
      <c r="F680" s="134" t="n"/>
      <c r="G680" s="127" t="n"/>
      <c r="H680" s="130">
        <f>IF($G680="","",IFERROR(INDEX(FOU_Article,MATCH($G680,FOU_Code,0)),"⚠ Code inconnu"))</f>
        <v/>
      </c>
      <c r="I680" s="127" t="n"/>
      <c r="J680" s="128" t="n"/>
      <c r="K680" s="127" t="n"/>
      <c r="L680" s="127" t="n"/>
    </row>
    <row r="681" ht="21" customHeight="1">
      <c r="A681" s="1" t="n"/>
      <c r="B681" s="1" t="n"/>
      <c r="C681" s="2" t="n"/>
      <c r="E681" s="130">
        <f>IF($F681="","","MVT-"&amp;TEXT(ROW()-6,"0000"))</f>
        <v/>
      </c>
      <c r="F681" s="134" t="n"/>
      <c r="G681" s="127" t="n"/>
      <c r="H681" s="130">
        <f>IF($G681="","",IFERROR(INDEX(FOU_Article,MATCH($G681,FOU_Code,0)),"⚠ Code inconnu"))</f>
        <v/>
      </c>
      <c r="I681" s="127" t="n"/>
      <c r="J681" s="128" t="n"/>
      <c r="K681" s="127" t="n"/>
      <c r="L681" s="127" t="n"/>
    </row>
    <row r="682" ht="21" customHeight="1">
      <c r="A682" s="1" t="n"/>
      <c r="B682" s="1" t="n"/>
      <c r="C682" s="2" t="n"/>
      <c r="E682" s="130">
        <f>IF($F682="","","MVT-"&amp;TEXT(ROW()-6,"0000"))</f>
        <v/>
      </c>
      <c r="F682" s="134" t="n"/>
      <c r="G682" s="127" t="n"/>
      <c r="H682" s="130">
        <f>IF($G682="","",IFERROR(INDEX(FOU_Article,MATCH($G682,FOU_Code,0)),"⚠ Code inconnu"))</f>
        <v/>
      </c>
      <c r="I682" s="127" t="n"/>
      <c r="J682" s="128" t="n"/>
      <c r="K682" s="127" t="n"/>
      <c r="L682" s="127" t="n"/>
    </row>
    <row r="683" ht="21" customHeight="1">
      <c r="A683" s="1" t="n"/>
      <c r="B683" s="1" t="n"/>
      <c r="C683" s="2" t="n"/>
      <c r="E683" s="130">
        <f>IF($F683="","","MVT-"&amp;TEXT(ROW()-6,"0000"))</f>
        <v/>
      </c>
      <c r="F683" s="134" t="n"/>
      <c r="G683" s="127" t="n"/>
      <c r="H683" s="130">
        <f>IF($G683="","",IFERROR(INDEX(FOU_Article,MATCH($G683,FOU_Code,0)),"⚠ Code inconnu"))</f>
        <v/>
      </c>
      <c r="I683" s="127" t="n"/>
      <c r="J683" s="128" t="n"/>
      <c r="K683" s="127" t="n"/>
      <c r="L683" s="127" t="n"/>
    </row>
    <row r="684" ht="21" customHeight="1">
      <c r="A684" s="1" t="n"/>
      <c r="B684" s="1" t="n"/>
      <c r="C684" s="2" t="n"/>
      <c r="E684" s="130">
        <f>IF($F684="","","MVT-"&amp;TEXT(ROW()-6,"0000"))</f>
        <v/>
      </c>
      <c r="F684" s="134" t="n"/>
      <c r="G684" s="127" t="n"/>
      <c r="H684" s="130">
        <f>IF($G684="","",IFERROR(INDEX(FOU_Article,MATCH($G684,FOU_Code,0)),"⚠ Code inconnu"))</f>
        <v/>
      </c>
      <c r="I684" s="127" t="n"/>
      <c r="J684" s="128" t="n"/>
      <c r="K684" s="127" t="n"/>
      <c r="L684" s="127" t="n"/>
    </row>
    <row r="685" ht="21" customHeight="1">
      <c r="A685" s="1" t="n"/>
      <c r="B685" s="1" t="n"/>
      <c r="C685" s="2" t="n"/>
      <c r="E685" s="130">
        <f>IF($F685="","","MVT-"&amp;TEXT(ROW()-6,"0000"))</f>
        <v/>
      </c>
      <c r="F685" s="134" t="n"/>
      <c r="G685" s="127" t="n"/>
      <c r="H685" s="130">
        <f>IF($G685="","",IFERROR(INDEX(FOU_Article,MATCH($G685,FOU_Code,0)),"⚠ Code inconnu"))</f>
        <v/>
      </c>
      <c r="I685" s="127" t="n"/>
      <c r="J685" s="128" t="n"/>
      <c r="K685" s="127" t="n"/>
      <c r="L685" s="127" t="n"/>
    </row>
    <row r="686" ht="21" customHeight="1">
      <c r="A686" s="1" t="n"/>
      <c r="B686" s="1" t="n"/>
      <c r="C686" s="2" t="n"/>
      <c r="E686" s="130">
        <f>IF($F686="","","MVT-"&amp;TEXT(ROW()-6,"0000"))</f>
        <v/>
      </c>
      <c r="F686" s="134" t="n"/>
      <c r="G686" s="127" t="n"/>
      <c r="H686" s="130">
        <f>IF($G686="","",IFERROR(INDEX(FOU_Article,MATCH($G686,FOU_Code,0)),"⚠ Code inconnu"))</f>
        <v/>
      </c>
      <c r="I686" s="127" t="n"/>
      <c r="J686" s="128" t="n"/>
      <c r="K686" s="127" t="n"/>
      <c r="L686" s="127" t="n"/>
    </row>
    <row r="687" ht="21" customHeight="1">
      <c r="A687" s="1" t="n"/>
      <c r="B687" s="1" t="n"/>
      <c r="C687" s="2" t="n"/>
      <c r="E687" s="130">
        <f>IF($F687="","","MVT-"&amp;TEXT(ROW()-6,"0000"))</f>
        <v/>
      </c>
      <c r="F687" s="134" t="n"/>
      <c r="G687" s="127" t="n"/>
      <c r="H687" s="130">
        <f>IF($G687="","",IFERROR(INDEX(FOU_Article,MATCH($G687,FOU_Code,0)),"⚠ Code inconnu"))</f>
        <v/>
      </c>
      <c r="I687" s="127" t="n"/>
      <c r="J687" s="128" t="n"/>
      <c r="K687" s="127" t="n"/>
      <c r="L687" s="127" t="n"/>
    </row>
    <row r="688" ht="21" customHeight="1">
      <c r="A688" s="1" t="n"/>
      <c r="B688" s="1" t="n"/>
      <c r="C688" s="2" t="n"/>
      <c r="E688" s="130">
        <f>IF($F688="","","MVT-"&amp;TEXT(ROW()-6,"0000"))</f>
        <v/>
      </c>
      <c r="F688" s="134" t="n"/>
      <c r="G688" s="127" t="n"/>
      <c r="H688" s="130">
        <f>IF($G688="","",IFERROR(INDEX(FOU_Article,MATCH($G688,FOU_Code,0)),"⚠ Code inconnu"))</f>
        <v/>
      </c>
      <c r="I688" s="127" t="n"/>
      <c r="J688" s="128" t="n"/>
      <c r="K688" s="127" t="n"/>
      <c r="L688" s="127" t="n"/>
    </row>
    <row r="689" ht="21" customHeight="1">
      <c r="A689" s="1" t="n"/>
      <c r="B689" s="1" t="n"/>
      <c r="C689" s="2" t="n"/>
      <c r="E689" s="130">
        <f>IF($F689="","","MVT-"&amp;TEXT(ROW()-6,"0000"))</f>
        <v/>
      </c>
      <c r="F689" s="134" t="n"/>
      <c r="G689" s="127" t="n"/>
      <c r="H689" s="130">
        <f>IF($G689="","",IFERROR(INDEX(FOU_Article,MATCH($G689,FOU_Code,0)),"⚠ Code inconnu"))</f>
        <v/>
      </c>
      <c r="I689" s="127" t="n"/>
      <c r="J689" s="128" t="n"/>
      <c r="K689" s="127" t="n"/>
      <c r="L689" s="127" t="n"/>
    </row>
    <row r="690" ht="21" customHeight="1">
      <c r="A690" s="1" t="n"/>
      <c r="B690" s="1" t="n"/>
      <c r="C690" s="2" t="n"/>
      <c r="E690" s="130">
        <f>IF($F690="","","MVT-"&amp;TEXT(ROW()-6,"0000"))</f>
        <v/>
      </c>
      <c r="F690" s="134" t="n"/>
      <c r="G690" s="127" t="n"/>
      <c r="H690" s="130">
        <f>IF($G690="","",IFERROR(INDEX(FOU_Article,MATCH($G690,FOU_Code,0)),"⚠ Code inconnu"))</f>
        <v/>
      </c>
      <c r="I690" s="127" t="n"/>
      <c r="J690" s="128" t="n"/>
      <c r="K690" s="127" t="n"/>
      <c r="L690" s="127" t="n"/>
    </row>
    <row r="691" ht="21" customHeight="1">
      <c r="A691" s="1" t="n"/>
      <c r="B691" s="1" t="n"/>
      <c r="C691" s="2" t="n"/>
      <c r="E691" s="130">
        <f>IF($F691="","","MVT-"&amp;TEXT(ROW()-6,"0000"))</f>
        <v/>
      </c>
      <c r="F691" s="134" t="n"/>
      <c r="G691" s="127" t="n"/>
      <c r="H691" s="130">
        <f>IF($G691="","",IFERROR(INDEX(FOU_Article,MATCH($G691,FOU_Code,0)),"⚠ Code inconnu"))</f>
        <v/>
      </c>
      <c r="I691" s="127" t="n"/>
      <c r="J691" s="128" t="n"/>
      <c r="K691" s="127" t="n"/>
      <c r="L691" s="127" t="n"/>
    </row>
    <row r="692" ht="21" customHeight="1">
      <c r="A692" s="1" t="n"/>
      <c r="B692" s="1" t="n"/>
      <c r="C692" s="2" t="n"/>
      <c r="E692" s="130">
        <f>IF($F692="","","MVT-"&amp;TEXT(ROW()-6,"0000"))</f>
        <v/>
      </c>
      <c r="F692" s="134" t="n"/>
      <c r="G692" s="127" t="n"/>
      <c r="H692" s="130">
        <f>IF($G692="","",IFERROR(INDEX(FOU_Article,MATCH($G692,FOU_Code,0)),"⚠ Code inconnu"))</f>
        <v/>
      </c>
      <c r="I692" s="127" t="n"/>
      <c r="J692" s="128" t="n"/>
      <c r="K692" s="127" t="n"/>
      <c r="L692" s="127" t="n"/>
    </row>
    <row r="693" ht="21" customHeight="1">
      <c r="A693" s="1" t="n"/>
      <c r="B693" s="1" t="n"/>
      <c r="C693" s="2" t="n"/>
      <c r="E693" s="130">
        <f>IF($F693="","","MVT-"&amp;TEXT(ROW()-6,"0000"))</f>
        <v/>
      </c>
      <c r="F693" s="134" t="n"/>
      <c r="G693" s="127" t="n"/>
      <c r="H693" s="130">
        <f>IF($G693="","",IFERROR(INDEX(FOU_Article,MATCH($G693,FOU_Code,0)),"⚠ Code inconnu"))</f>
        <v/>
      </c>
      <c r="I693" s="127" t="n"/>
      <c r="J693" s="128" t="n"/>
      <c r="K693" s="127" t="n"/>
      <c r="L693" s="127" t="n"/>
    </row>
    <row r="694" ht="21" customHeight="1">
      <c r="A694" s="1" t="n"/>
      <c r="B694" s="1" t="n"/>
      <c r="C694" s="2" t="n"/>
      <c r="E694" s="130">
        <f>IF($F694="","","MVT-"&amp;TEXT(ROW()-6,"0000"))</f>
        <v/>
      </c>
      <c r="F694" s="134" t="n"/>
      <c r="G694" s="127" t="n"/>
      <c r="H694" s="130">
        <f>IF($G694="","",IFERROR(INDEX(FOU_Article,MATCH($G694,FOU_Code,0)),"⚠ Code inconnu"))</f>
        <v/>
      </c>
      <c r="I694" s="127" t="n"/>
      <c r="J694" s="128" t="n"/>
      <c r="K694" s="127" t="n"/>
      <c r="L694" s="127" t="n"/>
    </row>
    <row r="695" ht="21" customHeight="1">
      <c r="A695" s="1" t="n"/>
      <c r="B695" s="1" t="n"/>
      <c r="C695" s="2" t="n"/>
      <c r="E695" s="130">
        <f>IF($F695="","","MVT-"&amp;TEXT(ROW()-6,"0000"))</f>
        <v/>
      </c>
      <c r="F695" s="134" t="n"/>
      <c r="G695" s="127" t="n"/>
      <c r="H695" s="130">
        <f>IF($G695="","",IFERROR(INDEX(FOU_Article,MATCH($G695,FOU_Code,0)),"⚠ Code inconnu"))</f>
        <v/>
      </c>
      <c r="I695" s="127" t="n"/>
      <c r="J695" s="128" t="n"/>
      <c r="K695" s="127" t="n"/>
      <c r="L695" s="127" t="n"/>
    </row>
    <row r="696" ht="21" customHeight="1">
      <c r="A696" s="1" t="n"/>
      <c r="B696" s="1" t="n"/>
      <c r="C696" s="2" t="n"/>
      <c r="E696" s="130">
        <f>IF($F696="","","MVT-"&amp;TEXT(ROW()-6,"0000"))</f>
        <v/>
      </c>
      <c r="F696" s="134" t="n"/>
      <c r="G696" s="127" t="n"/>
      <c r="H696" s="130">
        <f>IF($G696="","",IFERROR(INDEX(FOU_Article,MATCH($G696,FOU_Code,0)),"⚠ Code inconnu"))</f>
        <v/>
      </c>
      <c r="I696" s="127" t="n"/>
      <c r="J696" s="128" t="n"/>
      <c r="K696" s="127" t="n"/>
      <c r="L696" s="127" t="n"/>
    </row>
    <row r="697" ht="21" customHeight="1">
      <c r="A697" s="1" t="n"/>
      <c r="B697" s="1" t="n"/>
      <c r="C697" s="2" t="n"/>
      <c r="E697" s="130">
        <f>IF($F697="","","MVT-"&amp;TEXT(ROW()-6,"0000"))</f>
        <v/>
      </c>
      <c r="F697" s="134" t="n"/>
      <c r="G697" s="127" t="n"/>
      <c r="H697" s="130">
        <f>IF($G697="","",IFERROR(INDEX(FOU_Article,MATCH($G697,FOU_Code,0)),"⚠ Code inconnu"))</f>
        <v/>
      </c>
      <c r="I697" s="127" t="n"/>
      <c r="J697" s="128" t="n"/>
      <c r="K697" s="127" t="n"/>
      <c r="L697" s="127" t="n"/>
    </row>
    <row r="698" ht="21" customHeight="1">
      <c r="A698" s="1" t="n"/>
      <c r="B698" s="1" t="n"/>
      <c r="C698" s="2" t="n"/>
      <c r="E698" s="130">
        <f>IF($F698="","","MVT-"&amp;TEXT(ROW()-6,"0000"))</f>
        <v/>
      </c>
      <c r="F698" s="134" t="n"/>
      <c r="G698" s="127" t="n"/>
      <c r="H698" s="130">
        <f>IF($G698="","",IFERROR(INDEX(FOU_Article,MATCH($G698,FOU_Code,0)),"⚠ Code inconnu"))</f>
        <v/>
      </c>
      <c r="I698" s="127" t="n"/>
      <c r="J698" s="128" t="n"/>
      <c r="K698" s="127" t="n"/>
      <c r="L698" s="127" t="n"/>
    </row>
    <row r="699" ht="21" customHeight="1">
      <c r="A699" s="1" t="n"/>
      <c r="B699" s="1" t="n"/>
      <c r="C699" s="2" t="n"/>
      <c r="E699" s="130">
        <f>IF($F699="","","MVT-"&amp;TEXT(ROW()-6,"0000"))</f>
        <v/>
      </c>
      <c r="F699" s="134" t="n"/>
      <c r="G699" s="127" t="n"/>
      <c r="H699" s="130">
        <f>IF($G699="","",IFERROR(INDEX(FOU_Article,MATCH($G699,FOU_Code,0)),"⚠ Code inconnu"))</f>
        <v/>
      </c>
      <c r="I699" s="127" t="n"/>
      <c r="J699" s="128" t="n"/>
      <c r="K699" s="127" t="n"/>
      <c r="L699" s="127" t="n"/>
    </row>
    <row r="700" ht="21" customHeight="1">
      <c r="A700" s="1" t="n"/>
      <c r="B700" s="1" t="n"/>
      <c r="C700" s="2" t="n"/>
      <c r="E700" s="130">
        <f>IF($F700="","","MVT-"&amp;TEXT(ROW()-6,"0000"))</f>
        <v/>
      </c>
      <c r="F700" s="134" t="n"/>
      <c r="G700" s="127" t="n"/>
      <c r="H700" s="130">
        <f>IF($G700="","",IFERROR(INDEX(FOU_Article,MATCH($G700,FOU_Code,0)),"⚠ Code inconnu"))</f>
        <v/>
      </c>
      <c r="I700" s="127" t="n"/>
      <c r="J700" s="128" t="n"/>
      <c r="K700" s="127" t="n"/>
      <c r="L700" s="127" t="n"/>
    </row>
    <row r="701" ht="21" customHeight="1">
      <c r="A701" s="1" t="n"/>
      <c r="B701" s="1" t="n"/>
      <c r="C701" s="2" t="n"/>
      <c r="E701" s="130">
        <f>IF($F701="","","MVT-"&amp;TEXT(ROW()-6,"0000"))</f>
        <v/>
      </c>
      <c r="F701" s="134" t="n"/>
      <c r="G701" s="127" t="n"/>
      <c r="H701" s="130">
        <f>IF($G701="","",IFERROR(INDEX(FOU_Article,MATCH($G701,FOU_Code,0)),"⚠ Code inconnu"))</f>
        <v/>
      </c>
      <c r="I701" s="127" t="n"/>
      <c r="J701" s="128" t="n"/>
      <c r="K701" s="127" t="n"/>
      <c r="L701" s="127" t="n"/>
    </row>
    <row r="702" ht="21" customHeight="1">
      <c r="A702" s="1" t="n"/>
      <c r="B702" s="1" t="n"/>
      <c r="C702" s="2" t="n"/>
      <c r="E702" s="130">
        <f>IF($F702="","","MVT-"&amp;TEXT(ROW()-6,"0000"))</f>
        <v/>
      </c>
      <c r="F702" s="134" t="n"/>
      <c r="G702" s="127" t="n"/>
      <c r="H702" s="130">
        <f>IF($G702="","",IFERROR(INDEX(FOU_Article,MATCH($G702,FOU_Code,0)),"⚠ Code inconnu"))</f>
        <v/>
      </c>
      <c r="I702" s="127" t="n"/>
      <c r="J702" s="128" t="n"/>
      <c r="K702" s="127" t="n"/>
      <c r="L702" s="127" t="n"/>
    </row>
    <row r="703" ht="21" customHeight="1">
      <c r="A703" s="1" t="n"/>
      <c r="B703" s="1" t="n"/>
      <c r="C703" s="2" t="n"/>
      <c r="E703" s="130">
        <f>IF($F703="","","MVT-"&amp;TEXT(ROW()-6,"0000"))</f>
        <v/>
      </c>
      <c r="F703" s="134" t="n"/>
      <c r="G703" s="127" t="n"/>
      <c r="H703" s="130">
        <f>IF($G703="","",IFERROR(INDEX(FOU_Article,MATCH($G703,FOU_Code,0)),"⚠ Code inconnu"))</f>
        <v/>
      </c>
      <c r="I703" s="127" t="n"/>
      <c r="J703" s="128" t="n"/>
      <c r="K703" s="127" t="n"/>
      <c r="L703" s="127" t="n"/>
    </row>
    <row r="704" ht="21" customHeight="1">
      <c r="A704" s="1" t="n"/>
      <c r="B704" s="1" t="n"/>
      <c r="C704" s="2" t="n"/>
      <c r="E704" s="130">
        <f>IF($F704="","","MVT-"&amp;TEXT(ROW()-6,"0000"))</f>
        <v/>
      </c>
      <c r="F704" s="134" t="n"/>
      <c r="G704" s="127" t="n"/>
      <c r="H704" s="130">
        <f>IF($G704="","",IFERROR(INDEX(FOU_Article,MATCH($G704,FOU_Code,0)),"⚠ Code inconnu"))</f>
        <v/>
      </c>
      <c r="I704" s="127" t="n"/>
      <c r="J704" s="128" t="n"/>
      <c r="K704" s="127" t="n"/>
      <c r="L704" s="127" t="n"/>
    </row>
    <row r="705" ht="21" customHeight="1">
      <c r="A705" s="1" t="n"/>
      <c r="B705" s="1" t="n"/>
      <c r="C705" s="2" t="n"/>
      <c r="E705" s="130">
        <f>IF($F705="","","MVT-"&amp;TEXT(ROW()-6,"0000"))</f>
        <v/>
      </c>
      <c r="F705" s="134" t="n"/>
      <c r="G705" s="127" t="n"/>
      <c r="H705" s="130">
        <f>IF($G705="","",IFERROR(INDEX(FOU_Article,MATCH($G705,FOU_Code,0)),"⚠ Code inconnu"))</f>
        <v/>
      </c>
      <c r="I705" s="127" t="n"/>
      <c r="J705" s="128" t="n"/>
      <c r="K705" s="127" t="n"/>
      <c r="L705" s="127" t="n"/>
    </row>
    <row r="706" ht="21" customHeight="1">
      <c r="A706" s="1" t="n"/>
      <c r="B706" s="1" t="n"/>
      <c r="C706" s="2" t="n"/>
      <c r="E706" s="130">
        <f>IF($F706="","","MVT-"&amp;TEXT(ROW()-6,"0000"))</f>
        <v/>
      </c>
      <c r="F706" s="134" t="n"/>
      <c r="G706" s="127" t="n"/>
      <c r="H706" s="130">
        <f>IF($G706="","",IFERROR(INDEX(FOU_Article,MATCH($G706,FOU_Code,0)),"⚠ Code inconnu"))</f>
        <v/>
      </c>
      <c r="I706" s="127" t="n"/>
      <c r="J706" s="128" t="n"/>
      <c r="K706" s="127" t="n"/>
      <c r="L706" s="127" t="n"/>
    </row>
    <row r="707" ht="21" customHeight="1">
      <c r="A707" s="1" t="n"/>
      <c r="B707" s="1" t="n"/>
      <c r="C707" s="2" t="n"/>
      <c r="E707" s="130">
        <f>IF($F707="","","MVT-"&amp;TEXT(ROW()-6,"0000"))</f>
        <v/>
      </c>
      <c r="F707" s="134" t="n"/>
      <c r="G707" s="127" t="n"/>
      <c r="H707" s="130">
        <f>IF($G707="","",IFERROR(INDEX(FOU_Article,MATCH($G707,FOU_Code,0)),"⚠ Code inconnu"))</f>
        <v/>
      </c>
      <c r="I707" s="127" t="n"/>
      <c r="J707" s="128" t="n"/>
      <c r="K707" s="127" t="n"/>
      <c r="L707" s="127" t="n"/>
    </row>
    <row r="708" ht="21" customHeight="1">
      <c r="A708" s="1" t="n"/>
      <c r="B708" s="1" t="n"/>
      <c r="C708" s="2" t="n"/>
      <c r="E708" s="130">
        <f>IF($F708="","","MVT-"&amp;TEXT(ROW()-6,"0000"))</f>
        <v/>
      </c>
      <c r="F708" s="134" t="n"/>
      <c r="G708" s="127" t="n"/>
      <c r="H708" s="130">
        <f>IF($G708="","",IFERROR(INDEX(FOU_Article,MATCH($G708,FOU_Code,0)),"⚠ Code inconnu"))</f>
        <v/>
      </c>
      <c r="I708" s="127" t="n"/>
      <c r="J708" s="128" t="n"/>
      <c r="K708" s="127" t="n"/>
      <c r="L708" s="127" t="n"/>
    </row>
    <row r="709" ht="21" customHeight="1">
      <c r="A709" s="1" t="n"/>
      <c r="B709" s="1" t="n"/>
      <c r="C709" s="2" t="n"/>
      <c r="E709" s="130">
        <f>IF($F709="","","MVT-"&amp;TEXT(ROW()-6,"0000"))</f>
        <v/>
      </c>
      <c r="F709" s="134" t="n"/>
      <c r="G709" s="127" t="n"/>
      <c r="H709" s="130">
        <f>IF($G709="","",IFERROR(INDEX(FOU_Article,MATCH($G709,FOU_Code,0)),"⚠ Code inconnu"))</f>
        <v/>
      </c>
      <c r="I709" s="127" t="n"/>
      <c r="J709" s="128" t="n"/>
      <c r="K709" s="127" t="n"/>
      <c r="L709" s="127" t="n"/>
    </row>
    <row r="710" ht="21" customHeight="1">
      <c r="A710" s="1" t="n"/>
      <c r="B710" s="1" t="n"/>
      <c r="C710" s="2" t="n"/>
      <c r="E710" s="130">
        <f>IF($F710="","","MVT-"&amp;TEXT(ROW()-6,"0000"))</f>
        <v/>
      </c>
      <c r="F710" s="134" t="n"/>
      <c r="G710" s="127" t="n"/>
      <c r="H710" s="130">
        <f>IF($G710="","",IFERROR(INDEX(FOU_Article,MATCH($G710,FOU_Code,0)),"⚠ Code inconnu"))</f>
        <v/>
      </c>
      <c r="I710" s="127" t="n"/>
      <c r="J710" s="128" t="n"/>
      <c r="K710" s="127" t="n"/>
      <c r="L710" s="127" t="n"/>
    </row>
    <row r="711" ht="21" customHeight="1">
      <c r="A711" s="1" t="n"/>
      <c r="B711" s="1" t="n"/>
      <c r="C711" s="2" t="n"/>
      <c r="E711" s="130">
        <f>IF($F711="","","MVT-"&amp;TEXT(ROW()-6,"0000"))</f>
        <v/>
      </c>
      <c r="F711" s="134" t="n"/>
      <c r="G711" s="127" t="n"/>
      <c r="H711" s="130">
        <f>IF($G711="","",IFERROR(INDEX(FOU_Article,MATCH($G711,FOU_Code,0)),"⚠ Code inconnu"))</f>
        <v/>
      </c>
      <c r="I711" s="127" t="n"/>
      <c r="J711" s="128" t="n"/>
      <c r="K711" s="127" t="n"/>
      <c r="L711" s="127" t="n"/>
    </row>
    <row r="712" ht="21" customHeight="1">
      <c r="A712" s="1" t="n"/>
      <c r="B712" s="1" t="n"/>
      <c r="C712" s="2" t="n"/>
      <c r="E712" s="130">
        <f>IF($F712="","","MVT-"&amp;TEXT(ROW()-6,"0000"))</f>
        <v/>
      </c>
      <c r="F712" s="134" t="n"/>
      <c r="G712" s="127" t="n"/>
      <c r="H712" s="130">
        <f>IF($G712="","",IFERROR(INDEX(FOU_Article,MATCH($G712,FOU_Code,0)),"⚠ Code inconnu"))</f>
        <v/>
      </c>
      <c r="I712" s="127" t="n"/>
      <c r="J712" s="128" t="n"/>
      <c r="K712" s="127" t="n"/>
      <c r="L712" s="127" t="n"/>
    </row>
    <row r="713" ht="21" customHeight="1">
      <c r="A713" s="1" t="n"/>
      <c r="B713" s="1" t="n"/>
      <c r="C713" s="2" t="n"/>
      <c r="E713" s="130">
        <f>IF($F713="","","MVT-"&amp;TEXT(ROW()-6,"0000"))</f>
        <v/>
      </c>
      <c r="F713" s="134" t="n"/>
      <c r="G713" s="127" t="n"/>
      <c r="H713" s="130">
        <f>IF($G713="","",IFERROR(INDEX(FOU_Article,MATCH($G713,FOU_Code,0)),"⚠ Code inconnu"))</f>
        <v/>
      </c>
      <c r="I713" s="127" t="n"/>
      <c r="J713" s="128" t="n"/>
      <c r="K713" s="127" t="n"/>
      <c r="L713" s="127" t="n"/>
    </row>
    <row r="714" ht="21" customHeight="1">
      <c r="A714" s="1" t="n"/>
      <c r="B714" s="1" t="n"/>
      <c r="C714" s="2" t="n"/>
      <c r="E714" s="130">
        <f>IF($F714="","","MVT-"&amp;TEXT(ROW()-6,"0000"))</f>
        <v/>
      </c>
      <c r="F714" s="134" t="n"/>
      <c r="G714" s="127" t="n"/>
      <c r="H714" s="130">
        <f>IF($G714="","",IFERROR(INDEX(FOU_Article,MATCH($G714,FOU_Code,0)),"⚠ Code inconnu"))</f>
        <v/>
      </c>
      <c r="I714" s="127" t="n"/>
      <c r="J714" s="128" t="n"/>
      <c r="K714" s="127" t="n"/>
      <c r="L714" s="127" t="n"/>
    </row>
    <row r="715" ht="21" customHeight="1">
      <c r="A715" s="1" t="n"/>
      <c r="B715" s="1" t="n"/>
      <c r="C715" s="2" t="n"/>
      <c r="E715" s="130">
        <f>IF($F715="","","MVT-"&amp;TEXT(ROW()-6,"0000"))</f>
        <v/>
      </c>
      <c r="F715" s="134" t="n"/>
      <c r="G715" s="127" t="n"/>
      <c r="H715" s="130">
        <f>IF($G715="","",IFERROR(INDEX(FOU_Article,MATCH($G715,FOU_Code,0)),"⚠ Code inconnu"))</f>
        <v/>
      </c>
      <c r="I715" s="127" t="n"/>
      <c r="J715" s="128" t="n"/>
      <c r="K715" s="127" t="n"/>
      <c r="L715" s="127" t="n"/>
    </row>
    <row r="716" ht="21" customHeight="1">
      <c r="A716" s="1" t="n"/>
      <c r="B716" s="1" t="n"/>
      <c r="C716" s="2" t="n"/>
      <c r="E716" s="130">
        <f>IF($F716="","","MVT-"&amp;TEXT(ROW()-6,"0000"))</f>
        <v/>
      </c>
      <c r="F716" s="134" t="n"/>
      <c r="G716" s="127" t="n"/>
      <c r="H716" s="130">
        <f>IF($G716="","",IFERROR(INDEX(FOU_Article,MATCH($G716,FOU_Code,0)),"⚠ Code inconnu"))</f>
        <v/>
      </c>
      <c r="I716" s="127" t="n"/>
      <c r="J716" s="128" t="n"/>
      <c r="K716" s="127" t="n"/>
      <c r="L716" s="127" t="n"/>
    </row>
    <row r="717" ht="21" customHeight="1">
      <c r="A717" s="1" t="n"/>
      <c r="B717" s="1" t="n"/>
      <c r="C717" s="2" t="n"/>
      <c r="E717" s="130">
        <f>IF($F717="","","MVT-"&amp;TEXT(ROW()-6,"0000"))</f>
        <v/>
      </c>
      <c r="F717" s="134" t="n"/>
      <c r="G717" s="127" t="n"/>
      <c r="H717" s="130">
        <f>IF($G717="","",IFERROR(INDEX(FOU_Article,MATCH($G717,FOU_Code,0)),"⚠ Code inconnu"))</f>
        <v/>
      </c>
      <c r="I717" s="127" t="n"/>
      <c r="J717" s="128" t="n"/>
      <c r="K717" s="127" t="n"/>
      <c r="L717" s="127" t="n"/>
    </row>
    <row r="718" ht="21" customHeight="1">
      <c r="A718" s="1" t="n"/>
      <c r="B718" s="1" t="n"/>
      <c r="C718" s="2" t="n"/>
      <c r="E718" s="130">
        <f>IF($F718="","","MVT-"&amp;TEXT(ROW()-6,"0000"))</f>
        <v/>
      </c>
      <c r="F718" s="134" t="n"/>
      <c r="G718" s="127" t="n"/>
      <c r="H718" s="130">
        <f>IF($G718="","",IFERROR(INDEX(FOU_Article,MATCH($G718,FOU_Code,0)),"⚠ Code inconnu"))</f>
        <v/>
      </c>
      <c r="I718" s="127" t="n"/>
      <c r="J718" s="128" t="n"/>
      <c r="K718" s="127" t="n"/>
      <c r="L718" s="127" t="n"/>
    </row>
    <row r="719" ht="21" customHeight="1">
      <c r="A719" s="1" t="n"/>
      <c r="B719" s="1" t="n"/>
      <c r="C719" s="2" t="n"/>
      <c r="E719" s="130">
        <f>IF($F719="","","MVT-"&amp;TEXT(ROW()-6,"0000"))</f>
        <v/>
      </c>
      <c r="F719" s="134" t="n"/>
      <c r="G719" s="127" t="n"/>
      <c r="H719" s="130">
        <f>IF($G719="","",IFERROR(INDEX(FOU_Article,MATCH($G719,FOU_Code,0)),"⚠ Code inconnu"))</f>
        <v/>
      </c>
      <c r="I719" s="127" t="n"/>
      <c r="J719" s="128" t="n"/>
      <c r="K719" s="127" t="n"/>
      <c r="L719" s="127" t="n"/>
    </row>
    <row r="720" ht="21" customHeight="1">
      <c r="A720" s="1" t="n"/>
      <c r="B720" s="1" t="n"/>
      <c r="C720" s="2" t="n"/>
      <c r="E720" s="130">
        <f>IF($F720="","","MVT-"&amp;TEXT(ROW()-6,"0000"))</f>
        <v/>
      </c>
      <c r="F720" s="134" t="n"/>
      <c r="G720" s="127" t="n"/>
      <c r="H720" s="130">
        <f>IF($G720="","",IFERROR(INDEX(FOU_Article,MATCH($G720,FOU_Code,0)),"⚠ Code inconnu"))</f>
        <v/>
      </c>
      <c r="I720" s="127" t="n"/>
      <c r="J720" s="128" t="n"/>
      <c r="K720" s="127" t="n"/>
      <c r="L720" s="127" t="n"/>
    </row>
    <row r="721" ht="21" customHeight="1">
      <c r="A721" s="1" t="n"/>
      <c r="B721" s="1" t="n"/>
      <c r="C721" s="2" t="n"/>
      <c r="E721" s="130">
        <f>IF($F721="","","MVT-"&amp;TEXT(ROW()-6,"0000"))</f>
        <v/>
      </c>
      <c r="F721" s="134" t="n"/>
      <c r="G721" s="127" t="n"/>
      <c r="H721" s="130">
        <f>IF($G721="","",IFERROR(INDEX(FOU_Article,MATCH($G721,FOU_Code,0)),"⚠ Code inconnu"))</f>
        <v/>
      </c>
      <c r="I721" s="127" t="n"/>
      <c r="J721" s="128" t="n"/>
      <c r="K721" s="127" t="n"/>
      <c r="L721" s="127" t="n"/>
    </row>
    <row r="722" ht="21" customHeight="1">
      <c r="A722" s="1" t="n"/>
      <c r="B722" s="1" t="n"/>
      <c r="C722" s="2" t="n"/>
      <c r="E722" s="130">
        <f>IF($F722="","","MVT-"&amp;TEXT(ROW()-6,"0000"))</f>
        <v/>
      </c>
      <c r="F722" s="134" t="n"/>
      <c r="G722" s="127" t="n"/>
      <c r="H722" s="130">
        <f>IF($G722="","",IFERROR(INDEX(FOU_Article,MATCH($G722,FOU_Code,0)),"⚠ Code inconnu"))</f>
        <v/>
      </c>
      <c r="I722" s="127" t="n"/>
      <c r="J722" s="128" t="n"/>
      <c r="K722" s="127" t="n"/>
      <c r="L722" s="127" t="n"/>
    </row>
    <row r="723" ht="21" customHeight="1">
      <c r="A723" s="1" t="n"/>
      <c r="B723" s="1" t="n"/>
      <c r="C723" s="2" t="n"/>
      <c r="E723" s="130">
        <f>IF($F723="","","MVT-"&amp;TEXT(ROW()-6,"0000"))</f>
        <v/>
      </c>
      <c r="F723" s="134" t="n"/>
      <c r="G723" s="127" t="n"/>
      <c r="H723" s="130">
        <f>IF($G723="","",IFERROR(INDEX(FOU_Article,MATCH($G723,FOU_Code,0)),"⚠ Code inconnu"))</f>
        <v/>
      </c>
      <c r="I723" s="127" t="n"/>
      <c r="J723" s="128" t="n"/>
      <c r="K723" s="127" t="n"/>
      <c r="L723" s="127" t="n"/>
    </row>
    <row r="724" ht="21" customHeight="1">
      <c r="A724" s="1" t="n"/>
      <c r="B724" s="1" t="n"/>
      <c r="C724" s="2" t="n"/>
      <c r="E724" s="130">
        <f>IF($F724="","","MVT-"&amp;TEXT(ROW()-6,"0000"))</f>
        <v/>
      </c>
      <c r="F724" s="134" t="n"/>
      <c r="G724" s="127" t="n"/>
      <c r="H724" s="130">
        <f>IF($G724="","",IFERROR(INDEX(FOU_Article,MATCH($G724,FOU_Code,0)),"⚠ Code inconnu"))</f>
        <v/>
      </c>
      <c r="I724" s="127" t="n"/>
      <c r="J724" s="128" t="n"/>
      <c r="K724" s="127" t="n"/>
      <c r="L724" s="127" t="n"/>
    </row>
    <row r="725" ht="21" customHeight="1">
      <c r="A725" s="1" t="n"/>
      <c r="B725" s="1" t="n"/>
      <c r="C725" s="2" t="n"/>
      <c r="E725" s="130">
        <f>IF($F725="","","MVT-"&amp;TEXT(ROW()-6,"0000"))</f>
        <v/>
      </c>
      <c r="F725" s="134" t="n"/>
      <c r="G725" s="127" t="n"/>
      <c r="H725" s="130">
        <f>IF($G725="","",IFERROR(INDEX(FOU_Article,MATCH($G725,FOU_Code,0)),"⚠ Code inconnu"))</f>
        <v/>
      </c>
      <c r="I725" s="127" t="n"/>
      <c r="J725" s="128" t="n"/>
      <c r="K725" s="127" t="n"/>
      <c r="L725" s="127" t="n"/>
    </row>
    <row r="726" ht="21" customHeight="1">
      <c r="A726" s="1" t="n"/>
      <c r="B726" s="1" t="n"/>
      <c r="C726" s="2" t="n"/>
      <c r="E726" s="130">
        <f>IF($F726="","","MVT-"&amp;TEXT(ROW()-6,"0000"))</f>
        <v/>
      </c>
      <c r="F726" s="134" t="n"/>
      <c r="G726" s="127" t="n"/>
      <c r="H726" s="130">
        <f>IF($G726="","",IFERROR(INDEX(FOU_Article,MATCH($G726,FOU_Code,0)),"⚠ Code inconnu"))</f>
        <v/>
      </c>
      <c r="I726" s="127" t="n"/>
      <c r="J726" s="128" t="n"/>
      <c r="K726" s="127" t="n"/>
      <c r="L726" s="127" t="n"/>
    </row>
    <row r="727" ht="21" customHeight="1">
      <c r="A727" s="1" t="n"/>
      <c r="B727" s="1" t="n"/>
      <c r="C727" s="2" t="n"/>
      <c r="E727" s="130">
        <f>IF($F727="","","MVT-"&amp;TEXT(ROW()-6,"0000"))</f>
        <v/>
      </c>
      <c r="F727" s="134" t="n"/>
      <c r="G727" s="127" t="n"/>
      <c r="H727" s="130">
        <f>IF($G727="","",IFERROR(INDEX(FOU_Article,MATCH($G727,FOU_Code,0)),"⚠ Code inconnu"))</f>
        <v/>
      </c>
      <c r="I727" s="127" t="n"/>
      <c r="J727" s="128" t="n"/>
      <c r="K727" s="127" t="n"/>
      <c r="L727" s="127" t="n"/>
    </row>
    <row r="728" ht="21" customHeight="1">
      <c r="A728" s="1" t="n"/>
      <c r="B728" s="1" t="n"/>
      <c r="C728" s="2" t="n"/>
      <c r="E728" s="130">
        <f>IF($F728="","","MVT-"&amp;TEXT(ROW()-6,"0000"))</f>
        <v/>
      </c>
      <c r="F728" s="134" t="n"/>
      <c r="G728" s="127" t="n"/>
      <c r="H728" s="130">
        <f>IF($G728="","",IFERROR(INDEX(FOU_Article,MATCH($G728,FOU_Code,0)),"⚠ Code inconnu"))</f>
        <v/>
      </c>
      <c r="I728" s="127" t="n"/>
      <c r="J728" s="128" t="n"/>
      <c r="K728" s="127" t="n"/>
      <c r="L728" s="127" t="n"/>
    </row>
    <row r="729" ht="21" customHeight="1">
      <c r="A729" s="1" t="n"/>
      <c r="B729" s="1" t="n"/>
      <c r="C729" s="2" t="n"/>
      <c r="E729" s="130">
        <f>IF($F729="","","MVT-"&amp;TEXT(ROW()-6,"0000"))</f>
        <v/>
      </c>
      <c r="F729" s="134" t="n"/>
      <c r="G729" s="127" t="n"/>
      <c r="H729" s="130">
        <f>IF($G729="","",IFERROR(INDEX(FOU_Article,MATCH($G729,FOU_Code,0)),"⚠ Code inconnu"))</f>
        <v/>
      </c>
      <c r="I729" s="127" t="n"/>
      <c r="J729" s="128" t="n"/>
      <c r="K729" s="127" t="n"/>
      <c r="L729" s="127" t="n"/>
    </row>
    <row r="730" ht="21" customHeight="1">
      <c r="A730" s="1" t="n"/>
      <c r="B730" s="1" t="n"/>
      <c r="C730" s="2" t="n"/>
      <c r="E730" s="130">
        <f>IF($F730="","","MVT-"&amp;TEXT(ROW()-6,"0000"))</f>
        <v/>
      </c>
      <c r="F730" s="134" t="n"/>
      <c r="G730" s="127" t="n"/>
      <c r="H730" s="130">
        <f>IF($G730="","",IFERROR(INDEX(FOU_Article,MATCH($G730,FOU_Code,0)),"⚠ Code inconnu"))</f>
        <v/>
      </c>
      <c r="I730" s="127" t="n"/>
      <c r="J730" s="128" t="n"/>
      <c r="K730" s="127" t="n"/>
      <c r="L730" s="127" t="n"/>
    </row>
    <row r="731" ht="21" customHeight="1">
      <c r="A731" s="1" t="n"/>
      <c r="B731" s="1" t="n"/>
      <c r="C731" s="2" t="n"/>
      <c r="E731" s="130">
        <f>IF($F731="","","MVT-"&amp;TEXT(ROW()-6,"0000"))</f>
        <v/>
      </c>
      <c r="F731" s="134" t="n"/>
      <c r="G731" s="127" t="n"/>
      <c r="H731" s="130">
        <f>IF($G731="","",IFERROR(INDEX(FOU_Article,MATCH($G731,FOU_Code,0)),"⚠ Code inconnu"))</f>
        <v/>
      </c>
      <c r="I731" s="127" t="n"/>
      <c r="J731" s="128" t="n"/>
      <c r="K731" s="127" t="n"/>
      <c r="L731" s="127" t="n"/>
    </row>
    <row r="732" ht="21" customHeight="1">
      <c r="A732" s="1" t="n"/>
      <c r="B732" s="1" t="n"/>
      <c r="C732" s="2" t="n"/>
      <c r="E732" s="130">
        <f>IF($F732="","","MVT-"&amp;TEXT(ROW()-6,"0000"))</f>
        <v/>
      </c>
      <c r="F732" s="134" t="n"/>
      <c r="G732" s="127" t="n"/>
      <c r="H732" s="130">
        <f>IF($G732="","",IFERROR(INDEX(FOU_Article,MATCH($G732,FOU_Code,0)),"⚠ Code inconnu"))</f>
        <v/>
      </c>
      <c r="I732" s="127" t="n"/>
      <c r="J732" s="128" t="n"/>
      <c r="K732" s="127" t="n"/>
      <c r="L732" s="127" t="n"/>
    </row>
    <row r="733" ht="21" customHeight="1">
      <c r="A733" s="1" t="n"/>
      <c r="B733" s="1" t="n"/>
      <c r="C733" s="2" t="n"/>
      <c r="E733" s="130">
        <f>IF($F733="","","MVT-"&amp;TEXT(ROW()-6,"0000"))</f>
        <v/>
      </c>
      <c r="F733" s="134" t="n"/>
      <c r="G733" s="127" t="n"/>
      <c r="H733" s="130">
        <f>IF($G733="","",IFERROR(INDEX(FOU_Article,MATCH($G733,FOU_Code,0)),"⚠ Code inconnu"))</f>
        <v/>
      </c>
      <c r="I733" s="127" t="n"/>
      <c r="J733" s="128" t="n"/>
      <c r="K733" s="127" t="n"/>
      <c r="L733" s="127" t="n"/>
    </row>
    <row r="734" ht="21" customHeight="1">
      <c r="A734" s="1" t="n"/>
      <c r="B734" s="1" t="n"/>
      <c r="C734" s="2" t="n"/>
      <c r="E734" s="130">
        <f>IF($F734="","","MVT-"&amp;TEXT(ROW()-6,"0000"))</f>
        <v/>
      </c>
      <c r="F734" s="134" t="n"/>
      <c r="G734" s="127" t="n"/>
      <c r="H734" s="130">
        <f>IF($G734="","",IFERROR(INDEX(FOU_Article,MATCH($G734,FOU_Code,0)),"⚠ Code inconnu"))</f>
        <v/>
      </c>
      <c r="I734" s="127" t="n"/>
      <c r="J734" s="128" t="n"/>
      <c r="K734" s="127" t="n"/>
      <c r="L734" s="127" t="n"/>
    </row>
    <row r="735" ht="21" customHeight="1">
      <c r="A735" s="1" t="n"/>
      <c r="B735" s="1" t="n"/>
      <c r="C735" s="2" t="n"/>
      <c r="E735" s="130">
        <f>IF($F735="","","MVT-"&amp;TEXT(ROW()-6,"0000"))</f>
        <v/>
      </c>
      <c r="F735" s="134" t="n"/>
      <c r="G735" s="127" t="n"/>
      <c r="H735" s="130">
        <f>IF($G735="","",IFERROR(INDEX(FOU_Article,MATCH($G735,FOU_Code,0)),"⚠ Code inconnu"))</f>
        <v/>
      </c>
      <c r="I735" s="127" t="n"/>
      <c r="J735" s="128" t="n"/>
      <c r="K735" s="127" t="n"/>
      <c r="L735" s="127" t="n"/>
    </row>
    <row r="736" ht="21" customHeight="1">
      <c r="A736" s="1" t="n"/>
      <c r="B736" s="1" t="n"/>
      <c r="C736" s="2" t="n"/>
      <c r="E736" s="130">
        <f>IF($F736="","","MVT-"&amp;TEXT(ROW()-6,"0000"))</f>
        <v/>
      </c>
      <c r="F736" s="134" t="n"/>
      <c r="G736" s="127" t="n"/>
      <c r="H736" s="130">
        <f>IF($G736="","",IFERROR(INDEX(FOU_Article,MATCH($G736,FOU_Code,0)),"⚠ Code inconnu"))</f>
        <v/>
      </c>
      <c r="I736" s="127" t="n"/>
      <c r="J736" s="128" t="n"/>
      <c r="K736" s="127" t="n"/>
      <c r="L736" s="127" t="n"/>
    </row>
    <row r="737" ht="21" customHeight="1">
      <c r="A737" s="1" t="n"/>
      <c r="B737" s="1" t="n"/>
      <c r="C737" s="2" t="n"/>
      <c r="E737" s="130">
        <f>IF($F737="","","MVT-"&amp;TEXT(ROW()-6,"0000"))</f>
        <v/>
      </c>
      <c r="F737" s="134" t="n"/>
      <c r="G737" s="127" t="n"/>
      <c r="H737" s="130">
        <f>IF($G737="","",IFERROR(INDEX(FOU_Article,MATCH($G737,FOU_Code,0)),"⚠ Code inconnu"))</f>
        <v/>
      </c>
      <c r="I737" s="127" t="n"/>
      <c r="J737" s="128" t="n"/>
      <c r="K737" s="127" t="n"/>
      <c r="L737" s="127" t="n"/>
    </row>
    <row r="738" ht="21" customHeight="1">
      <c r="A738" s="1" t="n"/>
      <c r="B738" s="1" t="n"/>
      <c r="C738" s="2" t="n"/>
      <c r="E738" s="130">
        <f>IF($F738="","","MVT-"&amp;TEXT(ROW()-6,"0000"))</f>
        <v/>
      </c>
      <c r="F738" s="134" t="n"/>
      <c r="G738" s="127" t="n"/>
      <c r="H738" s="130">
        <f>IF($G738="","",IFERROR(INDEX(FOU_Article,MATCH($G738,FOU_Code,0)),"⚠ Code inconnu"))</f>
        <v/>
      </c>
      <c r="I738" s="127" t="n"/>
      <c r="J738" s="128" t="n"/>
      <c r="K738" s="127" t="n"/>
      <c r="L738" s="127" t="n"/>
    </row>
    <row r="739" ht="21" customHeight="1">
      <c r="A739" s="1" t="n"/>
      <c r="B739" s="1" t="n"/>
      <c r="C739" s="2" t="n"/>
      <c r="E739" s="130">
        <f>IF($F739="","","MVT-"&amp;TEXT(ROW()-6,"0000"))</f>
        <v/>
      </c>
      <c r="F739" s="134" t="n"/>
      <c r="G739" s="127" t="n"/>
      <c r="H739" s="130">
        <f>IF($G739="","",IFERROR(INDEX(FOU_Article,MATCH($G739,FOU_Code,0)),"⚠ Code inconnu"))</f>
        <v/>
      </c>
      <c r="I739" s="127" t="n"/>
      <c r="J739" s="128" t="n"/>
      <c r="K739" s="127" t="n"/>
      <c r="L739" s="127" t="n"/>
    </row>
    <row r="740" ht="21" customHeight="1">
      <c r="A740" s="1" t="n"/>
      <c r="B740" s="1" t="n"/>
      <c r="C740" s="2" t="n"/>
      <c r="E740" s="130">
        <f>IF($F740="","","MVT-"&amp;TEXT(ROW()-6,"0000"))</f>
        <v/>
      </c>
      <c r="F740" s="134" t="n"/>
      <c r="G740" s="127" t="n"/>
      <c r="H740" s="130">
        <f>IF($G740="","",IFERROR(INDEX(FOU_Article,MATCH($G740,FOU_Code,0)),"⚠ Code inconnu"))</f>
        <v/>
      </c>
      <c r="I740" s="127" t="n"/>
      <c r="J740" s="128" t="n"/>
      <c r="K740" s="127" t="n"/>
      <c r="L740" s="127" t="n"/>
    </row>
    <row r="741" ht="21" customHeight="1">
      <c r="A741" s="1" t="n"/>
      <c r="B741" s="1" t="n"/>
      <c r="C741" s="2" t="n"/>
      <c r="E741" s="130">
        <f>IF($F741="","","MVT-"&amp;TEXT(ROW()-6,"0000"))</f>
        <v/>
      </c>
      <c r="F741" s="134" t="n"/>
      <c r="G741" s="127" t="n"/>
      <c r="H741" s="130">
        <f>IF($G741="","",IFERROR(INDEX(FOU_Article,MATCH($G741,FOU_Code,0)),"⚠ Code inconnu"))</f>
        <v/>
      </c>
      <c r="I741" s="127" t="n"/>
      <c r="J741" s="128" t="n"/>
      <c r="K741" s="127" t="n"/>
      <c r="L741" s="127" t="n"/>
    </row>
    <row r="742" ht="21" customHeight="1">
      <c r="A742" s="1" t="n"/>
      <c r="B742" s="1" t="n"/>
      <c r="C742" s="2" t="n"/>
      <c r="E742" s="130">
        <f>IF($F742="","","MVT-"&amp;TEXT(ROW()-6,"0000"))</f>
        <v/>
      </c>
      <c r="F742" s="134" t="n"/>
      <c r="G742" s="127" t="n"/>
      <c r="H742" s="130">
        <f>IF($G742="","",IFERROR(INDEX(FOU_Article,MATCH($G742,FOU_Code,0)),"⚠ Code inconnu"))</f>
        <v/>
      </c>
      <c r="I742" s="127" t="n"/>
      <c r="J742" s="128" t="n"/>
      <c r="K742" s="127" t="n"/>
      <c r="L742" s="127" t="n"/>
    </row>
    <row r="743" ht="21" customHeight="1">
      <c r="A743" s="1" t="n"/>
      <c r="B743" s="1" t="n"/>
      <c r="C743" s="2" t="n"/>
      <c r="E743" s="130">
        <f>IF($F743="","","MVT-"&amp;TEXT(ROW()-6,"0000"))</f>
        <v/>
      </c>
      <c r="F743" s="134" t="n"/>
      <c r="G743" s="127" t="n"/>
      <c r="H743" s="130">
        <f>IF($G743="","",IFERROR(INDEX(FOU_Article,MATCH($G743,FOU_Code,0)),"⚠ Code inconnu"))</f>
        <v/>
      </c>
      <c r="I743" s="127" t="n"/>
      <c r="J743" s="128" t="n"/>
      <c r="K743" s="127" t="n"/>
      <c r="L743" s="127" t="n"/>
    </row>
    <row r="744" ht="21" customHeight="1">
      <c r="A744" s="1" t="n"/>
      <c r="B744" s="1" t="n"/>
      <c r="C744" s="2" t="n"/>
      <c r="E744" s="130">
        <f>IF($F744="","","MVT-"&amp;TEXT(ROW()-6,"0000"))</f>
        <v/>
      </c>
      <c r="F744" s="134" t="n"/>
      <c r="G744" s="127" t="n"/>
      <c r="H744" s="130">
        <f>IF($G744="","",IFERROR(INDEX(FOU_Article,MATCH($G744,FOU_Code,0)),"⚠ Code inconnu"))</f>
        <v/>
      </c>
      <c r="I744" s="127" t="n"/>
      <c r="J744" s="128" t="n"/>
      <c r="K744" s="127" t="n"/>
      <c r="L744" s="127" t="n"/>
    </row>
    <row r="745" ht="21" customHeight="1">
      <c r="A745" s="1" t="n"/>
      <c r="B745" s="1" t="n"/>
      <c r="C745" s="2" t="n"/>
      <c r="E745" s="130">
        <f>IF($F745="","","MVT-"&amp;TEXT(ROW()-6,"0000"))</f>
        <v/>
      </c>
      <c r="F745" s="134" t="n"/>
      <c r="G745" s="127" t="n"/>
      <c r="H745" s="130">
        <f>IF($G745="","",IFERROR(INDEX(FOU_Article,MATCH($G745,FOU_Code,0)),"⚠ Code inconnu"))</f>
        <v/>
      </c>
      <c r="I745" s="127" t="n"/>
      <c r="J745" s="128" t="n"/>
      <c r="K745" s="127" t="n"/>
      <c r="L745" s="127" t="n"/>
    </row>
    <row r="746" ht="21" customHeight="1">
      <c r="A746" s="1" t="n"/>
      <c r="B746" s="1" t="n"/>
      <c r="C746" s="2" t="n"/>
      <c r="E746" s="130">
        <f>IF($F746="","","MVT-"&amp;TEXT(ROW()-6,"0000"))</f>
        <v/>
      </c>
      <c r="F746" s="134" t="n"/>
      <c r="G746" s="127" t="n"/>
      <c r="H746" s="130">
        <f>IF($G746="","",IFERROR(INDEX(FOU_Article,MATCH($G746,FOU_Code,0)),"⚠ Code inconnu"))</f>
        <v/>
      </c>
      <c r="I746" s="127" t="n"/>
      <c r="J746" s="128" t="n"/>
      <c r="K746" s="127" t="n"/>
      <c r="L746" s="127" t="n"/>
    </row>
    <row r="747" ht="21" customHeight="1">
      <c r="A747" s="1" t="n"/>
      <c r="B747" s="1" t="n"/>
      <c r="C747" s="2" t="n"/>
      <c r="E747" s="130">
        <f>IF($F747="","","MVT-"&amp;TEXT(ROW()-6,"0000"))</f>
        <v/>
      </c>
      <c r="F747" s="134" t="n"/>
      <c r="G747" s="127" t="n"/>
      <c r="H747" s="130">
        <f>IF($G747="","",IFERROR(INDEX(FOU_Article,MATCH($G747,FOU_Code,0)),"⚠ Code inconnu"))</f>
        <v/>
      </c>
      <c r="I747" s="127" t="n"/>
      <c r="J747" s="128" t="n"/>
      <c r="K747" s="127" t="n"/>
      <c r="L747" s="127" t="n"/>
    </row>
    <row r="748" ht="21" customHeight="1">
      <c r="A748" s="1" t="n"/>
      <c r="B748" s="1" t="n"/>
      <c r="C748" s="2" t="n"/>
      <c r="E748" s="130">
        <f>IF($F748="","","MVT-"&amp;TEXT(ROW()-6,"0000"))</f>
        <v/>
      </c>
      <c r="F748" s="134" t="n"/>
      <c r="G748" s="127" t="n"/>
      <c r="H748" s="130">
        <f>IF($G748="","",IFERROR(INDEX(FOU_Article,MATCH($G748,FOU_Code,0)),"⚠ Code inconnu"))</f>
        <v/>
      </c>
      <c r="I748" s="127" t="n"/>
      <c r="J748" s="128" t="n"/>
      <c r="K748" s="127" t="n"/>
      <c r="L748" s="127" t="n"/>
    </row>
    <row r="749" ht="21" customHeight="1">
      <c r="A749" s="1" t="n"/>
      <c r="B749" s="1" t="n"/>
      <c r="C749" s="2" t="n"/>
      <c r="E749" s="130">
        <f>IF($F749="","","MVT-"&amp;TEXT(ROW()-6,"0000"))</f>
        <v/>
      </c>
      <c r="F749" s="134" t="n"/>
      <c r="G749" s="127" t="n"/>
      <c r="H749" s="130">
        <f>IF($G749="","",IFERROR(INDEX(FOU_Article,MATCH($G749,FOU_Code,0)),"⚠ Code inconnu"))</f>
        <v/>
      </c>
      <c r="I749" s="127" t="n"/>
      <c r="J749" s="128" t="n"/>
      <c r="K749" s="127" t="n"/>
      <c r="L749" s="127" t="n"/>
    </row>
    <row r="750" ht="21" customHeight="1">
      <c r="A750" s="1" t="n"/>
      <c r="B750" s="1" t="n"/>
      <c r="C750" s="2" t="n"/>
      <c r="E750" s="130">
        <f>IF($F750="","","MVT-"&amp;TEXT(ROW()-6,"0000"))</f>
        <v/>
      </c>
      <c r="F750" s="134" t="n"/>
      <c r="G750" s="127" t="n"/>
      <c r="H750" s="130">
        <f>IF($G750="","",IFERROR(INDEX(FOU_Article,MATCH($G750,FOU_Code,0)),"⚠ Code inconnu"))</f>
        <v/>
      </c>
      <c r="I750" s="127" t="n"/>
      <c r="J750" s="128" t="n"/>
      <c r="K750" s="127" t="n"/>
      <c r="L750" s="127" t="n"/>
    </row>
    <row r="751" ht="21" customHeight="1">
      <c r="A751" s="1" t="n"/>
      <c r="B751" s="1" t="n"/>
      <c r="C751" s="2" t="n"/>
      <c r="E751" s="130">
        <f>IF($F751="","","MVT-"&amp;TEXT(ROW()-6,"0000"))</f>
        <v/>
      </c>
      <c r="F751" s="134" t="n"/>
      <c r="G751" s="127" t="n"/>
      <c r="H751" s="130">
        <f>IF($G751="","",IFERROR(INDEX(FOU_Article,MATCH($G751,FOU_Code,0)),"⚠ Code inconnu"))</f>
        <v/>
      </c>
      <c r="I751" s="127" t="n"/>
      <c r="J751" s="128" t="n"/>
      <c r="K751" s="127" t="n"/>
      <c r="L751" s="127" t="n"/>
    </row>
    <row r="752" ht="21" customHeight="1">
      <c r="A752" s="1" t="n"/>
      <c r="B752" s="1" t="n"/>
      <c r="C752" s="2" t="n"/>
      <c r="E752" s="130">
        <f>IF($F752="","","MVT-"&amp;TEXT(ROW()-6,"0000"))</f>
        <v/>
      </c>
      <c r="F752" s="134" t="n"/>
      <c r="G752" s="127" t="n"/>
      <c r="H752" s="130">
        <f>IF($G752="","",IFERROR(INDEX(FOU_Article,MATCH($G752,FOU_Code,0)),"⚠ Code inconnu"))</f>
        <v/>
      </c>
      <c r="I752" s="127" t="n"/>
      <c r="J752" s="128" t="n"/>
      <c r="K752" s="127" t="n"/>
      <c r="L752" s="127" t="n"/>
    </row>
    <row r="753" ht="21" customHeight="1">
      <c r="A753" s="1" t="n"/>
      <c r="B753" s="1" t="n"/>
      <c r="C753" s="2" t="n"/>
      <c r="E753" s="130">
        <f>IF($F753="","","MVT-"&amp;TEXT(ROW()-6,"0000"))</f>
        <v/>
      </c>
      <c r="F753" s="134" t="n"/>
      <c r="G753" s="127" t="n"/>
      <c r="H753" s="130">
        <f>IF($G753="","",IFERROR(INDEX(FOU_Article,MATCH($G753,FOU_Code,0)),"⚠ Code inconnu"))</f>
        <v/>
      </c>
      <c r="I753" s="127" t="n"/>
      <c r="J753" s="128" t="n"/>
      <c r="K753" s="127" t="n"/>
      <c r="L753" s="127" t="n"/>
    </row>
    <row r="754" ht="21" customHeight="1">
      <c r="A754" s="1" t="n"/>
      <c r="B754" s="1" t="n"/>
      <c r="C754" s="2" t="n"/>
      <c r="E754" s="130">
        <f>IF($F754="","","MVT-"&amp;TEXT(ROW()-6,"0000"))</f>
        <v/>
      </c>
      <c r="F754" s="134" t="n"/>
      <c r="G754" s="127" t="n"/>
      <c r="H754" s="130">
        <f>IF($G754="","",IFERROR(INDEX(FOU_Article,MATCH($G754,FOU_Code,0)),"⚠ Code inconnu"))</f>
        <v/>
      </c>
      <c r="I754" s="127" t="n"/>
      <c r="J754" s="128" t="n"/>
      <c r="K754" s="127" t="n"/>
      <c r="L754" s="127" t="n"/>
    </row>
    <row r="755" ht="21" customHeight="1">
      <c r="A755" s="1" t="n"/>
      <c r="B755" s="1" t="n"/>
      <c r="C755" s="2" t="n"/>
      <c r="E755" s="130">
        <f>IF($F755="","","MVT-"&amp;TEXT(ROW()-6,"0000"))</f>
        <v/>
      </c>
      <c r="F755" s="134" t="n"/>
      <c r="G755" s="127" t="n"/>
      <c r="H755" s="130">
        <f>IF($G755="","",IFERROR(INDEX(FOU_Article,MATCH($G755,FOU_Code,0)),"⚠ Code inconnu"))</f>
        <v/>
      </c>
      <c r="I755" s="127" t="n"/>
      <c r="J755" s="128" t="n"/>
      <c r="K755" s="127" t="n"/>
      <c r="L755" s="127" t="n"/>
    </row>
    <row r="756" ht="21" customHeight="1">
      <c r="A756" s="1" t="n"/>
      <c r="B756" s="1" t="n"/>
      <c r="C756" s="2" t="n"/>
      <c r="E756" s="130">
        <f>IF($F756="","","MVT-"&amp;TEXT(ROW()-6,"0000"))</f>
        <v/>
      </c>
      <c r="F756" s="134" t="n"/>
      <c r="G756" s="127" t="n"/>
      <c r="H756" s="130">
        <f>IF($G756="","",IFERROR(INDEX(FOU_Article,MATCH($G756,FOU_Code,0)),"⚠ Code inconnu"))</f>
        <v/>
      </c>
      <c r="I756" s="127" t="n"/>
      <c r="J756" s="128" t="n"/>
      <c r="K756" s="127" t="n"/>
      <c r="L756" s="127" t="n"/>
    </row>
    <row r="757" ht="21" customHeight="1">
      <c r="A757" s="1" t="n"/>
      <c r="B757" s="1" t="n"/>
      <c r="C757" s="2" t="n"/>
      <c r="E757" s="130">
        <f>IF($F757="","","MVT-"&amp;TEXT(ROW()-6,"0000"))</f>
        <v/>
      </c>
      <c r="F757" s="134" t="n"/>
      <c r="G757" s="127" t="n"/>
      <c r="H757" s="130">
        <f>IF($G757="","",IFERROR(INDEX(FOU_Article,MATCH($G757,FOU_Code,0)),"⚠ Code inconnu"))</f>
        <v/>
      </c>
      <c r="I757" s="127" t="n"/>
      <c r="J757" s="128" t="n"/>
      <c r="K757" s="127" t="n"/>
      <c r="L757" s="127" t="n"/>
    </row>
    <row r="758" ht="21" customHeight="1">
      <c r="A758" s="1" t="n"/>
      <c r="B758" s="1" t="n"/>
      <c r="C758" s="2" t="n"/>
      <c r="E758" s="130">
        <f>IF($F758="","","MVT-"&amp;TEXT(ROW()-6,"0000"))</f>
        <v/>
      </c>
      <c r="F758" s="134" t="n"/>
      <c r="G758" s="127" t="n"/>
      <c r="H758" s="130">
        <f>IF($G758="","",IFERROR(INDEX(FOU_Article,MATCH($G758,FOU_Code,0)),"⚠ Code inconnu"))</f>
        <v/>
      </c>
      <c r="I758" s="127" t="n"/>
      <c r="J758" s="128" t="n"/>
      <c r="K758" s="127" t="n"/>
      <c r="L758" s="127" t="n"/>
    </row>
    <row r="759" ht="21" customHeight="1">
      <c r="A759" s="1" t="n"/>
      <c r="B759" s="1" t="n"/>
      <c r="C759" s="2" t="n"/>
      <c r="E759" s="130">
        <f>IF($F759="","","MVT-"&amp;TEXT(ROW()-6,"0000"))</f>
        <v/>
      </c>
      <c r="F759" s="134" t="n"/>
      <c r="G759" s="127" t="n"/>
      <c r="H759" s="130">
        <f>IF($G759="","",IFERROR(INDEX(FOU_Article,MATCH($G759,FOU_Code,0)),"⚠ Code inconnu"))</f>
        <v/>
      </c>
      <c r="I759" s="127" t="n"/>
      <c r="J759" s="128" t="n"/>
      <c r="K759" s="127" t="n"/>
      <c r="L759" s="127" t="n"/>
    </row>
    <row r="760" ht="21" customHeight="1">
      <c r="A760" s="1" t="n"/>
      <c r="B760" s="1" t="n"/>
      <c r="C760" s="2" t="n"/>
      <c r="E760" s="130">
        <f>IF($F760="","","MVT-"&amp;TEXT(ROW()-6,"0000"))</f>
        <v/>
      </c>
      <c r="F760" s="134" t="n"/>
      <c r="G760" s="127" t="n"/>
      <c r="H760" s="130">
        <f>IF($G760="","",IFERROR(INDEX(FOU_Article,MATCH($G760,FOU_Code,0)),"⚠ Code inconnu"))</f>
        <v/>
      </c>
      <c r="I760" s="127" t="n"/>
      <c r="J760" s="128" t="n"/>
      <c r="K760" s="127" t="n"/>
      <c r="L760" s="127" t="n"/>
    </row>
    <row r="761" ht="21" customHeight="1">
      <c r="A761" s="1" t="n"/>
      <c r="B761" s="1" t="n"/>
      <c r="C761" s="2" t="n"/>
      <c r="E761" s="130">
        <f>IF($F761="","","MVT-"&amp;TEXT(ROW()-6,"0000"))</f>
        <v/>
      </c>
      <c r="F761" s="134" t="n"/>
      <c r="G761" s="127" t="n"/>
      <c r="H761" s="130">
        <f>IF($G761="","",IFERROR(INDEX(FOU_Article,MATCH($G761,FOU_Code,0)),"⚠ Code inconnu"))</f>
        <v/>
      </c>
      <c r="I761" s="127" t="n"/>
      <c r="J761" s="128" t="n"/>
      <c r="K761" s="127" t="n"/>
      <c r="L761" s="127" t="n"/>
    </row>
    <row r="762" ht="21" customHeight="1">
      <c r="A762" s="1" t="n"/>
      <c r="B762" s="1" t="n"/>
      <c r="C762" s="2" t="n"/>
      <c r="E762" s="130">
        <f>IF($F762="","","MVT-"&amp;TEXT(ROW()-6,"0000"))</f>
        <v/>
      </c>
      <c r="F762" s="134" t="n"/>
      <c r="G762" s="127" t="n"/>
      <c r="H762" s="130">
        <f>IF($G762="","",IFERROR(INDEX(FOU_Article,MATCH($G762,FOU_Code,0)),"⚠ Code inconnu"))</f>
        <v/>
      </c>
      <c r="I762" s="127" t="n"/>
      <c r="J762" s="128" t="n"/>
      <c r="K762" s="127" t="n"/>
      <c r="L762" s="127" t="n"/>
    </row>
    <row r="763" ht="21" customHeight="1">
      <c r="A763" s="1" t="n"/>
      <c r="B763" s="1" t="n"/>
      <c r="C763" s="2" t="n"/>
      <c r="E763" s="130">
        <f>IF($F763="","","MVT-"&amp;TEXT(ROW()-6,"0000"))</f>
        <v/>
      </c>
      <c r="F763" s="134" t="n"/>
      <c r="G763" s="127" t="n"/>
      <c r="H763" s="130">
        <f>IF($G763="","",IFERROR(INDEX(FOU_Article,MATCH($G763,FOU_Code,0)),"⚠ Code inconnu"))</f>
        <v/>
      </c>
      <c r="I763" s="127" t="n"/>
      <c r="J763" s="128" t="n"/>
      <c r="K763" s="127" t="n"/>
      <c r="L763" s="127" t="n"/>
    </row>
    <row r="764" ht="21" customHeight="1">
      <c r="A764" s="1" t="n"/>
      <c r="B764" s="1" t="n"/>
      <c r="C764" s="2" t="n"/>
      <c r="E764" s="130">
        <f>IF($F764="","","MVT-"&amp;TEXT(ROW()-6,"0000"))</f>
        <v/>
      </c>
      <c r="F764" s="134" t="n"/>
      <c r="G764" s="127" t="n"/>
      <c r="H764" s="130">
        <f>IF($G764="","",IFERROR(INDEX(FOU_Article,MATCH($G764,FOU_Code,0)),"⚠ Code inconnu"))</f>
        <v/>
      </c>
      <c r="I764" s="127" t="n"/>
      <c r="J764" s="128" t="n"/>
      <c r="K764" s="127" t="n"/>
      <c r="L764" s="127" t="n"/>
    </row>
    <row r="765" ht="21" customHeight="1">
      <c r="A765" s="1" t="n"/>
      <c r="B765" s="1" t="n"/>
      <c r="C765" s="2" t="n"/>
      <c r="E765" s="130">
        <f>IF($F765="","","MVT-"&amp;TEXT(ROW()-6,"0000"))</f>
        <v/>
      </c>
      <c r="F765" s="134" t="n"/>
      <c r="G765" s="127" t="n"/>
      <c r="H765" s="130">
        <f>IF($G765="","",IFERROR(INDEX(FOU_Article,MATCH($G765,FOU_Code,0)),"⚠ Code inconnu"))</f>
        <v/>
      </c>
      <c r="I765" s="127" t="n"/>
      <c r="J765" s="128" t="n"/>
      <c r="K765" s="127" t="n"/>
      <c r="L765" s="127" t="n"/>
    </row>
    <row r="766" ht="21" customHeight="1">
      <c r="A766" s="1" t="n"/>
      <c r="B766" s="1" t="n"/>
      <c r="C766" s="2" t="n"/>
      <c r="E766" s="130">
        <f>IF($F766="","","MVT-"&amp;TEXT(ROW()-6,"0000"))</f>
        <v/>
      </c>
      <c r="F766" s="134" t="n"/>
      <c r="G766" s="127" t="n"/>
      <c r="H766" s="130">
        <f>IF($G766="","",IFERROR(INDEX(FOU_Article,MATCH($G766,FOU_Code,0)),"⚠ Code inconnu"))</f>
        <v/>
      </c>
      <c r="I766" s="127" t="n"/>
      <c r="J766" s="128" t="n"/>
      <c r="K766" s="127" t="n"/>
      <c r="L766" s="127" t="n"/>
    </row>
    <row r="767" ht="21" customHeight="1">
      <c r="A767" s="1" t="n"/>
      <c r="B767" s="1" t="n"/>
      <c r="C767" s="2" t="n"/>
      <c r="E767" s="130">
        <f>IF($F767="","","MVT-"&amp;TEXT(ROW()-6,"0000"))</f>
        <v/>
      </c>
      <c r="F767" s="134" t="n"/>
      <c r="G767" s="127" t="n"/>
      <c r="H767" s="130">
        <f>IF($G767="","",IFERROR(INDEX(FOU_Article,MATCH($G767,FOU_Code,0)),"⚠ Code inconnu"))</f>
        <v/>
      </c>
      <c r="I767" s="127" t="n"/>
      <c r="J767" s="128" t="n"/>
      <c r="K767" s="127" t="n"/>
      <c r="L767" s="127" t="n"/>
    </row>
    <row r="768" ht="21" customHeight="1">
      <c r="A768" s="1" t="n"/>
      <c r="B768" s="1" t="n"/>
      <c r="C768" s="2" t="n"/>
      <c r="E768" s="130">
        <f>IF($F768="","","MVT-"&amp;TEXT(ROW()-6,"0000"))</f>
        <v/>
      </c>
      <c r="F768" s="134" t="n"/>
      <c r="G768" s="127" t="n"/>
      <c r="H768" s="130">
        <f>IF($G768="","",IFERROR(INDEX(FOU_Article,MATCH($G768,FOU_Code,0)),"⚠ Code inconnu"))</f>
        <v/>
      </c>
      <c r="I768" s="127" t="n"/>
      <c r="J768" s="128" t="n"/>
      <c r="K768" s="127" t="n"/>
      <c r="L768" s="127" t="n"/>
    </row>
    <row r="769" ht="21" customHeight="1">
      <c r="A769" s="1" t="n"/>
      <c r="B769" s="1" t="n"/>
      <c r="C769" s="2" t="n"/>
      <c r="E769" s="130">
        <f>IF($F769="","","MVT-"&amp;TEXT(ROW()-6,"0000"))</f>
        <v/>
      </c>
      <c r="F769" s="134" t="n"/>
      <c r="G769" s="127" t="n"/>
      <c r="H769" s="130">
        <f>IF($G769="","",IFERROR(INDEX(FOU_Article,MATCH($G769,FOU_Code,0)),"⚠ Code inconnu"))</f>
        <v/>
      </c>
      <c r="I769" s="127" t="n"/>
      <c r="J769" s="128" t="n"/>
      <c r="K769" s="127" t="n"/>
      <c r="L769" s="127" t="n"/>
    </row>
    <row r="770" ht="21" customHeight="1">
      <c r="A770" s="1" t="n"/>
      <c r="B770" s="1" t="n"/>
      <c r="C770" s="2" t="n"/>
      <c r="E770" s="130">
        <f>IF($F770="","","MVT-"&amp;TEXT(ROW()-6,"0000"))</f>
        <v/>
      </c>
      <c r="F770" s="134" t="n"/>
      <c r="G770" s="127" t="n"/>
      <c r="H770" s="130">
        <f>IF($G770="","",IFERROR(INDEX(FOU_Article,MATCH($G770,FOU_Code,0)),"⚠ Code inconnu"))</f>
        <v/>
      </c>
      <c r="I770" s="127" t="n"/>
      <c r="J770" s="128" t="n"/>
      <c r="K770" s="127" t="n"/>
      <c r="L770" s="127" t="n"/>
    </row>
    <row r="771" ht="21" customHeight="1">
      <c r="A771" s="1" t="n"/>
      <c r="B771" s="1" t="n"/>
      <c r="C771" s="2" t="n"/>
      <c r="E771" s="130">
        <f>IF($F771="","","MVT-"&amp;TEXT(ROW()-6,"0000"))</f>
        <v/>
      </c>
      <c r="F771" s="134" t="n"/>
      <c r="G771" s="127" t="n"/>
      <c r="H771" s="130">
        <f>IF($G771="","",IFERROR(INDEX(FOU_Article,MATCH($G771,FOU_Code,0)),"⚠ Code inconnu"))</f>
        <v/>
      </c>
      <c r="I771" s="127" t="n"/>
      <c r="J771" s="128" t="n"/>
      <c r="K771" s="127" t="n"/>
      <c r="L771" s="127" t="n"/>
    </row>
    <row r="772" ht="21" customHeight="1">
      <c r="A772" s="1" t="n"/>
      <c r="B772" s="1" t="n"/>
      <c r="C772" s="2" t="n"/>
      <c r="E772" s="130">
        <f>IF($F772="","","MVT-"&amp;TEXT(ROW()-6,"0000"))</f>
        <v/>
      </c>
      <c r="F772" s="134" t="n"/>
      <c r="G772" s="127" t="n"/>
      <c r="H772" s="130">
        <f>IF($G772="","",IFERROR(INDEX(FOU_Article,MATCH($G772,FOU_Code,0)),"⚠ Code inconnu"))</f>
        <v/>
      </c>
      <c r="I772" s="127" t="n"/>
      <c r="J772" s="128" t="n"/>
      <c r="K772" s="127" t="n"/>
      <c r="L772" s="127" t="n"/>
    </row>
    <row r="773" ht="21" customHeight="1">
      <c r="A773" s="1" t="n"/>
      <c r="B773" s="1" t="n"/>
      <c r="C773" s="2" t="n"/>
      <c r="E773" s="130">
        <f>IF($F773="","","MVT-"&amp;TEXT(ROW()-6,"0000"))</f>
        <v/>
      </c>
      <c r="F773" s="134" t="n"/>
      <c r="G773" s="127" t="n"/>
      <c r="H773" s="130">
        <f>IF($G773="","",IFERROR(INDEX(FOU_Article,MATCH($G773,FOU_Code,0)),"⚠ Code inconnu"))</f>
        <v/>
      </c>
      <c r="I773" s="127" t="n"/>
      <c r="J773" s="128" t="n"/>
      <c r="K773" s="127" t="n"/>
      <c r="L773" s="127" t="n"/>
    </row>
    <row r="774" ht="21" customHeight="1">
      <c r="A774" s="1" t="n"/>
      <c r="B774" s="1" t="n"/>
      <c r="C774" s="2" t="n"/>
      <c r="E774" s="130">
        <f>IF($F774="","","MVT-"&amp;TEXT(ROW()-6,"0000"))</f>
        <v/>
      </c>
      <c r="F774" s="134" t="n"/>
      <c r="G774" s="127" t="n"/>
      <c r="H774" s="130">
        <f>IF($G774="","",IFERROR(INDEX(FOU_Article,MATCH($G774,FOU_Code,0)),"⚠ Code inconnu"))</f>
        <v/>
      </c>
      <c r="I774" s="127" t="n"/>
      <c r="J774" s="128" t="n"/>
      <c r="K774" s="127" t="n"/>
      <c r="L774" s="127" t="n"/>
    </row>
    <row r="775" ht="21" customHeight="1">
      <c r="A775" s="1" t="n"/>
      <c r="B775" s="1" t="n"/>
      <c r="C775" s="2" t="n"/>
      <c r="E775" s="130">
        <f>IF($F775="","","MVT-"&amp;TEXT(ROW()-6,"0000"))</f>
        <v/>
      </c>
      <c r="F775" s="134" t="n"/>
      <c r="G775" s="127" t="n"/>
      <c r="H775" s="130">
        <f>IF($G775="","",IFERROR(INDEX(FOU_Article,MATCH($G775,FOU_Code,0)),"⚠ Code inconnu"))</f>
        <v/>
      </c>
      <c r="I775" s="127" t="n"/>
      <c r="J775" s="128" t="n"/>
      <c r="K775" s="127" t="n"/>
      <c r="L775" s="127" t="n"/>
    </row>
    <row r="776" ht="21" customHeight="1">
      <c r="A776" s="1" t="n"/>
      <c r="B776" s="1" t="n"/>
      <c r="C776" s="2" t="n"/>
      <c r="E776" s="130">
        <f>IF($F776="","","MVT-"&amp;TEXT(ROW()-6,"0000"))</f>
        <v/>
      </c>
      <c r="F776" s="134" t="n"/>
      <c r="G776" s="127" t="n"/>
      <c r="H776" s="130">
        <f>IF($G776="","",IFERROR(INDEX(FOU_Article,MATCH($G776,FOU_Code,0)),"⚠ Code inconnu"))</f>
        <v/>
      </c>
      <c r="I776" s="127" t="n"/>
      <c r="J776" s="128" t="n"/>
      <c r="K776" s="127" t="n"/>
      <c r="L776" s="127" t="n"/>
    </row>
    <row r="777" ht="21" customHeight="1">
      <c r="A777" s="1" t="n"/>
      <c r="B777" s="1" t="n"/>
      <c r="C777" s="2" t="n"/>
      <c r="E777" s="130">
        <f>IF($F777="","","MVT-"&amp;TEXT(ROW()-6,"0000"))</f>
        <v/>
      </c>
      <c r="F777" s="134" t="n"/>
      <c r="G777" s="127" t="n"/>
      <c r="H777" s="130">
        <f>IF($G777="","",IFERROR(INDEX(FOU_Article,MATCH($G777,FOU_Code,0)),"⚠ Code inconnu"))</f>
        <v/>
      </c>
      <c r="I777" s="127" t="n"/>
      <c r="J777" s="128" t="n"/>
      <c r="K777" s="127" t="n"/>
      <c r="L777" s="127" t="n"/>
    </row>
    <row r="778" ht="21" customHeight="1">
      <c r="A778" s="1" t="n"/>
      <c r="B778" s="1" t="n"/>
      <c r="C778" s="2" t="n"/>
      <c r="E778" s="130">
        <f>IF($F778="","","MVT-"&amp;TEXT(ROW()-6,"0000"))</f>
        <v/>
      </c>
      <c r="F778" s="134" t="n"/>
      <c r="G778" s="127" t="n"/>
      <c r="H778" s="130">
        <f>IF($G778="","",IFERROR(INDEX(FOU_Article,MATCH($G778,FOU_Code,0)),"⚠ Code inconnu"))</f>
        <v/>
      </c>
      <c r="I778" s="127" t="n"/>
      <c r="J778" s="128" t="n"/>
      <c r="K778" s="127" t="n"/>
      <c r="L778" s="127" t="n"/>
    </row>
    <row r="779" ht="21" customHeight="1">
      <c r="A779" s="1" t="n"/>
      <c r="B779" s="1" t="n"/>
      <c r="C779" s="2" t="n"/>
      <c r="E779" s="130">
        <f>IF($F779="","","MVT-"&amp;TEXT(ROW()-6,"0000"))</f>
        <v/>
      </c>
      <c r="F779" s="134" t="n"/>
      <c r="G779" s="127" t="n"/>
      <c r="H779" s="130">
        <f>IF($G779="","",IFERROR(INDEX(FOU_Article,MATCH($G779,FOU_Code,0)),"⚠ Code inconnu"))</f>
        <v/>
      </c>
      <c r="I779" s="127" t="n"/>
      <c r="J779" s="128" t="n"/>
      <c r="K779" s="127" t="n"/>
      <c r="L779" s="127" t="n"/>
    </row>
    <row r="780" ht="21" customHeight="1">
      <c r="A780" s="1" t="n"/>
      <c r="B780" s="1" t="n"/>
      <c r="C780" s="2" t="n"/>
      <c r="E780" s="130">
        <f>IF($F780="","","MVT-"&amp;TEXT(ROW()-6,"0000"))</f>
        <v/>
      </c>
      <c r="F780" s="134" t="n"/>
      <c r="G780" s="127" t="n"/>
      <c r="H780" s="130">
        <f>IF($G780="","",IFERROR(INDEX(FOU_Article,MATCH($G780,FOU_Code,0)),"⚠ Code inconnu"))</f>
        <v/>
      </c>
      <c r="I780" s="127" t="n"/>
      <c r="J780" s="128" t="n"/>
      <c r="K780" s="127" t="n"/>
      <c r="L780" s="127" t="n"/>
    </row>
    <row r="781" ht="21" customHeight="1">
      <c r="A781" s="1" t="n"/>
      <c r="B781" s="1" t="n"/>
      <c r="C781" s="2" t="n"/>
      <c r="E781" s="130">
        <f>IF($F781="","","MVT-"&amp;TEXT(ROW()-6,"0000"))</f>
        <v/>
      </c>
      <c r="F781" s="134" t="n"/>
      <c r="G781" s="127" t="n"/>
      <c r="H781" s="130">
        <f>IF($G781="","",IFERROR(INDEX(FOU_Article,MATCH($G781,FOU_Code,0)),"⚠ Code inconnu"))</f>
        <v/>
      </c>
      <c r="I781" s="127" t="n"/>
      <c r="J781" s="128" t="n"/>
      <c r="K781" s="127" t="n"/>
      <c r="L781" s="127" t="n"/>
    </row>
    <row r="782" ht="21" customHeight="1">
      <c r="A782" s="1" t="n"/>
      <c r="B782" s="1" t="n"/>
      <c r="C782" s="2" t="n"/>
      <c r="E782" s="130">
        <f>IF($F782="","","MVT-"&amp;TEXT(ROW()-6,"0000"))</f>
        <v/>
      </c>
      <c r="F782" s="134" t="n"/>
      <c r="G782" s="127" t="n"/>
      <c r="H782" s="130">
        <f>IF($G782="","",IFERROR(INDEX(FOU_Article,MATCH($G782,FOU_Code,0)),"⚠ Code inconnu"))</f>
        <v/>
      </c>
      <c r="I782" s="127" t="n"/>
      <c r="J782" s="128" t="n"/>
      <c r="K782" s="127" t="n"/>
      <c r="L782" s="127" t="n"/>
    </row>
    <row r="783" ht="21" customHeight="1">
      <c r="A783" s="1" t="n"/>
      <c r="B783" s="1" t="n"/>
      <c r="C783" s="2" t="n"/>
      <c r="E783" s="130">
        <f>IF($F783="","","MVT-"&amp;TEXT(ROW()-6,"0000"))</f>
        <v/>
      </c>
      <c r="F783" s="134" t="n"/>
      <c r="G783" s="127" t="n"/>
      <c r="H783" s="130">
        <f>IF($G783="","",IFERROR(INDEX(FOU_Article,MATCH($G783,FOU_Code,0)),"⚠ Code inconnu"))</f>
        <v/>
      </c>
      <c r="I783" s="127" t="n"/>
      <c r="J783" s="128" t="n"/>
      <c r="K783" s="127" t="n"/>
      <c r="L783" s="127" t="n"/>
    </row>
    <row r="784" ht="21" customHeight="1">
      <c r="A784" s="1" t="n"/>
      <c r="B784" s="1" t="n"/>
      <c r="C784" s="2" t="n"/>
      <c r="E784" s="130">
        <f>IF($F784="","","MVT-"&amp;TEXT(ROW()-6,"0000"))</f>
        <v/>
      </c>
      <c r="F784" s="134" t="n"/>
      <c r="G784" s="127" t="n"/>
      <c r="H784" s="130">
        <f>IF($G784="","",IFERROR(INDEX(FOU_Article,MATCH($G784,FOU_Code,0)),"⚠ Code inconnu"))</f>
        <v/>
      </c>
      <c r="I784" s="127" t="n"/>
      <c r="J784" s="128" t="n"/>
      <c r="K784" s="127" t="n"/>
      <c r="L784" s="127" t="n"/>
    </row>
    <row r="785" ht="21" customHeight="1">
      <c r="A785" s="1" t="n"/>
      <c r="B785" s="1" t="n"/>
      <c r="C785" s="2" t="n"/>
      <c r="E785" s="130">
        <f>IF($F785="","","MVT-"&amp;TEXT(ROW()-6,"0000"))</f>
        <v/>
      </c>
      <c r="F785" s="134" t="n"/>
      <c r="G785" s="127" t="n"/>
      <c r="H785" s="130">
        <f>IF($G785="","",IFERROR(INDEX(FOU_Article,MATCH($G785,FOU_Code,0)),"⚠ Code inconnu"))</f>
        <v/>
      </c>
      <c r="I785" s="127" t="n"/>
      <c r="J785" s="128" t="n"/>
      <c r="K785" s="127" t="n"/>
      <c r="L785" s="127" t="n"/>
    </row>
    <row r="786" ht="21" customHeight="1">
      <c r="A786" s="1" t="n"/>
      <c r="B786" s="1" t="n"/>
      <c r="C786" s="2" t="n"/>
      <c r="E786" s="130">
        <f>IF($F786="","","MVT-"&amp;TEXT(ROW()-6,"0000"))</f>
        <v/>
      </c>
      <c r="F786" s="134" t="n"/>
      <c r="G786" s="127" t="n"/>
      <c r="H786" s="130">
        <f>IF($G786="","",IFERROR(INDEX(FOU_Article,MATCH($G786,FOU_Code,0)),"⚠ Code inconnu"))</f>
        <v/>
      </c>
      <c r="I786" s="127" t="n"/>
      <c r="J786" s="128" t="n"/>
      <c r="K786" s="127" t="n"/>
      <c r="L786" s="127" t="n"/>
    </row>
    <row r="787" ht="21" customHeight="1">
      <c r="A787" s="1" t="n"/>
      <c r="B787" s="1" t="n"/>
      <c r="C787" s="2" t="n"/>
      <c r="E787" s="130">
        <f>IF($F787="","","MVT-"&amp;TEXT(ROW()-6,"0000"))</f>
        <v/>
      </c>
      <c r="F787" s="134" t="n"/>
      <c r="G787" s="127" t="n"/>
      <c r="H787" s="130">
        <f>IF($G787="","",IFERROR(INDEX(FOU_Article,MATCH($G787,FOU_Code,0)),"⚠ Code inconnu"))</f>
        <v/>
      </c>
      <c r="I787" s="127" t="n"/>
      <c r="J787" s="128" t="n"/>
      <c r="K787" s="127" t="n"/>
      <c r="L787" s="127" t="n"/>
    </row>
    <row r="788" ht="21" customHeight="1">
      <c r="A788" s="1" t="n"/>
      <c r="B788" s="1" t="n"/>
      <c r="C788" s="2" t="n"/>
      <c r="E788" s="130">
        <f>IF($F788="","","MVT-"&amp;TEXT(ROW()-6,"0000"))</f>
        <v/>
      </c>
      <c r="F788" s="134" t="n"/>
      <c r="G788" s="127" t="n"/>
      <c r="H788" s="130">
        <f>IF($G788="","",IFERROR(INDEX(FOU_Article,MATCH($G788,FOU_Code,0)),"⚠ Code inconnu"))</f>
        <v/>
      </c>
      <c r="I788" s="127" t="n"/>
      <c r="J788" s="128" t="n"/>
      <c r="K788" s="127" t="n"/>
      <c r="L788" s="127" t="n"/>
    </row>
    <row r="789" ht="21" customHeight="1">
      <c r="A789" s="1" t="n"/>
      <c r="B789" s="1" t="n"/>
      <c r="C789" s="2" t="n"/>
      <c r="E789" s="130">
        <f>IF($F789="","","MVT-"&amp;TEXT(ROW()-6,"0000"))</f>
        <v/>
      </c>
      <c r="F789" s="134" t="n"/>
      <c r="G789" s="127" t="n"/>
      <c r="H789" s="130">
        <f>IF($G789="","",IFERROR(INDEX(FOU_Article,MATCH($G789,FOU_Code,0)),"⚠ Code inconnu"))</f>
        <v/>
      </c>
      <c r="I789" s="127" t="n"/>
      <c r="J789" s="128" t="n"/>
      <c r="K789" s="127" t="n"/>
      <c r="L789" s="127" t="n"/>
    </row>
    <row r="790" ht="21" customHeight="1">
      <c r="A790" s="1" t="n"/>
      <c r="B790" s="1" t="n"/>
      <c r="C790" s="2" t="n"/>
      <c r="E790" s="130">
        <f>IF($F790="","","MVT-"&amp;TEXT(ROW()-6,"0000"))</f>
        <v/>
      </c>
      <c r="F790" s="134" t="n"/>
      <c r="G790" s="127" t="n"/>
      <c r="H790" s="130">
        <f>IF($G790="","",IFERROR(INDEX(FOU_Article,MATCH($G790,FOU_Code,0)),"⚠ Code inconnu"))</f>
        <v/>
      </c>
      <c r="I790" s="127" t="n"/>
      <c r="J790" s="128" t="n"/>
      <c r="K790" s="127" t="n"/>
      <c r="L790" s="127" t="n"/>
    </row>
    <row r="791" ht="21" customHeight="1">
      <c r="A791" s="1" t="n"/>
      <c r="B791" s="1" t="n"/>
      <c r="C791" s="2" t="n"/>
      <c r="E791" s="130">
        <f>IF($F791="","","MVT-"&amp;TEXT(ROW()-6,"0000"))</f>
        <v/>
      </c>
      <c r="F791" s="134" t="n"/>
      <c r="G791" s="127" t="n"/>
      <c r="H791" s="130">
        <f>IF($G791="","",IFERROR(INDEX(FOU_Article,MATCH($G791,FOU_Code,0)),"⚠ Code inconnu"))</f>
        <v/>
      </c>
      <c r="I791" s="127" t="n"/>
      <c r="J791" s="128" t="n"/>
      <c r="K791" s="127" t="n"/>
      <c r="L791" s="127" t="n"/>
    </row>
    <row r="792" ht="21" customHeight="1">
      <c r="A792" s="1" t="n"/>
      <c r="B792" s="1" t="n"/>
      <c r="C792" s="2" t="n"/>
      <c r="E792" s="130">
        <f>IF($F792="","","MVT-"&amp;TEXT(ROW()-6,"0000"))</f>
        <v/>
      </c>
      <c r="F792" s="134" t="n"/>
      <c r="G792" s="127" t="n"/>
      <c r="H792" s="130">
        <f>IF($G792="","",IFERROR(INDEX(FOU_Article,MATCH($G792,FOU_Code,0)),"⚠ Code inconnu"))</f>
        <v/>
      </c>
      <c r="I792" s="127" t="n"/>
      <c r="J792" s="128" t="n"/>
      <c r="K792" s="127" t="n"/>
      <c r="L792" s="127" t="n"/>
    </row>
    <row r="793" ht="21" customHeight="1">
      <c r="A793" s="1" t="n"/>
      <c r="B793" s="1" t="n"/>
      <c r="C793" s="2" t="n"/>
      <c r="E793" s="130">
        <f>IF($F793="","","MVT-"&amp;TEXT(ROW()-6,"0000"))</f>
        <v/>
      </c>
      <c r="F793" s="134" t="n"/>
      <c r="G793" s="127" t="n"/>
      <c r="H793" s="130">
        <f>IF($G793="","",IFERROR(INDEX(FOU_Article,MATCH($G793,FOU_Code,0)),"⚠ Code inconnu"))</f>
        <v/>
      </c>
      <c r="I793" s="127" t="n"/>
      <c r="J793" s="128" t="n"/>
      <c r="K793" s="127" t="n"/>
      <c r="L793" s="127" t="n"/>
    </row>
    <row r="794" ht="21" customHeight="1">
      <c r="A794" s="1" t="n"/>
      <c r="B794" s="1" t="n"/>
      <c r="C794" s="2" t="n"/>
      <c r="E794" s="130">
        <f>IF($F794="","","MVT-"&amp;TEXT(ROW()-6,"0000"))</f>
        <v/>
      </c>
      <c r="F794" s="134" t="n"/>
      <c r="G794" s="127" t="n"/>
      <c r="H794" s="130">
        <f>IF($G794="","",IFERROR(INDEX(FOU_Article,MATCH($G794,FOU_Code,0)),"⚠ Code inconnu"))</f>
        <v/>
      </c>
      <c r="I794" s="127" t="n"/>
      <c r="J794" s="128" t="n"/>
      <c r="K794" s="127" t="n"/>
      <c r="L794" s="127" t="n"/>
    </row>
    <row r="795" ht="21" customHeight="1">
      <c r="A795" s="1" t="n"/>
      <c r="B795" s="1" t="n"/>
      <c r="C795" s="2" t="n"/>
      <c r="E795" s="130">
        <f>IF($F795="","","MVT-"&amp;TEXT(ROW()-6,"0000"))</f>
        <v/>
      </c>
      <c r="F795" s="134" t="n"/>
      <c r="G795" s="127" t="n"/>
      <c r="H795" s="130">
        <f>IF($G795="","",IFERROR(INDEX(FOU_Article,MATCH($G795,FOU_Code,0)),"⚠ Code inconnu"))</f>
        <v/>
      </c>
      <c r="I795" s="127" t="n"/>
      <c r="J795" s="128" t="n"/>
      <c r="K795" s="127" t="n"/>
      <c r="L795" s="127" t="n"/>
    </row>
    <row r="796" ht="21" customHeight="1">
      <c r="A796" s="1" t="n"/>
      <c r="B796" s="1" t="n"/>
      <c r="C796" s="2" t="n"/>
      <c r="E796" s="130">
        <f>IF($F796="","","MVT-"&amp;TEXT(ROW()-6,"0000"))</f>
        <v/>
      </c>
      <c r="F796" s="134" t="n"/>
      <c r="G796" s="127" t="n"/>
      <c r="H796" s="130">
        <f>IF($G796="","",IFERROR(INDEX(FOU_Article,MATCH($G796,FOU_Code,0)),"⚠ Code inconnu"))</f>
        <v/>
      </c>
      <c r="I796" s="127" t="n"/>
      <c r="J796" s="128" t="n"/>
      <c r="K796" s="127" t="n"/>
      <c r="L796" s="127" t="n"/>
    </row>
    <row r="797" ht="21" customHeight="1">
      <c r="A797" s="1" t="n"/>
      <c r="B797" s="1" t="n"/>
      <c r="C797" s="2" t="n"/>
      <c r="E797" s="130">
        <f>IF($F797="","","MVT-"&amp;TEXT(ROW()-6,"0000"))</f>
        <v/>
      </c>
      <c r="F797" s="134" t="n"/>
      <c r="G797" s="127" t="n"/>
      <c r="H797" s="130">
        <f>IF($G797="","",IFERROR(INDEX(FOU_Article,MATCH($G797,FOU_Code,0)),"⚠ Code inconnu"))</f>
        <v/>
      </c>
      <c r="I797" s="127" t="n"/>
      <c r="J797" s="128" t="n"/>
      <c r="K797" s="127" t="n"/>
      <c r="L797" s="127" t="n"/>
    </row>
    <row r="798" ht="21" customHeight="1">
      <c r="A798" s="1" t="n"/>
      <c r="B798" s="1" t="n"/>
      <c r="C798" s="2" t="n"/>
      <c r="E798" s="130">
        <f>IF($F798="","","MVT-"&amp;TEXT(ROW()-6,"0000"))</f>
        <v/>
      </c>
      <c r="F798" s="134" t="n"/>
      <c r="G798" s="127" t="n"/>
      <c r="H798" s="130">
        <f>IF($G798="","",IFERROR(INDEX(FOU_Article,MATCH($G798,FOU_Code,0)),"⚠ Code inconnu"))</f>
        <v/>
      </c>
      <c r="I798" s="127" t="n"/>
      <c r="J798" s="128" t="n"/>
      <c r="K798" s="127" t="n"/>
      <c r="L798" s="127" t="n"/>
    </row>
    <row r="799" ht="21" customHeight="1">
      <c r="A799" s="1" t="n"/>
      <c r="B799" s="1" t="n"/>
      <c r="C799" s="2" t="n"/>
      <c r="E799" s="130">
        <f>IF($F799="","","MVT-"&amp;TEXT(ROW()-6,"0000"))</f>
        <v/>
      </c>
      <c r="F799" s="134" t="n"/>
      <c r="G799" s="127" t="n"/>
      <c r="H799" s="130">
        <f>IF($G799="","",IFERROR(INDEX(FOU_Article,MATCH($G799,FOU_Code,0)),"⚠ Code inconnu"))</f>
        <v/>
      </c>
      <c r="I799" s="127" t="n"/>
      <c r="J799" s="128" t="n"/>
      <c r="K799" s="127" t="n"/>
      <c r="L799" s="127" t="n"/>
    </row>
    <row r="800" ht="21" customHeight="1">
      <c r="A800" s="1" t="n"/>
      <c r="B800" s="1" t="n"/>
      <c r="C800" s="2" t="n"/>
      <c r="E800" s="130">
        <f>IF($F800="","","MVT-"&amp;TEXT(ROW()-6,"0000"))</f>
        <v/>
      </c>
      <c r="F800" s="134" t="n"/>
      <c r="G800" s="127" t="n"/>
      <c r="H800" s="130">
        <f>IF($G800="","",IFERROR(INDEX(FOU_Article,MATCH($G800,FOU_Code,0)),"⚠ Code inconnu"))</f>
        <v/>
      </c>
      <c r="I800" s="127" t="n"/>
      <c r="J800" s="128" t="n"/>
      <c r="K800" s="127" t="n"/>
      <c r="L800" s="127" t="n"/>
    </row>
    <row r="801" ht="21" customHeight="1">
      <c r="A801" s="1" t="n"/>
      <c r="B801" s="1" t="n"/>
      <c r="C801" s="2" t="n"/>
      <c r="E801" s="130">
        <f>IF($F801="","","MVT-"&amp;TEXT(ROW()-6,"0000"))</f>
        <v/>
      </c>
      <c r="F801" s="134" t="n"/>
      <c r="G801" s="127" t="n"/>
      <c r="H801" s="130">
        <f>IF($G801="","",IFERROR(INDEX(FOU_Article,MATCH($G801,FOU_Code,0)),"⚠ Code inconnu"))</f>
        <v/>
      </c>
      <c r="I801" s="127" t="n"/>
      <c r="J801" s="128" t="n"/>
      <c r="K801" s="127" t="n"/>
      <c r="L801" s="127" t="n"/>
    </row>
    <row r="802" ht="21" customHeight="1">
      <c r="A802" s="1" t="n"/>
      <c r="B802" s="1" t="n"/>
      <c r="C802" s="2" t="n"/>
      <c r="E802" s="130">
        <f>IF($F802="","","MVT-"&amp;TEXT(ROW()-6,"0000"))</f>
        <v/>
      </c>
      <c r="F802" s="134" t="n"/>
      <c r="G802" s="127" t="n"/>
      <c r="H802" s="130">
        <f>IF($G802="","",IFERROR(INDEX(FOU_Article,MATCH($G802,FOU_Code,0)),"⚠ Code inconnu"))</f>
        <v/>
      </c>
      <c r="I802" s="127" t="n"/>
      <c r="J802" s="128" t="n"/>
      <c r="K802" s="127" t="n"/>
      <c r="L802" s="127" t="n"/>
    </row>
    <row r="803" ht="21" customHeight="1">
      <c r="A803" s="1" t="n"/>
      <c r="B803" s="1" t="n"/>
      <c r="C803" s="2" t="n"/>
      <c r="E803" s="130">
        <f>IF($F803="","","MVT-"&amp;TEXT(ROW()-6,"0000"))</f>
        <v/>
      </c>
      <c r="F803" s="134" t="n"/>
      <c r="G803" s="127" t="n"/>
      <c r="H803" s="130">
        <f>IF($G803="","",IFERROR(INDEX(FOU_Article,MATCH($G803,FOU_Code,0)),"⚠ Code inconnu"))</f>
        <v/>
      </c>
      <c r="I803" s="127" t="n"/>
      <c r="J803" s="128" t="n"/>
      <c r="K803" s="127" t="n"/>
      <c r="L803" s="127" t="n"/>
    </row>
    <row r="804" ht="21" customHeight="1">
      <c r="A804" s="1" t="n"/>
      <c r="B804" s="1" t="n"/>
      <c r="C804" s="2" t="n"/>
      <c r="E804" s="130">
        <f>IF($F804="","","MVT-"&amp;TEXT(ROW()-6,"0000"))</f>
        <v/>
      </c>
      <c r="F804" s="134" t="n"/>
      <c r="G804" s="127" t="n"/>
      <c r="H804" s="130">
        <f>IF($G804="","",IFERROR(INDEX(FOU_Article,MATCH($G804,FOU_Code,0)),"⚠ Code inconnu"))</f>
        <v/>
      </c>
      <c r="I804" s="127" t="n"/>
      <c r="J804" s="128" t="n"/>
      <c r="K804" s="127" t="n"/>
      <c r="L804" s="127" t="n"/>
    </row>
    <row r="805" ht="21" customHeight="1">
      <c r="A805" s="1" t="n"/>
      <c r="B805" s="1" t="n"/>
      <c r="C805" s="2" t="n"/>
      <c r="E805" s="130">
        <f>IF($F805="","","MVT-"&amp;TEXT(ROW()-6,"0000"))</f>
        <v/>
      </c>
      <c r="F805" s="134" t="n"/>
      <c r="G805" s="127" t="n"/>
      <c r="H805" s="130">
        <f>IF($G805="","",IFERROR(INDEX(FOU_Article,MATCH($G805,FOU_Code,0)),"⚠ Code inconnu"))</f>
        <v/>
      </c>
      <c r="I805" s="127" t="n"/>
      <c r="J805" s="128" t="n"/>
      <c r="K805" s="127" t="n"/>
      <c r="L805" s="127" t="n"/>
    </row>
    <row r="806" ht="21" customHeight="1">
      <c r="A806" s="1" t="n"/>
      <c r="B806" s="1" t="n"/>
      <c r="C806" s="2" t="n"/>
      <c r="E806" s="130">
        <f>IF($F806="","","MVT-"&amp;TEXT(ROW()-6,"0000"))</f>
        <v/>
      </c>
      <c r="F806" s="134" t="n"/>
      <c r="G806" s="127" t="n"/>
      <c r="H806" s="130">
        <f>IF($G806="","",IFERROR(INDEX(FOU_Article,MATCH($G806,FOU_Code,0)),"⚠ Code inconnu"))</f>
        <v/>
      </c>
      <c r="I806" s="127" t="n"/>
      <c r="J806" s="128" t="n"/>
      <c r="K806" s="127" t="n"/>
      <c r="L806" s="127" t="n"/>
    </row>
    <row r="807" ht="21" customHeight="1">
      <c r="A807" s="1" t="n"/>
      <c r="B807" s="1" t="n"/>
      <c r="C807" s="2" t="n"/>
      <c r="E807" s="130">
        <f>IF($F807="","","MVT-"&amp;TEXT(ROW()-6,"0000"))</f>
        <v/>
      </c>
      <c r="F807" s="134" t="n"/>
      <c r="G807" s="127" t="n"/>
      <c r="H807" s="130">
        <f>IF($G807="","",IFERROR(INDEX(FOU_Article,MATCH($G807,FOU_Code,0)),"⚠ Code inconnu"))</f>
        <v/>
      </c>
      <c r="I807" s="127" t="n"/>
      <c r="J807" s="128" t="n"/>
      <c r="K807" s="127" t="n"/>
      <c r="L807" s="127" t="n"/>
    </row>
    <row r="808" ht="21" customHeight="1">
      <c r="A808" s="1" t="n"/>
      <c r="B808" s="1" t="n"/>
      <c r="C808" s="2" t="n"/>
      <c r="E808" s="130">
        <f>IF($F808="","","MVT-"&amp;TEXT(ROW()-6,"0000"))</f>
        <v/>
      </c>
      <c r="F808" s="134" t="n"/>
      <c r="G808" s="127" t="n"/>
      <c r="H808" s="130">
        <f>IF($G808="","",IFERROR(INDEX(FOU_Article,MATCH($G808,FOU_Code,0)),"⚠ Code inconnu"))</f>
        <v/>
      </c>
      <c r="I808" s="127" t="n"/>
      <c r="J808" s="128" t="n"/>
      <c r="K808" s="127" t="n"/>
      <c r="L808" s="127" t="n"/>
    </row>
    <row r="809" ht="21" customHeight="1">
      <c r="A809" s="1" t="n"/>
      <c r="B809" s="1" t="n"/>
      <c r="C809" s="2" t="n"/>
      <c r="E809" s="130">
        <f>IF($F809="","","MVT-"&amp;TEXT(ROW()-6,"0000"))</f>
        <v/>
      </c>
      <c r="F809" s="134" t="n"/>
      <c r="G809" s="127" t="n"/>
      <c r="H809" s="130">
        <f>IF($G809="","",IFERROR(INDEX(FOU_Article,MATCH($G809,FOU_Code,0)),"⚠ Code inconnu"))</f>
        <v/>
      </c>
      <c r="I809" s="127" t="n"/>
      <c r="J809" s="128" t="n"/>
      <c r="K809" s="127" t="n"/>
      <c r="L809" s="127" t="n"/>
    </row>
    <row r="810" ht="21" customHeight="1">
      <c r="A810" s="1" t="n"/>
      <c r="B810" s="1" t="n"/>
      <c r="C810" s="2" t="n"/>
      <c r="E810" s="130">
        <f>IF($F810="","","MVT-"&amp;TEXT(ROW()-6,"0000"))</f>
        <v/>
      </c>
      <c r="F810" s="134" t="n"/>
      <c r="G810" s="127" t="n"/>
      <c r="H810" s="130">
        <f>IF($G810="","",IFERROR(INDEX(FOU_Article,MATCH($G810,FOU_Code,0)),"⚠ Code inconnu"))</f>
        <v/>
      </c>
      <c r="I810" s="127" t="n"/>
      <c r="J810" s="128" t="n"/>
      <c r="K810" s="127" t="n"/>
      <c r="L810" s="127" t="n"/>
    </row>
    <row r="811" ht="21" customHeight="1">
      <c r="A811" s="1" t="n"/>
      <c r="B811" s="1" t="n"/>
      <c r="C811" s="2" t="n"/>
      <c r="E811" s="130">
        <f>IF($F811="","","MVT-"&amp;TEXT(ROW()-6,"0000"))</f>
        <v/>
      </c>
      <c r="F811" s="134" t="n"/>
      <c r="G811" s="127" t="n"/>
      <c r="H811" s="130">
        <f>IF($G811="","",IFERROR(INDEX(FOU_Article,MATCH($G811,FOU_Code,0)),"⚠ Code inconnu"))</f>
        <v/>
      </c>
      <c r="I811" s="127" t="n"/>
      <c r="J811" s="128" t="n"/>
      <c r="K811" s="127" t="n"/>
      <c r="L811" s="127" t="n"/>
    </row>
    <row r="812" ht="21" customHeight="1">
      <c r="A812" s="1" t="n"/>
      <c r="B812" s="1" t="n"/>
      <c r="C812" s="2" t="n"/>
      <c r="E812" s="130">
        <f>IF($F812="","","MVT-"&amp;TEXT(ROW()-6,"0000"))</f>
        <v/>
      </c>
      <c r="F812" s="134" t="n"/>
      <c r="G812" s="127" t="n"/>
      <c r="H812" s="130">
        <f>IF($G812="","",IFERROR(INDEX(FOU_Article,MATCH($G812,FOU_Code,0)),"⚠ Code inconnu"))</f>
        <v/>
      </c>
      <c r="I812" s="127" t="n"/>
      <c r="J812" s="128" t="n"/>
      <c r="K812" s="127" t="n"/>
      <c r="L812" s="127" t="n"/>
    </row>
    <row r="813" ht="21" customHeight="1">
      <c r="A813" s="1" t="n"/>
      <c r="B813" s="1" t="n"/>
      <c r="C813" s="2" t="n"/>
      <c r="E813" s="130">
        <f>IF($F813="","","MVT-"&amp;TEXT(ROW()-6,"0000"))</f>
        <v/>
      </c>
      <c r="F813" s="134" t="n"/>
      <c r="G813" s="127" t="n"/>
      <c r="H813" s="130">
        <f>IF($G813="","",IFERROR(INDEX(FOU_Article,MATCH($G813,FOU_Code,0)),"⚠ Code inconnu"))</f>
        <v/>
      </c>
      <c r="I813" s="127" t="n"/>
      <c r="J813" s="128" t="n"/>
      <c r="K813" s="127" t="n"/>
      <c r="L813" s="127" t="n"/>
    </row>
    <row r="814" ht="21" customHeight="1">
      <c r="A814" s="1" t="n"/>
      <c r="B814" s="1" t="n"/>
      <c r="C814" s="2" t="n"/>
      <c r="E814" s="130">
        <f>IF($F814="","","MVT-"&amp;TEXT(ROW()-6,"0000"))</f>
        <v/>
      </c>
      <c r="F814" s="134" t="n"/>
      <c r="G814" s="127" t="n"/>
      <c r="H814" s="130">
        <f>IF($G814="","",IFERROR(INDEX(FOU_Article,MATCH($G814,FOU_Code,0)),"⚠ Code inconnu"))</f>
        <v/>
      </c>
      <c r="I814" s="127" t="n"/>
      <c r="J814" s="128" t="n"/>
      <c r="K814" s="127" t="n"/>
      <c r="L814" s="127" t="n"/>
    </row>
    <row r="815" ht="21" customHeight="1">
      <c r="A815" s="1" t="n"/>
      <c r="B815" s="1" t="n"/>
      <c r="C815" s="2" t="n"/>
      <c r="E815" s="130">
        <f>IF($F815="","","MVT-"&amp;TEXT(ROW()-6,"0000"))</f>
        <v/>
      </c>
      <c r="F815" s="134" t="n"/>
      <c r="G815" s="127" t="n"/>
      <c r="H815" s="130">
        <f>IF($G815="","",IFERROR(INDEX(FOU_Article,MATCH($G815,FOU_Code,0)),"⚠ Code inconnu"))</f>
        <v/>
      </c>
      <c r="I815" s="127" t="n"/>
      <c r="J815" s="128" t="n"/>
      <c r="K815" s="127" t="n"/>
      <c r="L815" s="127" t="n"/>
    </row>
    <row r="816" ht="21" customHeight="1">
      <c r="A816" s="1" t="n"/>
      <c r="B816" s="1" t="n"/>
      <c r="C816" s="2" t="n"/>
      <c r="E816" s="130">
        <f>IF($F816="","","MVT-"&amp;TEXT(ROW()-6,"0000"))</f>
        <v/>
      </c>
      <c r="F816" s="134" t="n"/>
      <c r="G816" s="127" t="n"/>
      <c r="H816" s="130">
        <f>IF($G816="","",IFERROR(INDEX(FOU_Article,MATCH($G816,FOU_Code,0)),"⚠ Code inconnu"))</f>
        <v/>
      </c>
      <c r="I816" s="127" t="n"/>
      <c r="J816" s="128" t="n"/>
      <c r="K816" s="127" t="n"/>
      <c r="L816" s="127" t="n"/>
    </row>
    <row r="817" ht="21" customHeight="1">
      <c r="A817" s="1" t="n"/>
      <c r="B817" s="1" t="n"/>
      <c r="C817" s="2" t="n"/>
      <c r="E817" s="130">
        <f>IF($F817="","","MVT-"&amp;TEXT(ROW()-6,"0000"))</f>
        <v/>
      </c>
      <c r="F817" s="134" t="n"/>
      <c r="G817" s="127" t="n"/>
      <c r="H817" s="130">
        <f>IF($G817="","",IFERROR(INDEX(FOU_Article,MATCH($G817,FOU_Code,0)),"⚠ Code inconnu"))</f>
        <v/>
      </c>
      <c r="I817" s="127" t="n"/>
      <c r="J817" s="128" t="n"/>
      <c r="K817" s="127" t="n"/>
      <c r="L817" s="127" t="n"/>
    </row>
    <row r="818" ht="21" customHeight="1">
      <c r="A818" s="1" t="n"/>
      <c r="B818" s="1" t="n"/>
      <c r="C818" s="2" t="n"/>
      <c r="E818" s="130">
        <f>IF($F818="","","MVT-"&amp;TEXT(ROW()-6,"0000"))</f>
        <v/>
      </c>
      <c r="F818" s="134" t="n"/>
      <c r="G818" s="127" t="n"/>
      <c r="H818" s="130">
        <f>IF($G818="","",IFERROR(INDEX(FOU_Article,MATCH($G818,FOU_Code,0)),"⚠ Code inconnu"))</f>
        <v/>
      </c>
      <c r="I818" s="127" t="n"/>
      <c r="J818" s="128" t="n"/>
      <c r="K818" s="127" t="n"/>
      <c r="L818" s="127" t="n"/>
    </row>
    <row r="819" ht="21" customHeight="1">
      <c r="A819" s="1" t="n"/>
      <c r="B819" s="1" t="n"/>
      <c r="C819" s="2" t="n"/>
      <c r="E819" s="130">
        <f>IF($F819="","","MVT-"&amp;TEXT(ROW()-6,"0000"))</f>
        <v/>
      </c>
      <c r="F819" s="134" t="n"/>
      <c r="G819" s="127" t="n"/>
      <c r="H819" s="130">
        <f>IF($G819="","",IFERROR(INDEX(FOU_Article,MATCH($G819,FOU_Code,0)),"⚠ Code inconnu"))</f>
        <v/>
      </c>
      <c r="I819" s="127" t="n"/>
      <c r="J819" s="128" t="n"/>
      <c r="K819" s="127" t="n"/>
      <c r="L819" s="127" t="n"/>
    </row>
    <row r="820" ht="21" customHeight="1">
      <c r="A820" s="1" t="n"/>
      <c r="B820" s="1" t="n"/>
      <c r="C820" s="2" t="n"/>
      <c r="E820" s="130">
        <f>IF($F820="","","MVT-"&amp;TEXT(ROW()-6,"0000"))</f>
        <v/>
      </c>
      <c r="F820" s="134" t="n"/>
      <c r="G820" s="127" t="n"/>
      <c r="H820" s="130">
        <f>IF($G820="","",IFERROR(INDEX(FOU_Article,MATCH($G820,FOU_Code,0)),"⚠ Code inconnu"))</f>
        <v/>
      </c>
      <c r="I820" s="127" t="n"/>
      <c r="J820" s="128" t="n"/>
      <c r="K820" s="127" t="n"/>
      <c r="L820" s="127" t="n"/>
    </row>
    <row r="821" ht="21" customHeight="1">
      <c r="A821" s="1" t="n"/>
      <c r="B821" s="1" t="n"/>
      <c r="C821" s="2" t="n"/>
      <c r="E821" s="130">
        <f>IF($F821="","","MVT-"&amp;TEXT(ROW()-6,"0000"))</f>
        <v/>
      </c>
      <c r="F821" s="134" t="n"/>
      <c r="G821" s="127" t="n"/>
      <c r="H821" s="130">
        <f>IF($G821="","",IFERROR(INDEX(FOU_Article,MATCH($G821,FOU_Code,0)),"⚠ Code inconnu"))</f>
        <v/>
      </c>
      <c r="I821" s="127" t="n"/>
      <c r="J821" s="128" t="n"/>
      <c r="K821" s="127" t="n"/>
      <c r="L821" s="127" t="n"/>
    </row>
    <row r="822" ht="21" customHeight="1">
      <c r="A822" s="1" t="n"/>
      <c r="B822" s="1" t="n"/>
      <c r="C822" s="2" t="n"/>
      <c r="E822" s="130">
        <f>IF($F822="","","MVT-"&amp;TEXT(ROW()-6,"0000"))</f>
        <v/>
      </c>
      <c r="F822" s="134" t="n"/>
      <c r="G822" s="127" t="n"/>
      <c r="H822" s="130">
        <f>IF($G822="","",IFERROR(INDEX(FOU_Article,MATCH($G822,FOU_Code,0)),"⚠ Code inconnu"))</f>
        <v/>
      </c>
      <c r="I822" s="127" t="n"/>
      <c r="J822" s="128" t="n"/>
      <c r="K822" s="127" t="n"/>
      <c r="L822" s="127" t="n"/>
    </row>
    <row r="823" ht="21" customHeight="1">
      <c r="A823" s="1" t="n"/>
      <c r="B823" s="1" t="n"/>
      <c r="C823" s="2" t="n"/>
      <c r="E823" s="130">
        <f>IF($F823="","","MVT-"&amp;TEXT(ROW()-6,"0000"))</f>
        <v/>
      </c>
      <c r="F823" s="134" t="n"/>
      <c r="G823" s="127" t="n"/>
      <c r="H823" s="130">
        <f>IF($G823="","",IFERROR(INDEX(FOU_Article,MATCH($G823,FOU_Code,0)),"⚠ Code inconnu"))</f>
        <v/>
      </c>
      <c r="I823" s="127" t="n"/>
      <c r="J823" s="128" t="n"/>
      <c r="K823" s="127" t="n"/>
      <c r="L823" s="127" t="n"/>
    </row>
    <row r="824" ht="21" customHeight="1">
      <c r="A824" s="1" t="n"/>
      <c r="B824" s="1" t="n"/>
      <c r="C824" s="2" t="n"/>
      <c r="E824" s="130">
        <f>IF($F824="","","MVT-"&amp;TEXT(ROW()-6,"0000"))</f>
        <v/>
      </c>
      <c r="F824" s="134" t="n"/>
      <c r="G824" s="127" t="n"/>
      <c r="H824" s="130">
        <f>IF($G824="","",IFERROR(INDEX(FOU_Article,MATCH($G824,FOU_Code,0)),"⚠ Code inconnu"))</f>
        <v/>
      </c>
      <c r="I824" s="127" t="n"/>
      <c r="J824" s="128" t="n"/>
      <c r="K824" s="127" t="n"/>
      <c r="L824" s="127" t="n"/>
    </row>
    <row r="825" ht="21" customHeight="1">
      <c r="A825" s="1" t="n"/>
      <c r="B825" s="1" t="n"/>
      <c r="C825" s="2" t="n"/>
      <c r="E825" s="130">
        <f>IF($F825="","","MVT-"&amp;TEXT(ROW()-6,"0000"))</f>
        <v/>
      </c>
      <c r="F825" s="134" t="n"/>
      <c r="G825" s="127" t="n"/>
      <c r="H825" s="130">
        <f>IF($G825="","",IFERROR(INDEX(FOU_Article,MATCH($G825,FOU_Code,0)),"⚠ Code inconnu"))</f>
        <v/>
      </c>
      <c r="I825" s="127" t="n"/>
      <c r="J825" s="128" t="n"/>
      <c r="K825" s="127" t="n"/>
      <c r="L825" s="127" t="n"/>
    </row>
    <row r="826" ht="21" customHeight="1">
      <c r="A826" s="1" t="n"/>
      <c r="B826" s="1" t="n"/>
      <c r="C826" s="2" t="n"/>
      <c r="E826" s="130">
        <f>IF($F826="","","MVT-"&amp;TEXT(ROW()-6,"0000"))</f>
        <v/>
      </c>
      <c r="F826" s="134" t="n"/>
      <c r="G826" s="127" t="n"/>
      <c r="H826" s="130">
        <f>IF($G826="","",IFERROR(INDEX(FOU_Article,MATCH($G826,FOU_Code,0)),"⚠ Code inconnu"))</f>
        <v/>
      </c>
      <c r="I826" s="127" t="n"/>
      <c r="J826" s="128" t="n"/>
      <c r="K826" s="127" t="n"/>
      <c r="L826" s="127" t="n"/>
    </row>
    <row r="827" ht="21" customHeight="1">
      <c r="A827" s="1" t="n"/>
      <c r="B827" s="1" t="n"/>
      <c r="C827" s="2" t="n"/>
      <c r="E827" s="130">
        <f>IF($F827="","","MVT-"&amp;TEXT(ROW()-6,"0000"))</f>
        <v/>
      </c>
      <c r="F827" s="134" t="n"/>
      <c r="G827" s="127" t="n"/>
      <c r="H827" s="130">
        <f>IF($G827="","",IFERROR(INDEX(FOU_Article,MATCH($G827,FOU_Code,0)),"⚠ Code inconnu"))</f>
        <v/>
      </c>
      <c r="I827" s="127" t="n"/>
      <c r="J827" s="128" t="n"/>
      <c r="K827" s="127" t="n"/>
      <c r="L827" s="127" t="n"/>
    </row>
    <row r="828" ht="21" customHeight="1">
      <c r="A828" s="1" t="n"/>
      <c r="B828" s="1" t="n"/>
      <c r="C828" s="2" t="n"/>
      <c r="E828" s="130">
        <f>IF($F828="","","MVT-"&amp;TEXT(ROW()-6,"0000"))</f>
        <v/>
      </c>
      <c r="F828" s="134" t="n"/>
      <c r="G828" s="127" t="n"/>
      <c r="H828" s="130">
        <f>IF($G828="","",IFERROR(INDEX(FOU_Article,MATCH($G828,FOU_Code,0)),"⚠ Code inconnu"))</f>
        <v/>
      </c>
      <c r="I828" s="127" t="n"/>
      <c r="J828" s="128" t="n"/>
      <c r="K828" s="127" t="n"/>
      <c r="L828" s="127" t="n"/>
    </row>
    <row r="829" ht="21" customHeight="1">
      <c r="A829" s="1" t="n"/>
      <c r="B829" s="1" t="n"/>
      <c r="C829" s="2" t="n"/>
      <c r="E829" s="130">
        <f>IF($F829="","","MVT-"&amp;TEXT(ROW()-6,"0000"))</f>
        <v/>
      </c>
      <c r="F829" s="134" t="n"/>
      <c r="G829" s="127" t="n"/>
      <c r="H829" s="130">
        <f>IF($G829="","",IFERROR(INDEX(FOU_Article,MATCH($G829,FOU_Code,0)),"⚠ Code inconnu"))</f>
        <v/>
      </c>
      <c r="I829" s="127" t="n"/>
      <c r="J829" s="128" t="n"/>
      <c r="K829" s="127" t="n"/>
      <c r="L829" s="127" t="n"/>
    </row>
    <row r="830" ht="21" customHeight="1">
      <c r="A830" s="1" t="n"/>
      <c r="B830" s="1" t="n"/>
      <c r="C830" s="2" t="n"/>
      <c r="E830" s="130">
        <f>IF($F830="","","MVT-"&amp;TEXT(ROW()-6,"0000"))</f>
        <v/>
      </c>
      <c r="F830" s="134" t="n"/>
      <c r="G830" s="127" t="n"/>
      <c r="H830" s="130">
        <f>IF($G830="","",IFERROR(INDEX(FOU_Article,MATCH($G830,FOU_Code,0)),"⚠ Code inconnu"))</f>
        <v/>
      </c>
      <c r="I830" s="127" t="n"/>
      <c r="J830" s="128" t="n"/>
      <c r="K830" s="127" t="n"/>
      <c r="L830" s="127" t="n"/>
    </row>
    <row r="831" ht="21" customHeight="1">
      <c r="A831" s="1" t="n"/>
      <c r="B831" s="1" t="n"/>
      <c r="C831" s="2" t="n"/>
      <c r="E831" s="130">
        <f>IF($F831="","","MVT-"&amp;TEXT(ROW()-6,"0000"))</f>
        <v/>
      </c>
      <c r="F831" s="134" t="n"/>
      <c r="G831" s="127" t="n"/>
      <c r="H831" s="130">
        <f>IF($G831="","",IFERROR(INDEX(FOU_Article,MATCH($G831,FOU_Code,0)),"⚠ Code inconnu"))</f>
        <v/>
      </c>
      <c r="I831" s="127" t="n"/>
      <c r="J831" s="128" t="n"/>
      <c r="K831" s="127" t="n"/>
      <c r="L831" s="127" t="n"/>
    </row>
    <row r="832" ht="21" customHeight="1">
      <c r="A832" s="1" t="n"/>
      <c r="B832" s="1" t="n"/>
      <c r="C832" s="2" t="n"/>
      <c r="E832" s="130">
        <f>IF($F832="","","MVT-"&amp;TEXT(ROW()-6,"0000"))</f>
        <v/>
      </c>
      <c r="F832" s="134" t="n"/>
      <c r="G832" s="127" t="n"/>
      <c r="H832" s="130">
        <f>IF($G832="","",IFERROR(INDEX(FOU_Article,MATCH($G832,FOU_Code,0)),"⚠ Code inconnu"))</f>
        <v/>
      </c>
      <c r="I832" s="127" t="n"/>
      <c r="J832" s="128" t="n"/>
      <c r="K832" s="127" t="n"/>
      <c r="L832" s="127" t="n"/>
    </row>
    <row r="833" ht="21" customHeight="1">
      <c r="A833" s="1" t="n"/>
      <c r="B833" s="1" t="n"/>
      <c r="C833" s="2" t="n"/>
      <c r="E833" s="130">
        <f>IF($F833="","","MVT-"&amp;TEXT(ROW()-6,"0000"))</f>
        <v/>
      </c>
      <c r="F833" s="134" t="n"/>
      <c r="G833" s="127" t="n"/>
      <c r="H833" s="130">
        <f>IF($G833="","",IFERROR(INDEX(FOU_Article,MATCH($G833,FOU_Code,0)),"⚠ Code inconnu"))</f>
        <v/>
      </c>
      <c r="I833" s="127" t="n"/>
      <c r="J833" s="128" t="n"/>
      <c r="K833" s="127" t="n"/>
      <c r="L833" s="127" t="n"/>
    </row>
    <row r="834" ht="21" customHeight="1">
      <c r="A834" s="1" t="n"/>
      <c r="B834" s="1" t="n"/>
      <c r="C834" s="2" t="n"/>
      <c r="E834" s="130">
        <f>IF($F834="","","MVT-"&amp;TEXT(ROW()-6,"0000"))</f>
        <v/>
      </c>
      <c r="F834" s="134" t="n"/>
      <c r="G834" s="127" t="n"/>
      <c r="H834" s="130">
        <f>IF($G834="","",IFERROR(INDEX(FOU_Article,MATCH($G834,FOU_Code,0)),"⚠ Code inconnu"))</f>
        <v/>
      </c>
      <c r="I834" s="127" t="n"/>
      <c r="J834" s="128" t="n"/>
      <c r="K834" s="127" t="n"/>
      <c r="L834" s="127" t="n"/>
    </row>
    <row r="835" ht="21" customHeight="1">
      <c r="A835" s="1" t="n"/>
      <c r="B835" s="1" t="n"/>
      <c r="C835" s="2" t="n"/>
      <c r="E835" s="130">
        <f>IF($F835="","","MVT-"&amp;TEXT(ROW()-6,"0000"))</f>
        <v/>
      </c>
      <c r="F835" s="134" t="n"/>
      <c r="G835" s="127" t="n"/>
      <c r="H835" s="130">
        <f>IF($G835="","",IFERROR(INDEX(FOU_Article,MATCH($G835,FOU_Code,0)),"⚠ Code inconnu"))</f>
        <v/>
      </c>
      <c r="I835" s="127" t="n"/>
      <c r="J835" s="128" t="n"/>
      <c r="K835" s="127" t="n"/>
      <c r="L835" s="127" t="n"/>
    </row>
    <row r="836" ht="21" customHeight="1">
      <c r="A836" s="1" t="n"/>
      <c r="B836" s="1" t="n"/>
      <c r="C836" s="2" t="n"/>
      <c r="E836" s="130">
        <f>IF($F836="","","MVT-"&amp;TEXT(ROW()-6,"0000"))</f>
        <v/>
      </c>
      <c r="F836" s="134" t="n"/>
      <c r="G836" s="127" t="n"/>
      <c r="H836" s="130">
        <f>IF($G836="","",IFERROR(INDEX(FOU_Article,MATCH($G836,FOU_Code,0)),"⚠ Code inconnu"))</f>
        <v/>
      </c>
      <c r="I836" s="127" t="n"/>
      <c r="J836" s="128" t="n"/>
      <c r="K836" s="127" t="n"/>
      <c r="L836" s="127" t="n"/>
    </row>
    <row r="837" ht="21" customHeight="1">
      <c r="A837" s="1" t="n"/>
      <c r="B837" s="1" t="n"/>
      <c r="C837" s="2" t="n"/>
      <c r="E837" s="130">
        <f>IF($F837="","","MVT-"&amp;TEXT(ROW()-6,"0000"))</f>
        <v/>
      </c>
      <c r="F837" s="134" t="n"/>
      <c r="G837" s="127" t="n"/>
      <c r="H837" s="130">
        <f>IF($G837="","",IFERROR(INDEX(FOU_Article,MATCH($G837,FOU_Code,0)),"⚠ Code inconnu"))</f>
        <v/>
      </c>
      <c r="I837" s="127" t="n"/>
      <c r="J837" s="128" t="n"/>
      <c r="K837" s="127" t="n"/>
      <c r="L837" s="127" t="n"/>
    </row>
    <row r="838" ht="21" customHeight="1">
      <c r="A838" s="1" t="n"/>
      <c r="B838" s="1" t="n"/>
      <c r="C838" s="2" t="n"/>
      <c r="E838" s="130">
        <f>IF($F838="","","MVT-"&amp;TEXT(ROW()-6,"0000"))</f>
        <v/>
      </c>
      <c r="F838" s="134" t="n"/>
      <c r="G838" s="127" t="n"/>
      <c r="H838" s="130">
        <f>IF($G838="","",IFERROR(INDEX(FOU_Article,MATCH($G838,FOU_Code,0)),"⚠ Code inconnu"))</f>
        <v/>
      </c>
      <c r="I838" s="127" t="n"/>
      <c r="J838" s="128" t="n"/>
      <c r="K838" s="127" t="n"/>
      <c r="L838" s="127" t="n"/>
    </row>
    <row r="839" ht="21" customHeight="1">
      <c r="A839" s="1" t="n"/>
      <c r="B839" s="1" t="n"/>
      <c r="C839" s="2" t="n"/>
      <c r="E839" s="130">
        <f>IF($F839="","","MVT-"&amp;TEXT(ROW()-6,"0000"))</f>
        <v/>
      </c>
      <c r="F839" s="134" t="n"/>
      <c r="G839" s="127" t="n"/>
      <c r="H839" s="130">
        <f>IF($G839="","",IFERROR(INDEX(FOU_Article,MATCH($G839,FOU_Code,0)),"⚠ Code inconnu"))</f>
        <v/>
      </c>
      <c r="I839" s="127" t="n"/>
      <c r="J839" s="128" t="n"/>
      <c r="K839" s="127" t="n"/>
      <c r="L839" s="127" t="n"/>
    </row>
    <row r="840" ht="21" customHeight="1">
      <c r="A840" s="1" t="n"/>
      <c r="B840" s="1" t="n"/>
      <c r="C840" s="2" t="n"/>
      <c r="E840" s="130">
        <f>IF($F840="","","MVT-"&amp;TEXT(ROW()-6,"0000"))</f>
        <v/>
      </c>
      <c r="F840" s="134" t="n"/>
      <c r="G840" s="127" t="n"/>
      <c r="H840" s="130">
        <f>IF($G840="","",IFERROR(INDEX(FOU_Article,MATCH($G840,FOU_Code,0)),"⚠ Code inconnu"))</f>
        <v/>
      </c>
      <c r="I840" s="127" t="n"/>
      <c r="J840" s="128" t="n"/>
      <c r="K840" s="127" t="n"/>
      <c r="L840" s="127" t="n"/>
    </row>
    <row r="841" ht="21" customHeight="1">
      <c r="A841" s="1" t="n"/>
      <c r="B841" s="1" t="n"/>
      <c r="C841" s="2" t="n"/>
      <c r="E841" s="130">
        <f>IF($F841="","","MVT-"&amp;TEXT(ROW()-6,"0000"))</f>
        <v/>
      </c>
      <c r="F841" s="134" t="n"/>
      <c r="G841" s="127" t="n"/>
      <c r="H841" s="130">
        <f>IF($G841="","",IFERROR(INDEX(FOU_Article,MATCH($G841,FOU_Code,0)),"⚠ Code inconnu"))</f>
        <v/>
      </c>
      <c r="I841" s="127" t="n"/>
      <c r="J841" s="128" t="n"/>
      <c r="K841" s="127" t="n"/>
      <c r="L841" s="127" t="n"/>
    </row>
    <row r="842" ht="21" customHeight="1">
      <c r="A842" s="1" t="n"/>
      <c r="B842" s="1" t="n"/>
      <c r="C842" s="2" t="n"/>
      <c r="E842" s="130">
        <f>IF($F842="","","MVT-"&amp;TEXT(ROW()-6,"0000"))</f>
        <v/>
      </c>
      <c r="F842" s="134" t="n"/>
      <c r="G842" s="127" t="n"/>
      <c r="H842" s="130">
        <f>IF($G842="","",IFERROR(INDEX(FOU_Article,MATCH($G842,FOU_Code,0)),"⚠ Code inconnu"))</f>
        <v/>
      </c>
      <c r="I842" s="127" t="n"/>
      <c r="J842" s="128" t="n"/>
      <c r="K842" s="127" t="n"/>
      <c r="L842" s="127" t="n"/>
    </row>
    <row r="843" ht="21" customHeight="1">
      <c r="A843" s="1" t="n"/>
      <c r="B843" s="1" t="n"/>
      <c r="C843" s="2" t="n"/>
      <c r="E843" s="130">
        <f>IF($F843="","","MVT-"&amp;TEXT(ROW()-6,"0000"))</f>
        <v/>
      </c>
      <c r="F843" s="134" t="n"/>
      <c r="G843" s="127" t="n"/>
      <c r="H843" s="130">
        <f>IF($G843="","",IFERROR(INDEX(FOU_Article,MATCH($G843,FOU_Code,0)),"⚠ Code inconnu"))</f>
        <v/>
      </c>
      <c r="I843" s="127" t="n"/>
      <c r="J843" s="128" t="n"/>
      <c r="K843" s="127" t="n"/>
      <c r="L843" s="127" t="n"/>
    </row>
    <row r="844" ht="21" customHeight="1">
      <c r="A844" s="1" t="n"/>
      <c r="B844" s="1" t="n"/>
      <c r="C844" s="2" t="n"/>
      <c r="E844" s="130">
        <f>IF($F844="","","MVT-"&amp;TEXT(ROW()-6,"0000"))</f>
        <v/>
      </c>
      <c r="F844" s="134" t="n"/>
      <c r="G844" s="127" t="n"/>
      <c r="H844" s="130">
        <f>IF($G844="","",IFERROR(INDEX(FOU_Article,MATCH($G844,FOU_Code,0)),"⚠ Code inconnu"))</f>
        <v/>
      </c>
      <c r="I844" s="127" t="n"/>
      <c r="J844" s="128" t="n"/>
      <c r="K844" s="127" t="n"/>
      <c r="L844" s="127" t="n"/>
    </row>
    <row r="845" ht="21" customHeight="1">
      <c r="A845" s="1" t="n"/>
      <c r="B845" s="1" t="n"/>
      <c r="C845" s="2" t="n"/>
      <c r="E845" s="130">
        <f>IF($F845="","","MVT-"&amp;TEXT(ROW()-6,"0000"))</f>
        <v/>
      </c>
      <c r="F845" s="134" t="n"/>
      <c r="G845" s="127" t="n"/>
      <c r="H845" s="130">
        <f>IF($G845="","",IFERROR(INDEX(FOU_Article,MATCH($G845,FOU_Code,0)),"⚠ Code inconnu"))</f>
        <v/>
      </c>
      <c r="I845" s="127" t="n"/>
      <c r="J845" s="128" t="n"/>
      <c r="K845" s="127" t="n"/>
      <c r="L845" s="127" t="n"/>
    </row>
    <row r="846" ht="21" customHeight="1">
      <c r="A846" s="1" t="n"/>
      <c r="B846" s="1" t="n"/>
      <c r="C846" s="2" t="n"/>
      <c r="E846" s="130">
        <f>IF($F846="","","MVT-"&amp;TEXT(ROW()-6,"0000"))</f>
        <v/>
      </c>
      <c r="F846" s="134" t="n"/>
      <c r="G846" s="127" t="n"/>
      <c r="H846" s="130">
        <f>IF($G846="","",IFERROR(INDEX(FOU_Article,MATCH($G846,FOU_Code,0)),"⚠ Code inconnu"))</f>
        <v/>
      </c>
      <c r="I846" s="127" t="n"/>
      <c r="J846" s="128" t="n"/>
      <c r="K846" s="127" t="n"/>
      <c r="L846" s="127" t="n"/>
    </row>
    <row r="847" ht="21" customHeight="1">
      <c r="A847" s="1" t="n"/>
      <c r="B847" s="1" t="n"/>
      <c r="C847" s="2" t="n"/>
      <c r="E847" s="130">
        <f>IF($F847="","","MVT-"&amp;TEXT(ROW()-6,"0000"))</f>
        <v/>
      </c>
      <c r="F847" s="134" t="n"/>
      <c r="G847" s="127" t="n"/>
      <c r="H847" s="130">
        <f>IF($G847="","",IFERROR(INDEX(FOU_Article,MATCH($G847,FOU_Code,0)),"⚠ Code inconnu"))</f>
        <v/>
      </c>
      <c r="I847" s="127" t="n"/>
      <c r="J847" s="128" t="n"/>
      <c r="K847" s="127" t="n"/>
      <c r="L847" s="127" t="n"/>
    </row>
    <row r="848" ht="21" customHeight="1">
      <c r="A848" s="1" t="n"/>
      <c r="B848" s="1" t="n"/>
      <c r="C848" s="2" t="n"/>
      <c r="E848" s="130">
        <f>IF($F848="","","MVT-"&amp;TEXT(ROW()-6,"0000"))</f>
        <v/>
      </c>
      <c r="F848" s="134" t="n"/>
      <c r="G848" s="127" t="n"/>
      <c r="H848" s="130">
        <f>IF($G848="","",IFERROR(INDEX(FOU_Article,MATCH($G848,FOU_Code,0)),"⚠ Code inconnu"))</f>
        <v/>
      </c>
      <c r="I848" s="127" t="n"/>
      <c r="J848" s="128" t="n"/>
      <c r="K848" s="127" t="n"/>
      <c r="L848" s="127" t="n"/>
    </row>
    <row r="849" ht="21" customHeight="1">
      <c r="A849" s="1" t="n"/>
      <c r="B849" s="1" t="n"/>
      <c r="C849" s="2" t="n"/>
      <c r="E849" s="130">
        <f>IF($F849="","","MVT-"&amp;TEXT(ROW()-6,"0000"))</f>
        <v/>
      </c>
      <c r="F849" s="134" t="n"/>
      <c r="G849" s="127" t="n"/>
      <c r="H849" s="130">
        <f>IF($G849="","",IFERROR(INDEX(FOU_Article,MATCH($G849,FOU_Code,0)),"⚠ Code inconnu"))</f>
        <v/>
      </c>
      <c r="I849" s="127" t="n"/>
      <c r="J849" s="128" t="n"/>
      <c r="K849" s="127" t="n"/>
      <c r="L849" s="127" t="n"/>
    </row>
    <row r="850" ht="21" customHeight="1">
      <c r="A850" s="1" t="n"/>
      <c r="B850" s="1" t="n"/>
      <c r="C850" s="2" t="n"/>
      <c r="E850" s="130">
        <f>IF($F850="","","MVT-"&amp;TEXT(ROW()-6,"0000"))</f>
        <v/>
      </c>
      <c r="F850" s="134" t="n"/>
      <c r="G850" s="127" t="n"/>
      <c r="H850" s="130">
        <f>IF($G850="","",IFERROR(INDEX(FOU_Article,MATCH($G850,FOU_Code,0)),"⚠ Code inconnu"))</f>
        <v/>
      </c>
      <c r="I850" s="127" t="n"/>
      <c r="J850" s="128" t="n"/>
      <c r="K850" s="127" t="n"/>
      <c r="L850" s="127" t="n"/>
    </row>
    <row r="851" ht="21" customHeight="1">
      <c r="A851" s="1" t="n"/>
      <c r="B851" s="1" t="n"/>
      <c r="C851" s="2" t="n"/>
      <c r="E851" s="130">
        <f>IF($F851="","","MVT-"&amp;TEXT(ROW()-6,"0000"))</f>
        <v/>
      </c>
      <c r="F851" s="134" t="n"/>
      <c r="G851" s="127" t="n"/>
      <c r="H851" s="130">
        <f>IF($G851="","",IFERROR(INDEX(FOU_Article,MATCH($G851,FOU_Code,0)),"⚠ Code inconnu"))</f>
        <v/>
      </c>
      <c r="I851" s="127" t="n"/>
      <c r="J851" s="128" t="n"/>
      <c r="K851" s="127" t="n"/>
      <c r="L851" s="127" t="n"/>
    </row>
    <row r="852" ht="21" customHeight="1">
      <c r="A852" s="1" t="n"/>
      <c r="B852" s="1" t="n"/>
      <c r="C852" s="2" t="n"/>
      <c r="E852" s="130">
        <f>IF($F852="","","MVT-"&amp;TEXT(ROW()-6,"0000"))</f>
        <v/>
      </c>
      <c r="F852" s="134" t="n"/>
      <c r="G852" s="127" t="n"/>
      <c r="H852" s="130">
        <f>IF($G852="","",IFERROR(INDEX(FOU_Article,MATCH($G852,FOU_Code,0)),"⚠ Code inconnu"))</f>
        <v/>
      </c>
      <c r="I852" s="127" t="n"/>
      <c r="J852" s="128" t="n"/>
      <c r="K852" s="127" t="n"/>
      <c r="L852" s="127" t="n"/>
    </row>
    <row r="853" ht="21" customHeight="1">
      <c r="A853" s="1" t="n"/>
      <c r="B853" s="1" t="n"/>
      <c r="C853" s="2" t="n"/>
      <c r="E853" s="130">
        <f>IF($F853="","","MVT-"&amp;TEXT(ROW()-6,"0000"))</f>
        <v/>
      </c>
      <c r="F853" s="134" t="n"/>
      <c r="G853" s="127" t="n"/>
      <c r="H853" s="130">
        <f>IF($G853="","",IFERROR(INDEX(FOU_Article,MATCH($G853,FOU_Code,0)),"⚠ Code inconnu"))</f>
        <v/>
      </c>
      <c r="I853" s="127" t="n"/>
      <c r="J853" s="128" t="n"/>
      <c r="K853" s="127" t="n"/>
      <c r="L853" s="127" t="n"/>
    </row>
    <row r="854" ht="21" customHeight="1">
      <c r="A854" s="1" t="n"/>
      <c r="B854" s="1" t="n"/>
      <c r="C854" s="2" t="n"/>
      <c r="E854" s="130">
        <f>IF($F854="","","MVT-"&amp;TEXT(ROW()-6,"0000"))</f>
        <v/>
      </c>
      <c r="F854" s="134" t="n"/>
      <c r="G854" s="127" t="n"/>
      <c r="H854" s="130">
        <f>IF($G854="","",IFERROR(INDEX(FOU_Article,MATCH($G854,FOU_Code,0)),"⚠ Code inconnu"))</f>
        <v/>
      </c>
      <c r="I854" s="127" t="n"/>
      <c r="J854" s="128" t="n"/>
      <c r="K854" s="127" t="n"/>
      <c r="L854" s="127" t="n"/>
    </row>
    <row r="855" ht="21" customHeight="1">
      <c r="A855" s="1" t="n"/>
      <c r="B855" s="1" t="n"/>
      <c r="C855" s="2" t="n"/>
      <c r="E855" s="130">
        <f>IF($F855="","","MVT-"&amp;TEXT(ROW()-6,"0000"))</f>
        <v/>
      </c>
      <c r="F855" s="134" t="n"/>
      <c r="G855" s="127" t="n"/>
      <c r="H855" s="130">
        <f>IF($G855="","",IFERROR(INDEX(FOU_Article,MATCH($G855,FOU_Code,0)),"⚠ Code inconnu"))</f>
        <v/>
      </c>
      <c r="I855" s="127" t="n"/>
      <c r="J855" s="128" t="n"/>
      <c r="K855" s="127" t="n"/>
      <c r="L855" s="127" t="n"/>
    </row>
    <row r="856" ht="21" customHeight="1">
      <c r="A856" s="1" t="n"/>
      <c r="B856" s="1" t="n"/>
      <c r="C856" s="2" t="n"/>
      <c r="E856" s="130">
        <f>IF($F856="","","MVT-"&amp;TEXT(ROW()-6,"0000"))</f>
        <v/>
      </c>
      <c r="F856" s="134" t="n"/>
      <c r="G856" s="127" t="n"/>
      <c r="H856" s="130">
        <f>IF($G856="","",IFERROR(INDEX(FOU_Article,MATCH($G856,FOU_Code,0)),"⚠ Code inconnu"))</f>
        <v/>
      </c>
      <c r="I856" s="127" t="n"/>
      <c r="J856" s="128" t="n"/>
      <c r="K856" s="127" t="n"/>
      <c r="L856" s="127" t="n"/>
    </row>
    <row r="857" ht="21" customHeight="1">
      <c r="A857" s="1" t="n"/>
      <c r="B857" s="1" t="n"/>
      <c r="C857" s="2" t="n"/>
      <c r="E857" s="130">
        <f>IF($F857="","","MVT-"&amp;TEXT(ROW()-6,"0000"))</f>
        <v/>
      </c>
      <c r="F857" s="134" t="n"/>
      <c r="G857" s="127" t="n"/>
      <c r="H857" s="130">
        <f>IF($G857="","",IFERROR(INDEX(FOU_Article,MATCH($G857,FOU_Code,0)),"⚠ Code inconnu"))</f>
        <v/>
      </c>
      <c r="I857" s="127" t="n"/>
      <c r="J857" s="128" t="n"/>
      <c r="K857" s="127" t="n"/>
      <c r="L857" s="127" t="n"/>
    </row>
    <row r="858" ht="21" customHeight="1">
      <c r="A858" s="1" t="n"/>
      <c r="B858" s="1" t="n"/>
      <c r="C858" s="2" t="n"/>
      <c r="E858" s="130">
        <f>IF($F858="","","MVT-"&amp;TEXT(ROW()-6,"0000"))</f>
        <v/>
      </c>
      <c r="F858" s="134" t="n"/>
      <c r="G858" s="127" t="n"/>
      <c r="H858" s="130">
        <f>IF($G858="","",IFERROR(INDEX(FOU_Article,MATCH($G858,FOU_Code,0)),"⚠ Code inconnu"))</f>
        <v/>
      </c>
      <c r="I858" s="127" t="n"/>
      <c r="J858" s="128" t="n"/>
      <c r="K858" s="127" t="n"/>
      <c r="L858" s="127" t="n"/>
    </row>
    <row r="859" ht="21" customHeight="1">
      <c r="A859" s="1" t="n"/>
      <c r="B859" s="1" t="n"/>
      <c r="C859" s="2" t="n"/>
      <c r="E859" s="130">
        <f>IF($F859="","","MVT-"&amp;TEXT(ROW()-6,"0000"))</f>
        <v/>
      </c>
      <c r="F859" s="134" t="n"/>
      <c r="G859" s="127" t="n"/>
      <c r="H859" s="130">
        <f>IF($G859="","",IFERROR(INDEX(FOU_Article,MATCH($G859,FOU_Code,0)),"⚠ Code inconnu"))</f>
        <v/>
      </c>
      <c r="I859" s="127" t="n"/>
      <c r="J859" s="128" t="n"/>
      <c r="K859" s="127" t="n"/>
      <c r="L859" s="127" t="n"/>
    </row>
    <row r="860" ht="21" customHeight="1">
      <c r="A860" s="1" t="n"/>
      <c r="B860" s="1" t="n"/>
      <c r="C860" s="2" t="n"/>
      <c r="E860" s="130">
        <f>IF($F860="","","MVT-"&amp;TEXT(ROW()-6,"0000"))</f>
        <v/>
      </c>
      <c r="F860" s="134" t="n"/>
      <c r="G860" s="127" t="n"/>
      <c r="H860" s="130">
        <f>IF($G860="","",IFERROR(INDEX(FOU_Article,MATCH($G860,FOU_Code,0)),"⚠ Code inconnu"))</f>
        <v/>
      </c>
      <c r="I860" s="127" t="n"/>
      <c r="J860" s="128" t="n"/>
      <c r="K860" s="127" t="n"/>
      <c r="L860" s="127" t="n"/>
    </row>
    <row r="861" ht="21" customHeight="1">
      <c r="A861" s="1" t="n"/>
      <c r="B861" s="1" t="n"/>
      <c r="C861" s="2" t="n"/>
      <c r="E861" s="130">
        <f>IF($F861="","","MVT-"&amp;TEXT(ROW()-6,"0000"))</f>
        <v/>
      </c>
      <c r="F861" s="134" t="n"/>
      <c r="G861" s="127" t="n"/>
      <c r="H861" s="130">
        <f>IF($G861="","",IFERROR(INDEX(FOU_Article,MATCH($G861,FOU_Code,0)),"⚠ Code inconnu"))</f>
        <v/>
      </c>
      <c r="I861" s="127" t="n"/>
      <c r="J861" s="128" t="n"/>
      <c r="K861" s="127" t="n"/>
      <c r="L861" s="127" t="n"/>
    </row>
    <row r="862" ht="21" customHeight="1">
      <c r="A862" s="1" t="n"/>
      <c r="B862" s="1" t="n"/>
      <c r="C862" s="2" t="n"/>
      <c r="E862" s="130">
        <f>IF($F862="","","MVT-"&amp;TEXT(ROW()-6,"0000"))</f>
        <v/>
      </c>
      <c r="F862" s="134" t="n"/>
      <c r="G862" s="127" t="n"/>
      <c r="H862" s="130">
        <f>IF($G862="","",IFERROR(INDEX(FOU_Article,MATCH($G862,FOU_Code,0)),"⚠ Code inconnu"))</f>
        <v/>
      </c>
      <c r="I862" s="127" t="n"/>
      <c r="J862" s="128" t="n"/>
      <c r="K862" s="127" t="n"/>
      <c r="L862" s="127" t="n"/>
    </row>
    <row r="863" ht="21" customHeight="1">
      <c r="A863" s="1" t="n"/>
      <c r="B863" s="1" t="n"/>
      <c r="C863" s="2" t="n"/>
      <c r="E863" s="130">
        <f>IF($F863="","","MVT-"&amp;TEXT(ROW()-6,"0000"))</f>
        <v/>
      </c>
      <c r="F863" s="134" t="n"/>
      <c r="G863" s="127" t="n"/>
      <c r="H863" s="130">
        <f>IF($G863="","",IFERROR(INDEX(FOU_Article,MATCH($G863,FOU_Code,0)),"⚠ Code inconnu"))</f>
        <v/>
      </c>
      <c r="I863" s="127" t="n"/>
      <c r="J863" s="128" t="n"/>
      <c r="K863" s="127" t="n"/>
      <c r="L863" s="127" t="n"/>
    </row>
    <row r="864" ht="21" customHeight="1">
      <c r="A864" s="1" t="n"/>
      <c r="B864" s="1" t="n"/>
      <c r="C864" s="2" t="n"/>
      <c r="E864" s="130">
        <f>IF($F864="","","MVT-"&amp;TEXT(ROW()-6,"0000"))</f>
        <v/>
      </c>
      <c r="F864" s="134" t="n"/>
      <c r="G864" s="127" t="n"/>
      <c r="H864" s="130">
        <f>IF($G864="","",IFERROR(INDEX(FOU_Article,MATCH($G864,FOU_Code,0)),"⚠ Code inconnu"))</f>
        <v/>
      </c>
      <c r="I864" s="127" t="n"/>
      <c r="J864" s="128" t="n"/>
      <c r="K864" s="127" t="n"/>
      <c r="L864" s="127" t="n"/>
    </row>
    <row r="865" ht="21" customHeight="1">
      <c r="A865" s="1" t="n"/>
      <c r="B865" s="1" t="n"/>
      <c r="C865" s="2" t="n"/>
      <c r="E865" s="130">
        <f>IF($F865="","","MVT-"&amp;TEXT(ROW()-6,"0000"))</f>
        <v/>
      </c>
      <c r="F865" s="134" t="n"/>
      <c r="G865" s="127" t="n"/>
      <c r="H865" s="130">
        <f>IF($G865="","",IFERROR(INDEX(FOU_Article,MATCH($G865,FOU_Code,0)),"⚠ Code inconnu"))</f>
        <v/>
      </c>
      <c r="I865" s="127" t="n"/>
      <c r="J865" s="128" t="n"/>
      <c r="K865" s="127" t="n"/>
      <c r="L865" s="127" t="n"/>
    </row>
    <row r="866" ht="21" customHeight="1">
      <c r="A866" s="1" t="n"/>
      <c r="B866" s="1" t="n"/>
      <c r="C866" s="2" t="n"/>
      <c r="E866" s="130">
        <f>IF($F866="","","MVT-"&amp;TEXT(ROW()-6,"0000"))</f>
        <v/>
      </c>
      <c r="F866" s="134" t="n"/>
      <c r="G866" s="127" t="n"/>
      <c r="H866" s="130">
        <f>IF($G866="","",IFERROR(INDEX(FOU_Article,MATCH($G866,FOU_Code,0)),"⚠ Code inconnu"))</f>
        <v/>
      </c>
      <c r="I866" s="127" t="n"/>
      <c r="J866" s="128" t="n"/>
      <c r="K866" s="127" t="n"/>
      <c r="L866" s="127" t="n"/>
    </row>
    <row r="867" ht="21" customHeight="1">
      <c r="A867" s="1" t="n"/>
      <c r="B867" s="1" t="n"/>
      <c r="C867" s="2" t="n"/>
      <c r="E867" s="130">
        <f>IF($F867="","","MVT-"&amp;TEXT(ROW()-6,"0000"))</f>
        <v/>
      </c>
      <c r="F867" s="134" t="n"/>
      <c r="G867" s="127" t="n"/>
      <c r="H867" s="130">
        <f>IF($G867="","",IFERROR(INDEX(FOU_Article,MATCH($G867,FOU_Code,0)),"⚠ Code inconnu"))</f>
        <v/>
      </c>
      <c r="I867" s="127" t="n"/>
      <c r="J867" s="128" t="n"/>
      <c r="K867" s="127" t="n"/>
      <c r="L867" s="127" t="n"/>
    </row>
    <row r="868" ht="21" customHeight="1">
      <c r="A868" s="1" t="n"/>
      <c r="B868" s="1" t="n"/>
      <c r="C868" s="2" t="n"/>
      <c r="E868" s="130">
        <f>IF($F868="","","MVT-"&amp;TEXT(ROW()-6,"0000"))</f>
        <v/>
      </c>
      <c r="F868" s="134" t="n"/>
      <c r="G868" s="127" t="n"/>
      <c r="H868" s="130">
        <f>IF($G868="","",IFERROR(INDEX(FOU_Article,MATCH($G868,FOU_Code,0)),"⚠ Code inconnu"))</f>
        <v/>
      </c>
      <c r="I868" s="127" t="n"/>
      <c r="J868" s="128" t="n"/>
      <c r="K868" s="127" t="n"/>
      <c r="L868" s="127" t="n"/>
    </row>
    <row r="869" ht="21" customHeight="1">
      <c r="A869" s="1" t="n"/>
      <c r="B869" s="1" t="n"/>
      <c r="C869" s="2" t="n"/>
      <c r="E869" s="130">
        <f>IF($F869="","","MVT-"&amp;TEXT(ROW()-6,"0000"))</f>
        <v/>
      </c>
      <c r="F869" s="134" t="n"/>
      <c r="G869" s="127" t="n"/>
      <c r="H869" s="130">
        <f>IF($G869="","",IFERROR(INDEX(FOU_Article,MATCH($G869,FOU_Code,0)),"⚠ Code inconnu"))</f>
        <v/>
      </c>
      <c r="I869" s="127" t="n"/>
      <c r="J869" s="128" t="n"/>
      <c r="K869" s="127" t="n"/>
      <c r="L869" s="127" t="n"/>
    </row>
    <row r="870" ht="21" customHeight="1">
      <c r="A870" s="1" t="n"/>
      <c r="B870" s="1" t="n"/>
      <c r="C870" s="2" t="n"/>
      <c r="E870" s="130">
        <f>IF($F870="","","MVT-"&amp;TEXT(ROW()-6,"0000"))</f>
        <v/>
      </c>
      <c r="F870" s="134" t="n"/>
      <c r="G870" s="127" t="n"/>
      <c r="H870" s="130">
        <f>IF($G870="","",IFERROR(INDEX(FOU_Article,MATCH($G870,FOU_Code,0)),"⚠ Code inconnu"))</f>
        <v/>
      </c>
      <c r="I870" s="127" t="n"/>
      <c r="J870" s="128" t="n"/>
      <c r="K870" s="127" t="n"/>
      <c r="L870" s="127" t="n"/>
    </row>
    <row r="871" ht="21" customHeight="1">
      <c r="A871" s="1" t="n"/>
      <c r="B871" s="1" t="n"/>
      <c r="C871" s="2" t="n"/>
      <c r="E871" s="130">
        <f>IF($F871="","","MVT-"&amp;TEXT(ROW()-6,"0000"))</f>
        <v/>
      </c>
      <c r="F871" s="134" t="n"/>
      <c r="G871" s="127" t="n"/>
      <c r="H871" s="130">
        <f>IF($G871="","",IFERROR(INDEX(FOU_Article,MATCH($G871,FOU_Code,0)),"⚠ Code inconnu"))</f>
        <v/>
      </c>
      <c r="I871" s="127" t="n"/>
      <c r="J871" s="128" t="n"/>
      <c r="K871" s="127" t="n"/>
      <c r="L871" s="127" t="n"/>
    </row>
    <row r="872" ht="21" customHeight="1">
      <c r="A872" s="1" t="n"/>
      <c r="B872" s="1" t="n"/>
      <c r="C872" s="2" t="n"/>
      <c r="E872" s="130">
        <f>IF($F872="","","MVT-"&amp;TEXT(ROW()-6,"0000"))</f>
        <v/>
      </c>
      <c r="F872" s="134" t="n"/>
      <c r="G872" s="127" t="n"/>
      <c r="H872" s="130">
        <f>IF($G872="","",IFERROR(INDEX(FOU_Article,MATCH($G872,FOU_Code,0)),"⚠ Code inconnu"))</f>
        <v/>
      </c>
      <c r="I872" s="127" t="n"/>
      <c r="J872" s="128" t="n"/>
      <c r="K872" s="127" t="n"/>
      <c r="L872" s="127" t="n"/>
    </row>
    <row r="873" ht="21" customHeight="1">
      <c r="A873" s="1" t="n"/>
      <c r="B873" s="1" t="n"/>
      <c r="C873" s="2" t="n"/>
      <c r="E873" s="130">
        <f>IF($F873="","","MVT-"&amp;TEXT(ROW()-6,"0000"))</f>
        <v/>
      </c>
      <c r="F873" s="134" t="n"/>
      <c r="G873" s="127" t="n"/>
      <c r="H873" s="130">
        <f>IF($G873="","",IFERROR(INDEX(FOU_Article,MATCH($G873,FOU_Code,0)),"⚠ Code inconnu"))</f>
        <v/>
      </c>
      <c r="I873" s="127" t="n"/>
      <c r="J873" s="128" t="n"/>
      <c r="K873" s="127" t="n"/>
      <c r="L873" s="127" t="n"/>
    </row>
    <row r="874" ht="21" customHeight="1">
      <c r="A874" s="1" t="n"/>
      <c r="B874" s="1" t="n"/>
      <c r="C874" s="2" t="n"/>
      <c r="E874" s="130">
        <f>IF($F874="","","MVT-"&amp;TEXT(ROW()-6,"0000"))</f>
        <v/>
      </c>
      <c r="F874" s="134" t="n"/>
      <c r="G874" s="127" t="n"/>
      <c r="H874" s="130">
        <f>IF($G874="","",IFERROR(INDEX(FOU_Article,MATCH($G874,FOU_Code,0)),"⚠ Code inconnu"))</f>
        <v/>
      </c>
      <c r="I874" s="127" t="n"/>
      <c r="J874" s="128" t="n"/>
      <c r="K874" s="127" t="n"/>
      <c r="L874" s="127" t="n"/>
    </row>
    <row r="875" ht="21" customHeight="1">
      <c r="A875" s="1" t="n"/>
      <c r="B875" s="1" t="n"/>
      <c r="C875" s="2" t="n"/>
      <c r="E875" s="130">
        <f>IF($F875="","","MVT-"&amp;TEXT(ROW()-6,"0000"))</f>
        <v/>
      </c>
      <c r="F875" s="134" t="n"/>
      <c r="G875" s="127" t="n"/>
      <c r="H875" s="130">
        <f>IF($G875="","",IFERROR(INDEX(FOU_Article,MATCH($G875,FOU_Code,0)),"⚠ Code inconnu"))</f>
        <v/>
      </c>
      <c r="I875" s="127" t="n"/>
      <c r="J875" s="128" t="n"/>
      <c r="K875" s="127" t="n"/>
      <c r="L875" s="127" t="n"/>
    </row>
    <row r="876" ht="21" customHeight="1">
      <c r="A876" s="1" t="n"/>
      <c r="B876" s="1" t="n"/>
      <c r="C876" s="2" t="n"/>
      <c r="E876" s="130">
        <f>IF($F876="","","MVT-"&amp;TEXT(ROW()-6,"0000"))</f>
        <v/>
      </c>
      <c r="F876" s="134" t="n"/>
      <c r="G876" s="127" t="n"/>
      <c r="H876" s="130">
        <f>IF($G876="","",IFERROR(INDEX(FOU_Article,MATCH($G876,FOU_Code,0)),"⚠ Code inconnu"))</f>
        <v/>
      </c>
      <c r="I876" s="127" t="n"/>
      <c r="J876" s="128" t="n"/>
      <c r="K876" s="127" t="n"/>
      <c r="L876" s="127" t="n"/>
    </row>
    <row r="877" ht="21" customHeight="1">
      <c r="A877" s="1" t="n"/>
      <c r="B877" s="1" t="n"/>
      <c r="C877" s="2" t="n"/>
      <c r="E877" s="130">
        <f>IF($F877="","","MVT-"&amp;TEXT(ROW()-6,"0000"))</f>
        <v/>
      </c>
      <c r="F877" s="134" t="n"/>
      <c r="G877" s="127" t="n"/>
      <c r="H877" s="130">
        <f>IF($G877="","",IFERROR(INDEX(FOU_Article,MATCH($G877,FOU_Code,0)),"⚠ Code inconnu"))</f>
        <v/>
      </c>
      <c r="I877" s="127" t="n"/>
      <c r="J877" s="128" t="n"/>
      <c r="K877" s="127" t="n"/>
      <c r="L877" s="127" t="n"/>
    </row>
    <row r="878" ht="21" customHeight="1">
      <c r="A878" s="1" t="n"/>
      <c r="B878" s="1" t="n"/>
      <c r="C878" s="2" t="n"/>
      <c r="E878" s="130">
        <f>IF($F878="","","MVT-"&amp;TEXT(ROW()-6,"0000"))</f>
        <v/>
      </c>
      <c r="F878" s="134" t="n"/>
      <c r="G878" s="127" t="n"/>
      <c r="H878" s="130">
        <f>IF($G878="","",IFERROR(INDEX(FOU_Article,MATCH($G878,FOU_Code,0)),"⚠ Code inconnu"))</f>
        <v/>
      </c>
      <c r="I878" s="127" t="n"/>
      <c r="J878" s="128" t="n"/>
      <c r="K878" s="127" t="n"/>
      <c r="L878" s="127" t="n"/>
    </row>
    <row r="879" ht="21" customHeight="1">
      <c r="A879" s="1" t="n"/>
      <c r="B879" s="1" t="n"/>
      <c r="C879" s="2" t="n"/>
      <c r="E879" s="130">
        <f>IF($F879="","","MVT-"&amp;TEXT(ROW()-6,"0000"))</f>
        <v/>
      </c>
      <c r="F879" s="134" t="n"/>
      <c r="G879" s="127" t="n"/>
      <c r="H879" s="130">
        <f>IF($G879="","",IFERROR(INDEX(FOU_Article,MATCH($G879,FOU_Code,0)),"⚠ Code inconnu"))</f>
        <v/>
      </c>
      <c r="I879" s="127" t="n"/>
      <c r="J879" s="128" t="n"/>
      <c r="K879" s="127" t="n"/>
      <c r="L879" s="127" t="n"/>
    </row>
    <row r="880" ht="21" customHeight="1">
      <c r="A880" s="1" t="n"/>
      <c r="B880" s="1" t="n"/>
      <c r="C880" s="2" t="n"/>
      <c r="E880" s="130">
        <f>IF($F880="","","MVT-"&amp;TEXT(ROW()-6,"0000"))</f>
        <v/>
      </c>
      <c r="F880" s="134" t="n"/>
      <c r="G880" s="127" t="n"/>
      <c r="H880" s="130">
        <f>IF($G880="","",IFERROR(INDEX(FOU_Article,MATCH($G880,FOU_Code,0)),"⚠ Code inconnu"))</f>
        <v/>
      </c>
      <c r="I880" s="127" t="n"/>
      <c r="J880" s="128" t="n"/>
      <c r="K880" s="127" t="n"/>
      <c r="L880" s="127" t="n"/>
    </row>
    <row r="881" ht="21" customHeight="1">
      <c r="A881" s="1" t="n"/>
      <c r="B881" s="1" t="n"/>
      <c r="C881" s="2" t="n"/>
      <c r="E881" s="130">
        <f>IF($F881="","","MVT-"&amp;TEXT(ROW()-6,"0000"))</f>
        <v/>
      </c>
      <c r="F881" s="134" t="n"/>
      <c r="G881" s="127" t="n"/>
      <c r="H881" s="130">
        <f>IF($G881="","",IFERROR(INDEX(FOU_Article,MATCH($G881,FOU_Code,0)),"⚠ Code inconnu"))</f>
        <v/>
      </c>
      <c r="I881" s="127" t="n"/>
      <c r="J881" s="128" t="n"/>
      <c r="K881" s="127" t="n"/>
      <c r="L881" s="127" t="n"/>
    </row>
    <row r="882" ht="21" customHeight="1">
      <c r="A882" s="1" t="n"/>
      <c r="B882" s="1" t="n"/>
      <c r="C882" s="2" t="n"/>
      <c r="E882" s="130">
        <f>IF($F882="","","MVT-"&amp;TEXT(ROW()-6,"0000"))</f>
        <v/>
      </c>
      <c r="F882" s="134" t="n"/>
      <c r="G882" s="127" t="n"/>
      <c r="H882" s="130">
        <f>IF($G882="","",IFERROR(INDEX(FOU_Article,MATCH($G882,FOU_Code,0)),"⚠ Code inconnu"))</f>
        <v/>
      </c>
      <c r="I882" s="127" t="n"/>
      <c r="J882" s="128" t="n"/>
      <c r="K882" s="127" t="n"/>
      <c r="L882" s="127" t="n"/>
    </row>
    <row r="883" ht="21" customHeight="1">
      <c r="A883" s="1" t="n"/>
      <c r="B883" s="1" t="n"/>
      <c r="C883" s="2" t="n"/>
      <c r="E883" s="130">
        <f>IF($F883="","","MVT-"&amp;TEXT(ROW()-6,"0000"))</f>
        <v/>
      </c>
      <c r="F883" s="134" t="n"/>
      <c r="G883" s="127" t="n"/>
      <c r="H883" s="130">
        <f>IF($G883="","",IFERROR(INDEX(FOU_Article,MATCH($G883,FOU_Code,0)),"⚠ Code inconnu"))</f>
        <v/>
      </c>
      <c r="I883" s="127" t="n"/>
      <c r="J883" s="128" t="n"/>
      <c r="K883" s="127" t="n"/>
      <c r="L883" s="127" t="n"/>
    </row>
    <row r="884" ht="21" customHeight="1">
      <c r="A884" s="1" t="n"/>
      <c r="B884" s="1" t="n"/>
      <c r="C884" s="2" t="n"/>
      <c r="E884" s="130">
        <f>IF($F884="","","MVT-"&amp;TEXT(ROW()-6,"0000"))</f>
        <v/>
      </c>
      <c r="F884" s="134" t="n"/>
      <c r="G884" s="127" t="n"/>
      <c r="H884" s="130">
        <f>IF($G884="","",IFERROR(INDEX(FOU_Article,MATCH($G884,FOU_Code,0)),"⚠ Code inconnu"))</f>
        <v/>
      </c>
      <c r="I884" s="127" t="n"/>
      <c r="J884" s="128" t="n"/>
      <c r="K884" s="127" t="n"/>
      <c r="L884" s="127" t="n"/>
    </row>
    <row r="885" ht="21" customHeight="1">
      <c r="A885" s="1" t="n"/>
      <c r="B885" s="1" t="n"/>
      <c r="C885" s="2" t="n"/>
      <c r="E885" s="130">
        <f>IF($F885="","","MVT-"&amp;TEXT(ROW()-6,"0000"))</f>
        <v/>
      </c>
      <c r="F885" s="134" t="n"/>
      <c r="G885" s="127" t="n"/>
      <c r="H885" s="130">
        <f>IF($G885="","",IFERROR(INDEX(FOU_Article,MATCH($G885,FOU_Code,0)),"⚠ Code inconnu"))</f>
        <v/>
      </c>
      <c r="I885" s="127" t="n"/>
      <c r="J885" s="128" t="n"/>
      <c r="K885" s="127" t="n"/>
      <c r="L885" s="127" t="n"/>
    </row>
    <row r="886" ht="21" customHeight="1">
      <c r="A886" s="1" t="n"/>
      <c r="B886" s="1" t="n"/>
      <c r="C886" s="2" t="n"/>
      <c r="E886" s="130">
        <f>IF($F886="","","MVT-"&amp;TEXT(ROW()-6,"0000"))</f>
        <v/>
      </c>
      <c r="F886" s="134" t="n"/>
      <c r="G886" s="127" t="n"/>
      <c r="H886" s="130">
        <f>IF($G886="","",IFERROR(INDEX(FOU_Article,MATCH($G886,FOU_Code,0)),"⚠ Code inconnu"))</f>
        <v/>
      </c>
      <c r="I886" s="127" t="n"/>
      <c r="J886" s="128" t="n"/>
      <c r="K886" s="127" t="n"/>
      <c r="L886" s="127" t="n"/>
    </row>
    <row r="887" ht="21" customHeight="1">
      <c r="A887" s="1" t="n"/>
      <c r="B887" s="1" t="n"/>
      <c r="C887" s="2" t="n"/>
      <c r="E887" s="130">
        <f>IF($F887="","","MVT-"&amp;TEXT(ROW()-6,"0000"))</f>
        <v/>
      </c>
      <c r="F887" s="134" t="n"/>
      <c r="G887" s="127" t="n"/>
      <c r="H887" s="130">
        <f>IF($G887="","",IFERROR(INDEX(FOU_Article,MATCH($G887,FOU_Code,0)),"⚠ Code inconnu"))</f>
        <v/>
      </c>
      <c r="I887" s="127" t="n"/>
      <c r="J887" s="128" t="n"/>
      <c r="K887" s="127" t="n"/>
      <c r="L887" s="127" t="n"/>
    </row>
    <row r="888" ht="21" customHeight="1">
      <c r="A888" s="1" t="n"/>
      <c r="B888" s="1" t="n"/>
      <c r="C888" s="2" t="n"/>
      <c r="E888" s="130">
        <f>IF($F888="","","MVT-"&amp;TEXT(ROW()-6,"0000"))</f>
        <v/>
      </c>
      <c r="F888" s="134" t="n"/>
      <c r="G888" s="127" t="n"/>
      <c r="H888" s="130">
        <f>IF($G888="","",IFERROR(INDEX(FOU_Article,MATCH($G888,FOU_Code,0)),"⚠ Code inconnu"))</f>
        <v/>
      </c>
      <c r="I888" s="127" t="n"/>
      <c r="J888" s="128" t="n"/>
      <c r="K888" s="127" t="n"/>
      <c r="L888" s="127" t="n"/>
    </row>
    <row r="889" ht="21" customHeight="1">
      <c r="A889" s="1" t="n"/>
      <c r="B889" s="1" t="n"/>
      <c r="C889" s="2" t="n"/>
      <c r="E889" s="130">
        <f>IF($F889="","","MVT-"&amp;TEXT(ROW()-6,"0000"))</f>
        <v/>
      </c>
      <c r="F889" s="134" t="n"/>
      <c r="G889" s="127" t="n"/>
      <c r="H889" s="130">
        <f>IF($G889="","",IFERROR(INDEX(FOU_Article,MATCH($G889,FOU_Code,0)),"⚠ Code inconnu"))</f>
        <v/>
      </c>
      <c r="I889" s="127" t="n"/>
      <c r="J889" s="128" t="n"/>
      <c r="K889" s="127" t="n"/>
      <c r="L889" s="127" t="n"/>
    </row>
    <row r="890" ht="21" customHeight="1">
      <c r="A890" s="1" t="n"/>
      <c r="B890" s="1" t="n"/>
      <c r="C890" s="2" t="n"/>
      <c r="E890" s="130">
        <f>IF($F890="","","MVT-"&amp;TEXT(ROW()-6,"0000"))</f>
        <v/>
      </c>
      <c r="F890" s="134" t="n"/>
      <c r="G890" s="127" t="n"/>
      <c r="H890" s="130">
        <f>IF($G890="","",IFERROR(INDEX(FOU_Article,MATCH($G890,FOU_Code,0)),"⚠ Code inconnu"))</f>
        <v/>
      </c>
      <c r="I890" s="127" t="n"/>
      <c r="J890" s="128" t="n"/>
      <c r="K890" s="127" t="n"/>
      <c r="L890" s="127" t="n"/>
    </row>
    <row r="891" ht="21" customHeight="1">
      <c r="A891" s="1" t="n"/>
      <c r="B891" s="1" t="n"/>
      <c r="C891" s="2" t="n"/>
      <c r="E891" s="130">
        <f>IF($F891="","","MVT-"&amp;TEXT(ROW()-6,"0000"))</f>
        <v/>
      </c>
      <c r="F891" s="134" t="n"/>
      <c r="G891" s="127" t="n"/>
      <c r="H891" s="130">
        <f>IF($G891="","",IFERROR(INDEX(FOU_Article,MATCH($G891,FOU_Code,0)),"⚠ Code inconnu"))</f>
        <v/>
      </c>
      <c r="I891" s="127" t="n"/>
      <c r="J891" s="128" t="n"/>
      <c r="K891" s="127" t="n"/>
      <c r="L891" s="127" t="n"/>
    </row>
    <row r="892" ht="21" customHeight="1">
      <c r="A892" s="1" t="n"/>
      <c r="B892" s="1" t="n"/>
      <c r="C892" s="2" t="n"/>
      <c r="E892" s="130">
        <f>IF($F892="","","MVT-"&amp;TEXT(ROW()-6,"0000"))</f>
        <v/>
      </c>
      <c r="F892" s="134" t="n"/>
      <c r="G892" s="127" t="n"/>
      <c r="H892" s="130">
        <f>IF($G892="","",IFERROR(INDEX(FOU_Article,MATCH($G892,FOU_Code,0)),"⚠ Code inconnu"))</f>
        <v/>
      </c>
      <c r="I892" s="127" t="n"/>
      <c r="J892" s="128" t="n"/>
      <c r="K892" s="127" t="n"/>
      <c r="L892" s="127" t="n"/>
    </row>
    <row r="893" ht="21" customHeight="1">
      <c r="A893" s="1" t="n"/>
      <c r="B893" s="1" t="n"/>
      <c r="C893" s="2" t="n"/>
      <c r="E893" s="130">
        <f>IF($F893="","","MVT-"&amp;TEXT(ROW()-6,"0000"))</f>
        <v/>
      </c>
      <c r="F893" s="134" t="n"/>
      <c r="G893" s="127" t="n"/>
      <c r="H893" s="130">
        <f>IF($G893="","",IFERROR(INDEX(FOU_Article,MATCH($G893,FOU_Code,0)),"⚠ Code inconnu"))</f>
        <v/>
      </c>
      <c r="I893" s="127" t="n"/>
      <c r="J893" s="128" t="n"/>
      <c r="K893" s="127" t="n"/>
      <c r="L893" s="127" t="n"/>
    </row>
    <row r="894" ht="21" customHeight="1">
      <c r="A894" s="1" t="n"/>
      <c r="B894" s="1" t="n"/>
      <c r="C894" s="2" t="n"/>
      <c r="E894" s="130">
        <f>IF($F894="","","MVT-"&amp;TEXT(ROW()-6,"0000"))</f>
        <v/>
      </c>
      <c r="F894" s="134" t="n"/>
      <c r="G894" s="127" t="n"/>
      <c r="H894" s="130">
        <f>IF($G894="","",IFERROR(INDEX(FOU_Article,MATCH($G894,FOU_Code,0)),"⚠ Code inconnu"))</f>
        <v/>
      </c>
      <c r="I894" s="127" t="n"/>
      <c r="J894" s="128" t="n"/>
      <c r="K894" s="127" t="n"/>
      <c r="L894" s="127" t="n"/>
    </row>
    <row r="895" ht="21" customHeight="1">
      <c r="A895" s="1" t="n"/>
      <c r="B895" s="1" t="n"/>
      <c r="C895" s="2" t="n"/>
      <c r="E895" s="130">
        <f>IF($F895="","","MVT-"&amp;TEXT(ROW()-6,"0000"))</f>
        <v/>
      </c>
      <c r="F895" s="134" t="n"/>
      <c r="G895" s="127" t="n"/>
      <c r="H895" s="130">
        <f>IF($G895="","",IFERROR(INDEX(FOU_Article,MATCH($G895,FOU_Code,0)),"⚠ Code inconnu"))</f>
        <v/>
      </c>
      <c r="I895" s="127" t="n"/>
      <c r="J895" s="128" t="n"/>
      <c r="K895" s="127" t="n"/>
      <c r="L895" s="127" t="n"/>
    </row>
    <row r="896" ht="21" customHeight="1">
      <c r="A896" s="1" t="n"/>
      <c r="B896" s="1" t="n"/>
      <c r="C896" s="2" t="n"/>
      <c r="E896" s="130">
        <f>IF($F896="","","MVT-"&amp;TEXT(ROW()-6,"0000"))</f>
        <v/>
      </c>
      <c r="F896" s="134" t="n"/>
      <c r="G896" s="127" t="n"/>
      <c r="H896" s="130">
        <f>IF($G896="","",IFERROR(INDEX(FOU_Article,MATCH($G896,FOU_Code,0)),"⚠ Code inconnu"))</f>
        <v/>
      </c>
      <c r="I896" s="127" t="n"/>
      <c r="J896" s="128" t="n"/>
      <c r="K896" s="127" t="n"/>
      <c r="L896" s="127" t="n"/>
    </row>
    <row r="897" ht="21" customHeight="1">
      <c r="A897" s="1" t="n"/>
      <c r="B897" s="1" t="n"/>
      <c r="C897" s="2" t="n"/>
      <c r="E897" s="130">
        <f>IF($F897="","","MVT-"&amp;TEXT(ROW()-6,"0000"))</f>
        <v/>
      </c>
      <c r="F897" s="134" t="n"/>
      <c r="G897" s="127" t="n"/>
      <c r="H897" s="130">
        <f>IF($G897="","",IFERROR(INDEX(FOU_Article,MATCH($G897,FOU_Code,0)),"⚠ Code inconnu"))</f>
        <v/>
      </c>
      <c r="I897" s="127" t="n"/>
      <c r="J897" s="128" t="n"/>
      <c r="K897" s="127" t="n"/>
      <c r="L897" s="127" t="n"/>
    </row>
    <row r="898" ht="21" customHeight="1">
      <c r="A898" s="1" t="n"/>
      <c r="B898" s="1" t="n"/>
      <c r="C898" s="2" t="n"/>
      <c r="E898" s="130">
        <f>IF($F898="","","MVT-"&amp;TEXT(ROW()-6,"0000"))</f>
        <v/>
      </c>
      <c r="F898" s="134" t="n"/>
      <c r="G898" s="127" t="n"/>
      <c r="H898" s="130">
        <f>IF($G898="","",IFERROR(INDEX(FOU_Article,MATCH($G898,FOU_Code,0)),"⚠ Code inconnu"))</f>
        <v/>
      </c>
      <c r="I898" s="127" t="n"/>
      <c r="J898" s="128" t="n"/>
      <c r="K898" s="127" t="n"/>
      <c r="L898" s="127" t="n"/>
    </row>
    <row r="899" ht="21" customHeight="1">
      <c r="A899" s="1" t="n"/>
      <c r="B899" s="1" t="n"/>
      <c r="C899" s="2" t="n"/>
      <c r="E899" s="130">
        <f>IF($F899="","","MVT-"&amp;TEXT(ROW()-6,"0000"))</f>
        <v/>
      </c>
      <c r="F899" s="134" t="n"/>
      <c r="G899" s="127" t="n"/>
      <c r="H899" s="130">
        <f>IF($G899="","",IFERROR(INDEX(FOU_Article,MATCH($G899,FOU_Code,0)),"⚠ Code inconnu"))</f>
        <v/>
      </c>
      <c r="I899" s="127" t="n"/>
      <c r="J899" s="128" t="n"/>
      <c r="K899" s="127" t="n"/>
      <c r="L899" s="127" t="n"/>
    </row>
    <row r="900" ht="21" customHeight="1">
      <c r="A900" s="1" t="n"/>
      <c r="B900" s="1" t="n"/>
      <c r="C900" s="2" t="n"/>
      <c r="E900" s="130">
        <f>IF($F900="","","MVT-"&amp;TEXT(ROW()-6,"0000"))</f>
        <v/>
      </c>
      <c r="F900" s="134" t="n"/>
      <c r="G900" s="127" t="n"/>
      <c r="H900" s="130">
        <f>IF($G900="","",IFERROR(INDEX(FOU_Article,MATCH($G900,FOU_Code,0)),"⚠ Code inconnu"))</f>
        <v/>
      </c>
      <c r="I900" s="127" t="n"/>
      <c r="J900" s="128" t="n"/>
      <c r="K900" s="127" t="n"/>
      <c r="L900" s="127" t="n"/>
    </row>
    <row r="901" ht="21" customHeight="1">
      <c r="A901" s="1" t="n"/>
      <c r="B901" s="1" t="n"/>
      <c r="C901" s="2" t="n"/>
      <c r="E901" s="130">
        <f>IF($F901="","","MVT-"&amp;TEXT(ROW()-6,"0000"))</f>
        <v/>
      </c>
      <c r="F901" s="134" t="n"/>
      <c r="G901" s="127" t="n"/>
      <c r="H901" s="130">
        <f>IF($G901="","",IFERROR(INDEX(FOU_Article,MATCH($G901,FOU_Code,0)),"⚠ Code inconnu"))</f>
        <v/>
      </c>
      <c r="I901" s="127" t="n"/>
      <c r="J901" s="128" t="n"/>
      <c r="K901" s="127" t="n"/>
      <c r="L901" s="127" t="n"/>
    </row>
    <row r="902" ht="21" customHeight="1">
      <c r="A902" s="1" t="n"/>
      <c r="B902" s="1" t="n"/>
      <c r="C902" s="2" t="n"/>
      <c r="E902" s="130">
        <f>IF($F902="","","MVT-"&amp;TEXT(ROW()-6,"0000"))</f>
        <v/>
      </c>
      <c r="F902" s="134" t="n"/>
      <c r="G902" s="127" t="n"/>
      <c r="H902" s="130">
        <f>IF($G902="","",IFERROR(INDEX(FOU_Article,MATCH($G902,FOU_Code,0)),"⚠ Code inconnu"))</f>
        <v/>
      </c>
      <c r="I902" s="127" t="n"/>
      <c r="J902" s="128" t="n"/>
      <c r="K902" s="127" t="n"/>
      <c r="L902" s="127" t="n"/>
    </row>
    <row r="903" ht="21" customHeight="1">
      <c r="A903" s="1" t="n"/>
      <c r="B903" s="1" t="n"/>
      <c r="C903" s="2" t="n"/>
      <c r="E903" s="130">
        <f>IF($F903="","","MVT-"&amp;TEXT(ROW()-6,"0000"))</f>
        <v/>
      </c>
      <c r="F903" s="134" t="n"/>
      <c r="G903" s="127" t="n"/>
      <c r="H903" s="130">
        <f>IF($G903="","",IFERROR(INDEX(FOU_Article,MATCH($G903,FOU_Code,0)),"⚠ Code inconnu"))</f>
        <v/>
      </c>
      <c r="I903" s="127" t="n"/>
      <c r="J903" s="128" t="n"/>
      <c r="K903" s="127" t="n"/>
      <c r="L903" s="127" t="n"/>
    </row>
    <row r="904" ht="21" customHeight="1">
      <c r="A904" s="1" t="n"/>
      <c r="B904" s="1" t="n"/>
      <c r="C904" s="2" t="n"/>
      <c r="E904" s="130">
        <f>IF($F904="","","MVT-"&amp;TEXT(ROW()-6,"0000"))</f>
        <v/>
      </c>
      <c r="F904" s="134" t="n"/>
      <c r="G904" s="127" t="n"/>
      <c r="H904" s="130">
        <f>IF($G904="","",IFERROR(INDEX(FOU_Article,MATCH($G904,FOU_Code,0)),"⚠ Code inconnu"))</f>
        <v/>
      </c>
      <c r="I904" s="127" t="n"/>
      <c r="J904" s="128" t="n"/>
      <c r="K904" s="127" t="n"/>
      <c r="L904" s="127" t="n"/>
    </row>
    <row r="905" ht="21" customHeight="1">
      <c r="A905" s="1" t="n"/>
      <c r="B905" s="1" t="n"/>
      <c r="C905" s="2" t="n"/>
      <c r="E905" s="130">
        <f>IF($F905="","","MVT-"&amp;TEXT(ROW()-6,"0000"))</f>
        <v/>
      </c>
      <c r="F905" s="134" t="n"/>
      <c r="G905" s="127" t="n"/>
      <c r="H905" s="130">
        <f>IF($G905="","",IFERROR(INDEX(FOU_Article,MATCH($G905,FOU_Code,0)),"⚠ Code inconnu"))</f>
        <v/>
      </c>
      <c r="I905" s="127" t="n"/>
      <c r="J905" s="128" t="n"/>
      <c r="K905" s="127" t="n"/>
      <c r="L905" s="127" t="n"/>
    </row>
    <row r="906" ht="21" customHeight="1">
      <c r="A906" s="1" t="n"/>
      <c r="B906" s="1" t="n"/>
      <c r="C906" s="2" t="n"/>
      <c r="E906" s="130">
        <f>IF($F906="","","MVT-"&amp;TEXT(ROW()-6,"0000"))</f>
        <v/>
      </c>
      <c r="F906" s="134" t="n"/>
      <c r="G906" s="127" t="n"/>
      <c r="H906" s="130">
        <f>IF($G906="","",IFERROR(INDEX(FOU_Article,MATCH($G906,FOU_Code,0)),"⚠ Code inconnu"))</f>
        <v/>
      </c>
      <c r="I906" s="127" t="n"/>
      <c r="J906" s="128" t="n"/>
      <c r="K906" s="127" t="n"/>
      <c r="L906" s="127" t="n"/>
    </row>
    <row r="907" ht="21" customHeight="1">
      <c r="A907" s="1" t="n"/>
      <c r="B907" s="1" t="n"/>
      <c r="C907" s="2" t="n"/>
      <c r="E907" s="130">
        <f>IF($F907="","","MVT-"&amp;TEXT(ROW()-6,"0000"))</f>
        <v/>
      </c>
      <c r="F907" s="134" t="n"/>
      <c r="G907" s="127" t="n"/>
      <c r="H907" s="130">
        <f>IF($G907="","",IFERROR(INDEX(FOU_Article,MATCH($G907,FOU_Code,0)),"⚠ Code inconnu"))</f>
        <v/>
      </c>
      <c r="I907" s="127" t="n"/>
      <c r="J907" s="128" t="n"/>
      <c r="K907" s="127" t="n"/>
      <c r="L907" s="127" t="n"/>
    </row>
    <row r="908" ht="21" customHeight="1">
      <c r="A908" s="1" t="n"/>
      <c r="B908" s="1" t="n"/>
      <c r="C908" s="2" t="n"/>
      <c r="E908" s="130">
        <f>IF($F908="","","MVT-"&amp;TEXT(ROW()-6,"0000"))</f>
        <v/>
      </c>
      <c r="F908" s="134" t="n"/>
      <c r="G908" s="127" t="n"/>
      <c r="H908" s="130">
        <f>IF($G908="","",IFERROR(INDEX(FOU_Article,MATCH($G908,FOU_Code,0)),"⚠ Code inconnu"))</f>
        <v/>
      </c>
      <c r="I908" s="127" t="n"/>
      <c r="J908" s="128" t="n"/>
      <c r="K908" s="127" t="n"/>
      <c r="L908" s="127" t="n"/>
    </row>
    <row r="909" ht="21" customHeight="1">
      <c r="A909" s="1" t="n"/>
      <c r="B909" s="1" t="n"/>
      <c r="C909" s="2" t="n"/>
      <c r="E909" s="130">
        <f>IF($F909="","","MVT-"&amp;TEXT(ROW()-6,"0000"))</f>
        <v/>
      </c>
      <c r="F909" s="134" t="n"/>
      <c r="G909" s="127" t="n"/>
      <c r="H909" s="130">
        <f>IF($G909="","",IFERROR(INDEX(FOU_Article,MATCH($G909,FOU_Code,0)),"⚠ Code inconnu"))</f>
        <v/>
      </c>
      <c r="I909" s="127" t="n"/>
      <c r="J909" s="128" t="n"/>
      <c r="K909" s="127" t="n"/>
      <c r="L909" s="127" t="n"/>
    </row>
    <row r="910" ht="21" customHeight="1">
      <c r="A910" s="1" t="n"/>
      <c r="B910" s="1" t="n"/>
      <c r="C910" s="2" t="n"/>
      <c r="E910" s="130">
        <f>IF($F910="","","MVT-"&amp;TEXT(ROW()-6,"0000"))</f>
        <v/>
      </c>
      <c r="F910" s="134" t="n"/>
      <c r="G910" s="127" t="n"/>
      <c r="H910" s="130">
        <f>IF($G910="","",IFERROR(INDEX(FOU_Article,MATCH($G910,FOU_Code,0)),"⚠ Code inconnu"))</f>
        <v/>
      </c>
      <c r="I910" s="127" t="n"/>
      <c r="J910" s="128" t="n"/>
      <c r="K910" s="127" t="n"/>
      <c r="L910" s="127" t="n"/>
    </row>
    <row r="911" ht="21" customHeight="1">
      <c r="A911" s="1" t="n"/>
      <c r="B911" s="1" t="n"/>
      <c r="C911" s="2" t="n"/>
      <c r="E911" s="130">
        <f>IF($F911="","","MVT-"&amp;TEXT(ROW()-6,"0000"))</f>
        <v/>
      </c>
      <c r="F911" s="134" t="n"/>
      <c r="G911" s="127" t="n"/>
      <c r="H911" s="130">
        <f>IF($G911="","",IFERROR(INDEX(FOU_Article,MATCH($G911,FOU_Code,0)),"⚠ Code inconnu"))</f>
        <v/>
      </c>
      <c r="I911" s="127" t="n"/>
      <c r="J911" s="128" t="n"/>
      <c r="K911" s="127" t="n"/>
      <c r="L911" s="127" t="n"/>
    </row>
    <row r="912" ht="21" customHeight="1">
      <c r="A912" s="1" t="n"/>
      <c r="B912" s="1" t="n"/>
      <c r="C912" s="2" t="n"/>
      <c r="E912" s="130">
        <f>IF($F912="","","MVT-"&amp;TEXT(ROW()-6,"0000"))</f>
        <v/>
      </c>
      <c r="F912" s="134" t="n"/>
      <c r="G912" s="127" t="n"/>
      <c r="H912" s="130">
        <f>IF($G912="","",IFERROR(INDEX(FOU_Article,MATCH($G912,FOU_Code,0)),"⚠ Code inconnu"))</f>
        <v/>
      </c>
      <c r="I912" s="127" t="n"/>
      <c r="J912" s="128" t="n"/>
      <c r="K912" s="127" t="n"/>
      <c r="L912" s="127" t="n"/>
    </row>
    <row r="913" ht="21" customHeight="1">
      <c r="A913" s="1" t="n"/>
      <c r="B913" s="1" t="n"/>
      <c r="C913" s="2" t="n"/>
      <c r="E913" s="130">
        <f>IF($F913="","","MVT-"&amp;TEXT(ROW()-6,"0000"))</f>
        <v/>
      </c>
      <c r="F913" s="134" t="n"/>
      <c r="G913" s="127" t="n"/>
      <c r="H913" s="130">
        <f>IF($G913="","",IFERROR(INDEX(FOU_Article,MATCH($G913,FOU_Code,0)),"⚠ Code inconnu"))</f>
        <v/>
      </c>
      <c r="I913" s="127" t="n"/>
      <c r="J913" s="128" t="n"/>
      <c r="K913" s="127" t="n"/>
      <c r="L913" s="127" t="n"/>
    </row>
    <row r="914" ht="21" customHeight="1">
      <c r="A914" s="1" t="n"/>
      <c r="B914" s="1" t="n"/>
      <c r="C914" s="2" t="n"/>
      <c r="E914" s="130">
        <f>IF($F914="","","MVT-"&amp;TEXT(ROW()-6,"0000"))</f>
        <v/>
      </c>
      <c r="F914" s="134" t="n"/>
      <c r="G914" s="127" t="n"/>
      <c r="H914" s="130">
        <f>IF($G914="","",IFERROR(INDEX(FOU_Article,MATCH($G914,FOU_Code,0)),"⚠ Code inconnu"))</f>
        <v/>
      </c>
      <c r="I914" s="127" t="n"/>
      <c r="J914" s="128" t="n"/>
      <c r="K914" s="127" t="n"/>
      <c r="L914" s="127" t="n"/>
    </row>
    <row r="915" ht="21" customHeight="1">
      <c r="A915" s="1" t="n"/>
      <c r="B915" s="1" t="n"/>
      <c r="C915" s="2" t="n"/>
      <c r="E915" s="130">
        <f>IF($F915="","","MVT-"&amp;TEXT(ROW()-6,"0000"))</f>
        <v/>
      </c>
      <c r="F915" s="134" t="n"/>
      <c r="G915" s="127" t="n"/>
      <c r="H915" s="130">
        <f>IF($G915="","",IFERROR(INDEX(FOU_Article,MATCH($G915,FOU_Code,0)),"⚠ Code inconnu"))</f>
        <v/>
      </c>
      <c r="I915" s="127" t="n"/>
      <c r="J915" s="128" t="n"/>
      <c r="K915" s="127" t="n"/>
      <c r="L915" s="127" t="n"/>
    </row>
    <row r="916" ht="21" customHeight="1">
      <c r="A916" s="1" t="n"/>
      <c r="B916" s="1" t="n"/>
      <c r="C916" s="2" t="n"/>
      <c r="E916" s="130">
        <f>IF($F916="","","MVT-"&amp;TEXT(ROW()-6,"0000"))</f>
        <v/>
      </c>
      <c r="F916" s="134" t="n"/>
      <c r="G916" s="127" t="n"/>
      <c r="H916" s="130">
        <f>IF($G916="","",IFERROR(INDEX(FOU_Article,MATCH($G916,FOU_Code,0)),"⚠ Code inconnu"))</f>
        <v/>
      </c>
      <c r="I916" s="127" t="n"/>
      <c r="J916" s="128" t="n"/>
      <c r="K916" s="127" t="n"/>
      <c r="L916" s="127" t="n"/>
    </row>
    <row r="917" ht="21" customHeight="1">
      <c r="A917" s="1" t="n"/>
      <c r="B917" s="1" t="n"/>
      <c r="C917" s="2" t="n"/>
      <c r="E917" s="130">
        <f>IF($F917="","","MVT-"&amp;TEXT(ROW()-6,"0000"))</f>
        <v/>
      </c>
      <c r="F917" s="134" t="n"/>
      <c r="G917" s="127" t="n"/>
      <c r="H917" s="130">
        <f>IF($G917="","",IFERROR(INDEX(FOU_Article,MATCH($G917,FOU_Code,0)),"⚠ Code inconnu"))</f>
        <v/>
      </c>
      <c r="I917" s="127" t="n"/>
      <c r="J917" s="128" t="n"/>
      <c r="K917" s="127" t="n"/>
      <c r="L917" s="127" t="n"/>
    </row>
    <row r="918" ht="21" customHeight="1">
      <c r="A918" s="1" t="n"/>
      <c r="B918" s="1" t="n"/>
      <c r="C918" s="2" t="n"/>
      <c r="E918" s="130">
        <f>IF($F918="","","MVT-"&amp;TEXT(ROW()-6,"0000"))</f>
        <v/>
      </c>
      <c r="F918" s="134" t="n"/>
      <c r="G918" s="127" t="n"/>
      <c r="H918" s="130">
        <f>IF($G918="","",IFERROR(INDEX(FOU_Article,MATCH($G918,FOU_Code,0)),"⚠ Code inconnu"))</f>
        <v/>
      </c>
      <c r="I918" s="127" t="n"/>
      <c r="J918" s="128" t="n"/>
      <c r="K918" s="127" t="n"/>
      <c r="L918" s="127" t="n"/>
    </row>
    <row r="919" ht="21" customHeight="1">
      <c r="A919" s="1" t="n"/>
      <c r="B919" s="1" t="n"/>
      <c r="C919" s="2" t="n"/>
      <c r="E919" s="130">
        <f>IF($F919="","","MVT-"&amp;TEXT(ROW()-6,"0000"))</f>
        <v/>
      </c>
      <c r="F919" s="134" t="n"/>
      <c r="G919" s="127" t="n"/>
      <c r="H919" s="130">
        <f>IF($G919="","",IFERROR(INDEX(FOU_Article,MATCH($G919,FOU_Code,0)),"⚠ Code inconnu"))</f>
        <v/>
      </c>
      <c r="I919" s="127" t="n"/>
      <c r="J919" s="128" t="n"/>
      <c r="K919" s="127" t="n"/>
      <c r="L919" s="127" t="n"/>
    </row>
    <row r="920" ht="21" customHeight="1">
      <c r="A920" s="1" t="n"/>
      <c r="B920" s="1" t="n"/>
      <c r="C920" s="2" t="n"/>
      <c r="E920" s="130">
        <f>IF($F920="","","MVT-"&amp;TEXT(ROW()-6,"0000"))</f>
        <v/>
      </c>
      <c r="F920" s="134" t="n"/>
      <c r="G920" s="127" t="n"/>
      <c r="H920" s="130">
        <f>IF($G920="","",IFERROR(INDEX(FOU_Article,MATCH($G920,FOU_Code,0)),"⚠ Code inconnu"))</f>
        <v/>
      </c>
      <c r="I920" s="127" t="n"/>
      <c r="J920" s="128" t="n"/>
      <c r="K920" s="127" t="n"/>
      <c r="L920" s="127" t="n"/>
    </row>
    <row r="921" ht="21" customHeight="1">
      <c r="A921" s="1" t="n"/>
      <c r="B921" s="1" t="n"/>
      <c r="C921" s="2" t="n"/>
      <c r="E921" s="130">
        <f>IF($F921="","","MVT-"&amp;TEXT(ROW()-6,"0000"))</f>
        <v/>
      </c>
      <c r="F921" s="134" t="n"/>
      <c r="G921" s="127" t="n"/>
      <c r="H921" s="130">
        <f>IF($G921="","",IFERROR(INDEX(FOU_Article,MATCH($G921,FOU_Code,0)),"⚠ Code inconnu"))</f>
        <v/>
      </c>
      <c r="I921" s="127" t="n"/>
      <c r="J921" s="128" t="n"/>
      <c r="K921" s="127" t="n"/>
      <c r="L921" s="127" t="n"/>
    </row>
    <row r="922" ht="21" customHeight="1">
      <c r="A922" s="1" t="n"/>
      <c r="B922" s="1" t="n"/>
      <c r="C922" s="2" t="n"/>
      <c r="E922" s="130">
        <f>IF($F922="","","MVT-"&amp;TEXT(ROW()-6,"0000"))</f>
        <v/>
      </c>
      <c r="F922" s="134" t="n"/>
      <c r="G922" s="127" t="n"/>
      <c r="H922" s="130">
        <f>IF($G922="","",IFERROR(INDEX(FOU_Article,MATCH($G922,FOU_Code,0)),"⚠ Code inconnu"))</f>
        <v/>
      </c>
      <c r="I922" s="127" t="n"/>
      <c r="J922" s="128" t="n"/>
      <c r="K922" s="127" t="n"/>
      <c r="L922" s="127" t="n"/>
    </row>
    <row r="923" ht="21" customHeight="1">
      <c r="A923" s="1" t="n"/>
      <c r="B923" s="1" t="n"/>
      <c r="C923" s="2" t="n"/>
      <c r="E923" s="130">
        <f>IF($F923="","","MVT-"&amp;TEXT(ROW()-6,"0000"))</f>
        <v/>
      </c>
      <c r="F923" s="134" t="n"/>
      <c r="G923" s="127" t="n"/>
      <c r="H923" s="130">
        <f>IF($G923="","",IFERROR(INDEX(FOU_Article,MATCH($G923,FOU_Code,0)),"⚠ Code inconnu"))</f>
        <v/>
      </c>
      <c r="I923" s="127" t="n"/>
      <c r="J923" s="128" t="n"/>
      <c r="K923" s="127" t="n"/>
      <c r="L923" s="127" t="n"/>
    </row>
    <row r="924" ht="21" customHeight="1">
      <c r="A924" s="1" t="n"/>
      <c r="B924" s="1" t="n"/>
      <c r="C924" s="2" t="n"/>
      <c r="E924" s="130">
        <f>IF($F924="","","MVT-"&amp;TEXT(ROW()-6,"0000"))</f>
        <v/>
      </c>
      <c r="F924" s="134" t="n"/>
      <c r="G924" s="127" t="n"/>
      <c r="H924" s="130">
        <f>IF($G924="","",IFERROR(INDEX(FOU_Article,MATCH($G924,FOU_Code,0)),"⚠ Code inconnu"))</f>
        <v/>
      </c>
      <c r="I924" s="127" t="n"/>
      <c r="J924" s="128" t="n"/>
      <c r="K924" s="127" t="n"/>
      <c r="L924" s="127" t="n"/>
    </row>
    <row r="925" ht="21" customHeight="1">
      <c r="A925" s="1" t="n"/>
      <c r="B925" s="1" t="n"/>
      <c r="C925" s="2" t="n"/>
      <c r="E925" s="130">
        <f>IF($F925="","","MVT-"&amp;TEXT(ROW()-6,"0000"))</f>
        <v/>
      </c>
      <c r="F925" s="134" t="n"/>
      <c r="G925" s="127" t="n"/>
      <c r="H925" s="130">
        <f>IF($G925="","",IFERROR(INDEX(FOU_Article,MATCH($G925,FOU_Code,0)),"⚠ Code inconnu"))</f>
        <v/>
      </c>
      <c r="I925" s="127" t="n"/>
      <c r="J925" s="128" t="n"/>
      <c r="K925" s="127" t="n"/>
      <c r="L925" s="127" t="n"/>
    </row>
    <row r="926" ht="21" customHeight="1">
      <c r="A926" s="1" t="n"/>
      <c r="B926" s="1" t="n"/>
      <c r="C926" s="2" t="n"/>
      <c r="E926" s="130">
        <f>IF($F926="","","MVT-"&amp;TEXT(ROW()-6,"0000"))</f>
        <v/>
      </c>
      <c r="F926" s="134" t="n"/>
      <c r="G926" s="127" t="n"/>
      <c r="H926" s="130">
        <f>IF($G926="","",IFERROR(INDEX(FOU_Article,MATCH($G926,FOU_Code,0)),"⚠ Code inconnu"))</f>
        <v/>
      </c>
      <c r="I926" s="127" t="n"/>
      <c r="J926" s="128" t="n"/>
      <c r="K926" s="127" t="n"/>
      <c r="L926" s="127" t="n"/>
    </row>
    <row r="927" ht="21" customHeight="1">
      <c r="A927" s="1" t="n"/>
      <c r="B927" s="1" t="n"/>
      <c r="C927" s="2" t="n"/>
      <c r="E927" s="130">
        <f>IF($F927="","","MVT-"&amp;TEXT(ROW()-6,"0000"))</f>
        <v/>
      </c>
      <c r="F927" s="134" t="n"/>
      <c r="G927" s="127" t="n"/>
      <c r="H927" s="130">
        <f>IF($G927="","",IFERROR(INDEX(FOU_Article,MATCH($G927,FOU_Code,0)),"⚠ Code inconnu"))</f>
        <v/>
      </c>
      <c r="I927" s="127" t="n"/>
      <c r="J927" s="128" t="n"/>
      <c r="K927" s="127" t="n"/>
      <c r="L927" s="127" t="n"/>
    </row>
    <row r="928" ht="21" customHeight="1">
      <c r="A928" s="1" t="n"/>
      <c r="B928" s="1" t="n"/>
      <c r="C928" s="2" t="n"/>
      <c r="E928" s="130">
        <f>IF($F928="","","MVT-"&amp;TEXT(ROW()-6,"0000"))</f>
        <v/>
      </c>
      <c r="F928" s="134" t="n"/>
      <c r="G928" s="127" t="n"/>
      <c r="H928" s="130">
        <f>IF($G928="","",IFERROR(INDEX(FOU_Article,MATCH($G928,FOU_Code,0)),"⚠ Code inconnu"))</f>
        <v/>
      </c>
      <c r="I928" s="127" t="n"/>
      <c r="J928" s="128" t="n"/>
      <c r="K928" s="127" t="n"/>
      <c r="L928" s="127" t="n"/>
    </row>
    <row r="929" ht="21" customHeight="1">
      <c r="A929" s="1" t="n"/>
      <c r="B929" s="1" t="n"/>
      <c r="C929" s="2" t="n"/>
      <c r="E929" s="130">
        <f>IF($F929="","","MVT-"&amp;TEXT(ROW()-6,"0000"))</f>
        <v/>
      </c>
      <c r="F929" s="134" t="n"/>
      <c r="G929" s="127" t="n"/>
      <c r="H929" s="130">
        <f>IF($G929="","",IFERROR(INDEX(FOU_Article,MATCH($G929,FOU_Code,0)),"⚠ Code inconnu"))</f>
        <v/>
      </c>
      <c r="I929" s="127" t="n"/>
      <c r="J929" s="128" t="n"/>
      <c r="K929" s="127" t="n"/>
      <c r="L929" s="127" t="n"/>
    </row>
    <row r="930" ht="21" customHeight="1">
      <c r="A930" s="1" t="n"/>
      <c r="B930" s="1" t="n"/>
      <c r="C930" s="2" t="n"/>
      <c r="E930" s="130">
        <f>IF($F930="","","MVT-"&amp;TEXT(ROW()-6,"0000"))</f>
        <v/>
      </c>
      <c r="F930" s="134" t="n"/>
      <c r="G930" s="127" t="n"/>
      <c r="H930" s="130">
        <f>IF($G930="","",IFERROR(INDEX(FOU_Article,MATCH($G930,FOU_Code,0)),"⚠ Code inconnu"))</f>
        <v/>
      </c>
      <c r="I930" s="127" t="n"/>
      <c r="J930" s="128" t="n"/>
      <c r="K930" s="127" t="n"/>
      <c r="L930" s="127" t="n"/>
    </row>
    <row r="931" ht="21" customHeight="1">
      <c r="A931" s="1" t="n"/>
      <c r="B931" s="1" t="n"/>
      <c r="C931" s="2" t="n"/>
      <c r="E931" s="130">
        <f>IF($F931="","","MVT-"&amp;TEXT(ROW()-6,"0000"))</f>
        <v/>
      </c>
      <c r="F931" s="134" t="n"/>
      <c r="G931" s="127" t="n"/>
      <c r="H931" s="130">
        <f>IF($G931="","",IFERROR(INDEX(FOU_Article,MATCH($G931,FOU_Code,0)),"⚠ Code inconnu"))</f>
        <v/>
      </c>
      <c r="I931" s="127" t="n"/>
      <c r="J931" s="128" t="n"/>
      <c r="K931" s="127" t="n"/>
      <c r="L931" s="127" t="n"/>
    </row>
    <row r="932" ht="21" customHeight="1">
      <c r="A932" s="1" t="n"/>
      <c r="B932" s="1" t="n"/>
      <c r="C932" s="2" t="n"/>
      <c r="E932" s="130">
        <f>IF($F932="","","MVT-"&amp;TEXT(ROW()-6,"0000"))</f>
        <v/>
      </c>
      <c r="F932" s="134" t="n"/>
      <c r="G932" s="127" t="n"/>
      <c r="H932" s="130">
        <f>IF($G932="","",IFERROR(INDEX(FOU_Article,MATCH($G932,FOU_Code,0)),"⚠ Code inconnu"))</f>
        <v/>
      </c>
      <c r="I932" s="127" t="n"/>
      <c r="J932" s="128" t="n"/>
      <c r="K932" s="127" t="n"/>
      <c r="L932" s="127" t="n"/>
    </row>
    <row r="933" ht="21" customHeight="1">
      <c r="A933" s="1" t="n"/>
      <c r="B933" s="1" t="n"/>
      <c r="C933" s="2" t="n"/>
      <c r="E933" s="130">
        <f>IF($F933="","","MVT-"&amp;TEXT(ROW()-6,"0000"))</f>
        <v/>
      </c>
      <c r="F933" s="134" t="n"/>
      <c r="G933" s="127" t="n"/>
      <c r="H933" s="130">
        <f>IF($G933="","",IFERROR(INDEX(FOU_Article,MATCH($G933,FOU_Code,0)),"⚠ Code inconnu"))</f>
        <v/>
      </c>
      <c r="I933" s="127" t="n"/>
      <c r="J933" s="128" t="n"/>
      <c r="K933" s="127" t="n"/>
      <c r="L933" s="127" t="n"/>
    </row>
    <row r="934" ht="21" customHeight="1">
      <c r="A934" s="1" t="n"/>
      <c r="B934" s="1" t="n"/>
      <c r="C934" s="2" t="n"/>
      <c r="E934" s="130">
        <f>IF($F934="","","MVT-"&amp;TEXT(ROW()-6,"0000"))</f>
        <v/>
      </c>
      <c r="F934" s="134" t="n"/>
      <c r="G934" s="127" t="n"/>
      <c r="H934" s="130">
        <f>IF($G934="","",IFERROR(INDEX(FOU_Article,MATCH($G934,FOU_Code,0)),"⚠ Code inconnu"))</f>
        <v/>
      </c>
      <c r="I934" s="127" t="n"/>
      <c r="J934" s="128" t="n"/>
      <c r="K934" s="127" t="n"/>
      <c r="L934" s="127" t="n"/>
    </row>
    <row r="935" ht="21" customHeight="1">
      <c r="A935" s="1" t="n"/>
      <c r="B935" s="1" t="n"/>
      <c r="C935" s="2" t="n"/>
      <c r="E935" s="130">
        <f>IF($F935="","","MVT-"&amp;TEXT(ROW()-6,"0000"))</f>
        <v/>
      </c>
      <c r="F935" s="134" t="n"/>
      <c r="G935" s="127" t="n"/>
      <c r="H935" s="130">
        <f>IF($G935="","",IFERROR(INDEX(FOU_Article,MATCH($G935,FOU_Code,0)),"⚠ Code inconnu"))</f>
        <v/>
      </c>
      <c r="I935" s="127" t="n"/>
      <c r="J935" s="128" t="n"/>
      <c r="K935" s="127" t="n"/>
      <c r="L935" s="127" t="n"/>
    </row>
    <row r="936" ht="21" customHeight="1">
      <c r="A936" s="1" t="n"/>
      <c r="B936" s="1" t="n"/>
      <c r="C936" s="2" t="n"/>
      <c r="E936" s="130">
        <f>IF($F936="","","MVT-"&amp;TEXT(ROW()-6,"0000"))</f>
        <v/>
      </c>
      <c r="F936" s="134" t="n"/>
      <c r="G936" s="127" t="n"/>
      <c r="H936" s="130">
        <f>IF($G936="","",IFERROR(INDEX(FOU_Article,MATCH($G936,FOU_Code,0)),"⚠ Code inconnu"))</f>
        <v/>
      </c>
      <c r="I936" s="127" t="n"/>
      <c r="J936" s="128" t="n"/>
      <c r="K936" s="127" t="n"/>
      <c r="L936" s="127" t="n"/>
    </row>
    <row r="937" ht="21" customHeight="1">
      <c r="A937" s="1" t="n"/>
      <c r="B937" s="1" t="n"/>
      <c r="C937" s="2" t="n"/>
      <c r="E937" s="130">
        <f>IF($F937="","","MVT-"&amp;TEXT(ROW()-6,"0000"))</f>
        <v/>
      </c>
      <c r="F937" s="134" t="n"/>
      <c r="G937" s="127" t="n"/>
      <c r="H937" s="130">
        <f>IF($G937="","",IFERROR(INDEX(FOU_Article,MATCH($G937,FOU_Code,0)),"⚠ Code inconnu"))</f>
        <v/>
      </c>
      <c r="I937" s="127" t="n"/>
      <c r="J937" s="128" t="n"/>
      <c r="K937" s="127" t="n"/>
      <c r="L937" s="127" t="n"/>
    </row>
    <row r="938" ht="21" customHeight="1">
      <c r="A938" s="1" t="n"/>
      <c r="B938" s="1" t="n"/>
      <c r="C938" s="2" t="n"/>
      <c r="E938" s="130">
        <f>IF($F938="","","MVT-"&amp;TEXT(ROW()-6,"0000"))</f>
        <v/>
      </c>
      <c r="F938" s="134" t="n"/>
      <c r="G938" s="127" t="n"/>
      <c r="H938" s="130">
        <f>IF($G938="","",IFERROR(INDEX(FOU_Article,MATCH($G938,FOU_Code,0)),"⚠ Code inconnu"))</f>
        <v/>
      </c>
      <c r="I938" s="127" t="n"/>
      <c r="J938" s="128" t="n"/>
      <c r="K938" s="127" t="n"/>
      <c r="L938" s="127" t="n"/>
    </row>
    <row r="939" ht="21" customHeight="1">
      <c r="A939" s="1" t="n"/>
      <c r="B939" s="1" t="n"/>
      <c r="C939" s="2" t="n"/>
      <c r="E939" s="130">
        <f>IF($F939="","","MVT-"&amp;TEXT(ROW()-6,"0000"))</f>
        <v/>
      </c>
      <c r="F939" s="134" t="n"/>
      <c r="G939" s="127" t="n"/>
      <c r="H939" s="130">
        <f>IF($G939="","",IFERROR(INDEX(FOU_Article,MATCH($G939,FOU_Code,0)),"⚠ Code inconnu"))</f>
        <v/>
      </c>
      <c r="I939" s="127" t="n"/>
      <c r="J939" s="128" t="n"/>
      <c r="K939" s="127" t="n"/>
      <c r="L939" s="127" t="n"/>
    </row>
    <row r="940" ht="21" customHeight="1">
      <c r="A940" s="1" t="n"/>
      <c r="B940" s="1" t="n"/>
      <c r="C940" s="2" t="n"/>
      <c r="E940" s="130">
        <f>IF($F940="","","MVT-"&amp;TEXT(ROW()-6,"0000"))</f>
        <v/>
      </c>
      <c r="F940" s="134" t="n"/>
      <c r="G940" s="127" t="n"/>
      <c r="H940" s="130">
        <f>IF($G940="","",IFERROR(INDEX(FOU_Article,MATCH($G940,FOU_Code,0)),"⚠ Code inconnu"))</f>
        <v/>
      </c>
      <c r="I940" s="127" t="n"/>
      <c r="J940" s="128" t="n"/>
      <c r="K940" s="127" t="n"/>
      <c r="L940" s="127" t="n"/>
    </row>
    <row r="941" ht="21" customHeight="1">
      <c r="A941" s="1" t="n"/>
      <c r="B941" s="1" t="n"/>
      <c r="C941" s="2" t="n"/>
      <c r="E941" s="130">
        <f>IF($F941="","","MVT-"&amp;TEXT(ROW()-6,"0000"))</f>
        <v/>
      </c>
      <c r="F941" s="134" t="n"/>
      <c r="G941" s="127" t="n"/>
      <c r="H941" s="130">
        <f>IF($G941="","",IFERROR(INDEX(FOU_Article,MATCH($G941,FOU_Code,0)),"⚠ Code inconnu"))</f>
        <v/>
      </c>
      <c r="I941" s="127" t="n"/>
      <c r="J941" s="128" t="n"/>
      <c r="K941" s="127" t="n"/>
      <c r="L941" s="127" t="n"/>
    </row>
    <row r="942" ht="21" customHeight="1">
      <c r="A942" s="1" t="n"/>
      <c r="B942" s="1" t="n"/>
      <c r="C942" s="2" t="n"/>
      <c r="E942" s="130">
        <f>IF($F942="","","MVT-"&amp;TEXT(ROW()-6,"0000"))</f>
        <v/>
      </c>
      <c r="F942" s="134" t="n"/>
      <c r="G942" s="127" t="n"/>
      <c r="H942" s="130">
        <f>IF($G942="","",IFERROR(INDEX(FOU_Article,MATCH($G942,FOU_Code,0)),"⚠ Code inconnu"))</f>
        <v/>
      </c>
      <c r="I942" s="127" t="n"/>
      <c r="J942" s="128" t="n"/>
      <c r="K942" s="127" t="n"/>
      <c r="L942" s="127" t="n"/>
    </row>
    <row r="943" ht="21" customHeight="1">
      <c r="A943" s="1" t="n"/>
      <c r="B943" s="1" t="n"/>
      <c r="C943" s="2" t="n"/>
      <c r="E943" s="130">
        <f>IF($F943="","","MVT-"&amp;TEXT(ROW()-6,"0000"))</f>
        <v/>
      </c>
      <c r="F943" s="134" t="n"/>
      <c r="G943" s="127" t="n"/>
      <c r="H943" s="130">
        <f>IF($G943="","",IFERROR(INDEX(FOU_Article,MATCH($G943,FOU_Code,0)),"⚠ Code inconnu"))</f>
        <v/>
      </c>
      <c r="I943" s="127" t="n"/>
      <c r="J943" s="128" t="n"/>
      <c r="K943" s="127" t="n"/>
      <c r="L943" s="127" t="n"/>
    </row>
    <row r="944" ht="21" customHeight="1">
      <c r="A944" s="1" t="n"/>
      <c r="B944" s="1" t="n"/>
      <c r="C944" s="2" t="n"/>
      <c r="E944" s="130">
        <f>IF($F944="","","MVT-"&amp;TEXT(ROW()-6,"0000"))</f>
        <v/>
      </c>
      <c r="F944" s="134" t="n"/>
      <c r="G944" s="127" t="n"/>
      <c r="H944" s="130">
        <f>IF($G944="","",IFERROR(INDEX(FOU_Article,MATCH($G944,FOU_Code,0)),"⚠ Code inconnu"))</f>
        <v/>
      </c>
      <c r="I944" s="127" t="n"/>
      <c r="J944" s="128" t="n"/>
      <c r="K944" s="127" t="n"/>
      <c r="L944" s="127" t="n"/>
    </row>
    <row r="945" ht="21" customHeight="1">
      <c r="A945" s="1" t="n"/>
      <c r="B945" s="1" t="n"/>
      <c r="C945" s="2" t="n"/>
      <c r="E945" s="130">
        <f>IF($F945="","","MVT-"&amp;TEXT(ROW()-6,"0000"))</f>
        <v/>
      </c>
      <c r="F945" s="134" t="n"/>
      <c r="G945" s="127" t="n"/>
      <c r="H945" s="130">
        <f>IF($G945="","",IFERROR(INDEX(FOU_Article,MATCH($G945,FOU_Code,0)),"⚠ Code inconnu"))</f>
        <v/>
      </c>
      <c r="I945" s="127" t="n"/>
      <c r="J945" s="128" t="n"/>
      <c r="K945" s="127" t="n"/>
      <c r="L945" s="127" t="n"/>
    </row>
    <row r="946" ht="21" customHeight="1">
      <c r="A946" s="1" t="n"/>
      <c r="B946" s="1" t="n"/>
      <c r="C946" s="2" t="n"/>
      <c r="E946" s="130">
        <f>IF($F946="","","MVT-"&amp;TEXT(ROW()-6,"0000"))</f>
        <v/>
      </c>
      <c r="F946" s="134" t="n"/>
      <c r="G946" s="127" t="n"/>
      <c r="H946" s="130">
        <f>IF($G946="","",IFERROR(INDEX(FOU_Article,MATCH($G946,FOU_Code,0)),"⚠ Code inconnu"))</f>
        <v/>
      </c>
      <c r="I946" s="127" t="n"/>
      <c r="J946" s="128" t="n"/>
      <c r="K946" s="127" t="n"/>
      <c r="L946" s="127" t="n"/>
    </row>
    <row r="947" ht="21" customHeight="1">
      <c r="A947" s="1" t="n"/>
      <c r="B947" s="1" t="n"/>
      <c r="C947" s="2" t="n"/>
      <c r="E947" s="130">
        <f>IF($F947="","","MVT-"&amp;TEXT(ROW()-6,"0000"))</f>
        <v/>
      </c>
      <c r="F947" s="134" t="n"/>
      <c r="G947" s="127" t="n"/>
      <c r="H947" s="130">
        <f>IF($G947="","",IFERROR(INDEX(FOU_Article,MATCH($G947,FOU_Code,0)),"⚠ Code inconnu"))</f>
        <v/>
      </c>
      <c r="I947" s="127" t="n"/>
      <c r="J947" s="128" t="n"/>
      <c r="K947" s="127" t="n"/>
      <c r="L947" s="127" t="n"/>
    </row>
    <row r="948" ht="21" customHeight="1">
      <c r="A948" s="1" t="n"/>
      <c r="B948" s="1" t="n"/>
      <c r="C948" s="2" t="n"/>
      <c r="E948" s="130">
        <f>IF($F948="","","MVT-"&amp;TEXT(ROW()-6,"0000"))</f>
        <v/>
      </c>
      <c r="F948" s="134" t="n"/>
      <c r="G948" s="127" t="n"/>
      <c r="H948" s="130">
        <f>IF($G948="","",IFERROR(INDEX(FOU_Article,MATCH($G948,FOU_Code,0)),"⚠ Code inconnu"))</f>
        <v/>
      </c>
      <c r="I948" s="127" t="n"/>
      <c r="J948" s="128" t="n"/>
      <c r="K948" s="127" t="n"/>
      <c r="L948" s="127" t="n"/>
    </row>
    <row r="949" ht="21" customHeight="1">
      <c r="A949" s="1" t="n"/>
      <c r="B949" s="1" t="n"/>
      <c r="C949" s="2" t="n"/>
      <c r="E949" s="130">
        <f>IF($F949="","","MVT-"&amp;TEXT(ROW()-6,"0000"))</f>
        <v/>
      </c>
      <c r="F949" s="134" t="n"/>
      <c r="G949" s="127" t="n"/>
      <c r="H949" s="130">
        <f>IF($G949="","",IFERROR(INDEX(FOU_Article,MATCH($G949,FOU_Code,0)),"⚠ Code inconnu"))</f>
        <v/>
      </c>
      <c r="I949" s="127" t="n"/>
      <c r="J949" s="128" t="n"/>
      <c r="K949" s="127" t="n"/>
      <c r="L949" s="127" t="n"/>
    </row>
    <row r="950" ht="21" customHeight="1">
      <c r="A950" s="1" t="n"/>
      <c r="B950" s="1" t="n"/>
      <c r="C950" s="2" t="n"/>
      <c r="E950" s="130">
        <f>IF($F950="","","MVT-"&amp;TEXT(ROW()-6,"0000"))</f>
        <v/>
      </c>
      <c r="F950" s="134" t="n"/>
      <c r="G950" s="127" t="n"/>
      <c r="H950" s="130">
        <f>IF($G950="","",IFERROR(INDEX(FOU_Article,MATCH($G950,FOU_Code,0)),"⚠ Code inconnu"))</f>
        <v/>
      </c>
      <c r="I950" s="127" t="n"/>
      <c r="J950" s="128" t="n"/>
      <c r="K950" s="127" t="n"/>
      <c r="L950" s="127" t="n"/>
    </row>
    <row r="951" ht="21" customHeight="1">
      <c r="A951" s="1" t="n"/>
      <c r="B951" s="1" t="n"/>
      <c r="C951" s="2" t="n"/>
      <c r="E951" s="130">
        <f>IF($F951="","","MVT-"&amp;TEXT(ROW()-6,"0000"))</f>
        <v/>
      </c>
      <c r="F951" s="134" t="n"/>
      <c r="G951" s="127" t="n"/>
      <c r="H951" s="130">
        <f>IF($G951="","",IFERROR(INDEX(FOU_Article,MATCH($G951,FOU_Code,0)),"⚠ Code inconnu"))</f>
        <v/>
      </c>
      <c r="I951" s="127" t="n"/>
      <c r="J951" s="128" t="n"/>
      <c r="K951" s="127" t="n"/>
      <c r="L951" s="127" t="n"/>
    </row>
    <row r="952" ht="21" customHeight="1">
      <c r="A952" s="1" t="n"/>
      <c r="B952" s="1" t="n"/>
      <c r="C952" s="2" t="n"/>
      <c r="E952" s="130">
        <f>IF($F952="","","MVT-"&amp;TEXT(ROW()-6,"0000"))</f>
        <v/>
      </c>
      <c r="F952" s="134" t="n"/>
      <c r="G952" s="127" t="n"/>
      <c r="H952" s="130">
        <f>IF($G952="","",IFERROR(INDEX(FOU_Article,MATCH($G952,FOU_Code,0)),"⚠ Code inconnu"))</f>
        <v/>
      </c>
      <c r="I952" s="127" t="n"/>
      <c r="J952" s="128" t="n"/>
      <c r="K952" s="127" t="n"/>
      <c r="L952" s="127" t="n"/>
    </row>
    <row r="953" ht="21" customHeight="1">
      <c r="A953" s="1" t="n"/>
      <c r="B953" s="1" t="n"/>
      <c r="C953" s="2" t="n"/>
      <c r="E953" s="130">
        <f>IF($F953="","","MVT-"&amp;TEXT(ROW()-6,"0000"))</f>
        <v/>
      </c>
      <c r="F953" s="134" t="n"/>
      <c r="G953" s="127" t="n"/>
      <c r="H953" s="130">
        <f>IF($G953="","",IFERROR(INDEX(FOU_Article,MATCH($G953,FOU_Code,0)),"⚠ Code inconnu"))</f>
        <v/>
      </c>
      <c r="I953" s="127" t="n"/>
      <c r="J953" s="128" t="n"/>
      <c r="K953" s="127" t="n"/>
      <c r="L953" s="127" t="n"/>
    </row>
    <row r="954" ht="21" customHeight="1">
      <c r="A954" s="1" t="n"/>
      <c r="B954" s="1" t="n"/>
      <c r="C954" s="2" t="n"/>
      <c r="E954" s="130">
        <f>IF($F954="","","MVT-"&amp;TEXT(ROW()-6,"0000"))</f>
        <v/>
      </c>
      <c r="F954" s="134" t="n"/>
      <c r="G954" s="127" t="n"/>
      <c r="H954" s="130">
        <f>IF($G954="","",IFERROR(INDEX(FOU_Article,MATCH($G954,FOU_Code,0)),"⚠ Code inconnu"))</f>
        <v/>
      </c>
      <c r="I954" s="127" t="n"/>
      <c r="J954" s="128" t="n"/>
      <c r="K954" s="127" t="n"/>
      <c r="L954" s="127" t="n"/>
    </row>
    <row r="955" ht="21" customHeight="1">
      <c r="A955" s="1" t="n"/>
      <c r="B955" s="1" t="n"/>
      <c r="C955" s="2" t="n"/>
      <c r="E955" s="130">
        <f>IF($F955="","","MVT-"&amp;TEXT(ROW()-6,"0000"))</f>
        <v/>
      </c>
      <c r="F955" s="134" t="n"/>
      <c r="G955" s="127" t="n"/>
      <c r="H955" s="130">
        <f>IF($G955="","",IFERROR(INDEX(FOU_Article,MATCH($G955,FOU_Code,0)),"⚠ Code inconnu"))</f>
        <v/>
      </c>
      <c r="I955" s="127" t="n"/>
      <c r="J955" s="128" t="n"/>
      <c r="K955" s="127" t="n"/>
      <c r="L955" s="127" t="n"/>
    </row>
    <row r="956" ht="21" customHeight="1">
      <c r="A956" s="1" t="n"/>
      <c r="B956" s="1" t="n"/>
      <c r="C956" s="2" t="n"/>
      <c r="E956" s="130">
        <f>IF($F956="","","MVT-"&amp;TEXT(ROW()-6,"0000"))</f>
        <v/>
      </c>
      <c r="F956" s="134" t="n"/>
      <c r="G956" s="127" t="n"/>
      <c r="H956" s="130">
        <f>IF($G956="","",IFERROR(INDEX(FOU_Article,MATCH($G956,FOU_Code,0)),"⚠ Code inconnu"))</f>
        <v/>
      </c>
      <c r="I956" s="127" t="n"/>
      <c r="J956" s="128" t="n"/>
      <c r="K956" s="127" t="n"/>
      <c r="L956" s="127" t="n"/>
    </row>
    <row r="957" ht="21" customHeight="1">
      <c r="A957" s="1" t="n"/>
      <c r="B957" s="1" t="n"/>
      <c r="C957" s="2" t="n"/>
      <c r="E957" s="130">
        <f>IF($F957="","","MVT-"&amp;TEXT(ROW()-6,"0000"))</f>
        <v/>
      </c>
      <c r="F957" s="134" t="n"/>
      <c r="G957" s="127" t="n"/>
      <c r="H957" s="130">
        <f>IF($G957="","",IFERROR(INDEX(FOU_Article,MATCH($G957,FOU_Code,0)),"⚠ Code inconnu"))</f>
        <v/>
      </c>
      <c r="I957" s="127" t="n"/>
      <c r="J957" s="128" t="n"/>
      <c r="K957" s="127" t="n"/>
      <c r="L957" s="127" t="n"/>
    </row>
    <row r="958" ht="21" customHeight="1">
      <c r="A958" s="1" t="n"/>
      <c r="B958" s="1" t="n"/>
      <c r="C958" s="2" t="n"/>
      <c r="E958" s="130">
        <f>IF($F958="","","MVT-"&amp;TEXT(ROW()-6,"0000"))</f>
        <v/>
      </c>
      <c r="F958" s="134" t="n"/>
      <c r="G958" s="127" t="n"/>
      <c r="H958" s="130">
        <f>IF($G958="","",IFERROR(INDEX(FOU_Article,MATCH($G958,FOU_Code,0)),"⚠ Code inconnu"))</f>
        <v/>
      </c>
      <c r="I958" s="127" t="n"/>
      <c r="J958" s="128" t="n"/>
      <c r="K958" s="127" t="n"/>
      <c r="L958" s="127" t="n"/>
    </row>
    <row r="959" ht="21" customHeight="1">
      <c r="A959" s="1" t="n"/>
      <c r="B959" s="1" t="n"/>
      <c r="C959" s="2" t="n"/>
      <c r="E959" s="130">
        <f>IF($F959="","","MVT-"&amp;TEXT(ROW()-6,"0000"))</f>
        <v/>
      </c>
      <c r="F959" s="134" t="n"/>
      <c r="G959" s="127" t="n"/>
      <c r="H959" s="130">
        <f>IF($G959="","",IFERROR(INDEX(FOU_Article,MATCH($G959,FOU_Code,0)),"⚠ Code inconnu"))</f>
        <v/>
      </c>
      <c r="I959" s="127" t="n"/>
      <c r="J959" s="128" t="n"/>
      <c r="K959" s="127" t="n"/>
      <c r="L959" s="127" t="n"/>
    </row>
    <row r="960" ht="21" customHeight="1">
      <c r="A960" s="1" t="n"/>
      <c r="B960" s="1" t="n"/>
      <c r="C960" s="2" t="n"/>
      <c r="E960" s="130">
        <f>IF($F960="","","MVT-"&amp;TEXT(ROW()-6,"0000"))</f>
        <v/>
      </c>
      <c r="F960" s="134" t="n"/>
      <c r="G960" s="127" t="n"/>
      <c r="H960" s="130">
        <f>IF($G960="","",IFERROR(INDEX(FOU_Article,MATCH($G960,FOU_Code,0)),"⚠ Code inconnu"))</f>
        <v/>
      </c>
      <c r="I960" s="127" t="n"/>
      <c r="J960" s="128" t="n"/>
      <c r="K960" s="127" t="n"/>
      <c r="L960" s="127" t="n"/>
    </row>
    <row r="961" ht="21" customHeight="1">
      <c r="A961" s="1" t="n"/>
      <c r="B961" s="1" t="n"/>
      <c r="C961" s="2" t="n"/>
      <c r="E961" s="130">
        <f>IF($F961="","","MVT-"&amp;TEXT(ROW()-6,"0000"))</f>
        <v/>
      </c>
      <c r="F961" s="134" t="n"/>
      <c r="G961" s="127" t="n"/>
      <c r="H961" s="130">
        <f>IF($G961="","",IFERROR(INDEX(FOU_Article,MATCH($G961,FOU_Code,0)),"⚠ Code inconnu"))</f>
        <v/>
      </c>
      <c r="I961" s="127" t="n"/>
      <c r="J961" s="128" t="n"/>
      <c r="K961" s="127" t="n"/>
      <c r="L961" s="127" t="n"/>
    </row>
    <row r="962" ht="21" customHeight="1">
      <c r="A962" s="1" t="n"/>
      <c r="B962" s="1" t="n"/>
      <c r="C962" s="2" t="n"/>
      <c r="E962" s="130">
        <f>IF($F962="","","MVT-"&amp;TEXT(ROW()-6,"0000"))</f>
        <v/>
      </c>
      <c r="F962" s="134" t="n"/>
      <c r="G962" s="127" t="n"/>
      <c r="H962" s="130">
        <f>IF($G962="","",IFERROR(INDEX(FOU_Article,MATCH($G962,FOU_Code,0)),"⚠ Code inconnu"))</f>
        <v/>
      </c>
      <c r="I962" s="127" t="n"/>
      <c r="J962" s="128" t="n"/>
      <c r="K962" s="127" t="n"/>
      <c r="L962" s="127" t="n"/>
    </row>
    <row r="963" ht="21" customHeight="1">
      <c r="A963" s="1" t="n"/>
      <c r="B963" s="1" t="n"/>
      <c r="C963" s="2" t="n"/>
      <c r="E963" s="130">
        <f>IF($F963="","","MVT-"&amp;TEXT(ROW()-6,"0000"))</f>
        <v/>
      </c>
      <c r="F963" s="134" t="n"/>
      <c r="G963" s="127" t="n"/>
      <c r="H963" s="130">
        <f>IF($G963="","",IFERROR(INDEX(FOU_Article,MATCH($G963,FOU_Code,0)),"⚠ Code inconnu"))</f>
        <v/>
      </c>
      <c r="I963" s="127" t="n"/>
      <c r="J963" s="128" t="n"/>
      <c r="K963" s="127" t="n"/>
      <c r="L963" s="127" t="n"/>
    </row>
    <row r="964" ht="21" customHeight="1">
      <c r="A964" s="1" t="n"/>
      <c r="B964" s="1" t="n"/>
      <c r="C964" s="2" t="n"/>
      <c r="E964" s="130">
        <f>IF($F964="","","MVT-"&amp;TEXT(ROW()-6,"0000"))</f>
        <v/>
      </c>
      <c r="F964" s="134" t="n"/>
      <c r="G964" s="127" t="n"/>
      <c r="H964" s="130">
        <f>IF($G964="","",IFERROR(INDEX(FOU_Article,MATCH($G964,FOU_Code,0)),"⚠ Code inconnu"))</f>
        <v/>
      </c>
      <c r="I964" s="127" t="n"/>
      <c r="J964" s="128" t="n"/>
      <c r="K964" s="127" t="n"/>
      <c r="L964" s="127" t="n"/>
    </row>
    <row r="965" ht="21" customHeight="1">
      <c r="A965" s="1" t="n"/>
      <c r="B965" s="1" t="n"/>
      <c r="C965" s="2" t="n"/>
      <c r="E965" s="130">
        <f>IF($F965="","","MVT-"&amp;TEXT(ROW()-6,"0000"))</f>
        <v/>
      </c>
      <c r="F965" s="134" t="n"/>
      <c r="G965" s="127" t="n"/>
      <c r="H965" s="130">
        <f>IF($G965="","",IFERROR(INDEX(FOU_Article,MATCH($G965,FOU_Code,0)),"⚠ Code inconnu"))</f>
        <v/>
      </c>
      <c r="I965" s="127" t="n"/>
      <c r="J965" s="128" t="n"/>
      <c r="K965" s="127" t="n"/>
      <c r="L965" s="127" t="n"/>
    </row>
    <row r="966" ht="21" customHeight="1">
      <c r="A966" s="1" t="n"/>
      <c r="B966" s="1" t="n"/>
      <c r="C966" s="2" t="n"/>
      <c r="E966" s="130">
        <f>IF($F966="","","MVT-"&amp;TEXT(ROW()-6,"0000"))</f>
        <v/>
      </c>
      <c r="F966" s="134" t="n"/>
      <c r="G966" s="127" t="n"/>
      <c r="H966" s="130">
        <f>IF($G966="","",IFERROR(INDEX(FOU_Article,MATCH($G966,FOU_Code,0)),"⚠ Code inconnu"))</f>
        <v/>
      </c>
      <c r="I966" s="127" t="n"/>
      <c r="J966" s="128" t="n"/>
      <c r="K966" s="127" t="n"/>
      <c r="L966" s="127" t="n"/>
    </row>
    <row r="967" ht="21" customHeight="1">
      <c r="A967" s="1" t="n"/>
      <c r="B967" s="1" t="n"/>
      <c r="C967" s="2" t="n"/>
      <c r="E967" s="130">
        <f>IF($F967="","","MVT-"&amp;TEXT(ROW()-6,"0000"))</f>
        <v/>
      </c>
      <c r="F967" s="134" t="n"/>
      <c r="G967" s="127" t="n"/>
      <c r="H967" s="130">
        <f>IF($G967="","",IFERROR(INDEX(FOU_Article,MATCH($G967,FOU_Code,0)),"⚠ Code inconnu"))</f>
        <v/>
      </c>
      <c r="I967" s="127" t="n"/>
      <c r="J967" s="128" t="n"/>
      <c r="K967" s="127" t="n"/>
      <c r="L967" s="127" t="n"/>
    </row>
    <row r="968" ht="21" customHeight="1">
      <c r="A968" s="1" t="n"/>
      <c r="B968" s="1" t="n"/>
      <c r="C968" s="2" t="n"/>
      <c r="E968" s="130">
        <f>IF($F968="","","MVT-"&amp;TEXT(ROW()-6,"0000"))</f>
        <v/>
      </c>
      <c r="F968" s="134" t="n"/>
      <c r="G968" s="127" t="n"/>
      <c r="H968" s="130">
        <f>IF($G968="","",IFERROR(INDEX(FOU_Article,MATCH($G968,FOU_Code,0)),"⚠ Code inconnu"))</f>
        <v/>
      </c>
      <c r="I968" s="127" t="n"/>
      <c r="J968" s="128" t="n"/>
      <c r="K968" s="127" t="n"/>
      <c r="L968" s="127" t="n"/>
    </row>
    <row r="969" ht="21" customHeight="1">
      <c r="A969" s="1" t="n"/>
      <c r="B969" s="1" t="n"/>
      <c r="C969" s="2" t="n"/>
      <c r="E969" s="130">
        <f>IF($F969="","","MVT-"&amp;TEXT(ROW()-6,"0000"))</f>
        <v/>
      </c>
      <c r="F969" s="134" t="n"/>
      <c r="G969" s="127" t="n"/>
      <c r="H969" s="130">
        <f>IF($G969="","",IFERROR(INDEX(FOU_Article,MATCH($G969,FOU_Code,0)),"⚠ Code inconnu"))</f>
        <v/>
      </c>
      <c r="I969" s="127" t="n"/>
      <c r="J969" s="128" t="n"/>
      <c r="K969" s="127" t="n"/>
      <c r="L969" s="127" t="n"/>
    </row>
    <row r="970" ht="21" customHeight="1">
      <c r="A970" s="1" t="n"/>
      <c r="B970" s="1" t="n"/>
      <c r="C970" s="2" t="n"/>
      <c r="E970" s="130">
        <f>IF($F970="","","MVT-"&amp;TEXT(ROW()-6,"0000"))</f>
        <v/>
      </c>
      <c r="F970" s="134" t="n"/>
      <c r="G970" s="127" t="n"/>
      <c r="H970" s="130">
        <f>IF($G970="","",IFERROR(INDEX(FOU_Article,MATCH($G970,FOU_Code,0)),"⚠ Code inconnu"))</f>
        <v/>
      </c>
      <c r="I970" s="127" t="n"/>
      <c r="J970" s="128" t="n"/>
      <c r="K970" s="127" t="n"/>
      <c r="L970" s="127" t="n"/>
    </row>
    <row r="971" ht="21" customHeight="1">
      <c r="A971" s="1" t="n"/>
      <c r="B971" s="1" t="n"/>
      <c r="C971" s="2" t="n"/>
      <c r="E971" s="130">
        <f>IF($F971="","","MVT-"&amp;TEXT(ROW()-6,"0000"))</f>
        <v/>
      </c>
      <c r="F971" s="134" t="n"/>
      <c r="G971" s="127" t="n"/>
      <c r="H971" s="130">
        <f>IF($G971="","",IFERROR(INDEX(FOU_Article,MATCH($G971,FOU_Code,0)),"⚠ Code inconnu"))</f>
        <v/>
      </c>
      <c r="I971" s="127" t="n"/>
      <c r="J971" s="128" t="n"/>
      <c r="K971" s="127" t="n"/>
      <c r="L971" s="127" t="n"/>
    </row>
    <row r="972" ht="21" customHeight="1">
      <c r="A972" s="1" t="n"/>
      <c r="B972" s="1" t="n"/>
      <c r="C972" s="2" t="n"/>
      <c r="E972" s="130">
        <f>IF($F972="","","MVT-"&amp;TEXT(ROW()-6,"0000"))</f>
        <v/>
      </c>
      <c r="F972" s="134" t="n"/>
      <c r="G972" s="127" t="n"/>
      <c r="H972" s="130">
        <f>IF($G972="","",IFERROR(INDEX(FOU_Article,MATCH($G972,FOU_Code,0)),"⚠ Code inconnu"))</f>
        <v/>
      </c>
      <c r="I972" s="127" t="n"/>
      <c r="J972" s="128" t="n"/>
      <c r="K972" s="127" t="n"/>
      <c r="L972" s="127" t="n"/>
    </row>
    <row r="973" ht="21" customHeight="1">
      <c r="A973" s="1" t="n"/>
      <c r="B973" s="1" t="n"/>
      <c r="C973" s="2" t="n"/>
      <c r="E973" s="130">
        <f>IF($F973="","","MVT-"&amp;TEXT(ROW()-6,"0000"))</f>
        <v/>
      </c>
      <c r="F973" s="134" t="n"/>
      <c r="G973" s="127" t="n"/>
      <c r="H973" s="130">
        <f>IF($G973="","",IFERROR(INDEX(FOU_Article,MATCH($G973,FOU_Code,0)),"⚠ Code inconnu"))</f>
        <v/>
      </c>
      <c r="I973" s="127" t="n"/>
      <c r="J973" s="128" t="n"/>
      <c r="K973" s="127" t="n"/>
      <c r="L973" s="127" t="n"/>
    </row>
    <row r="974" ht="21" customHeight="1">
      <c r="A974" s="1" t="n"/>
      <c r="B974" s="1" t="n"/>
      <c r="C974" s="2" t="n"/>
      <c r="E974" s="130">
        <f>IF($F974="","","MVT-"&amp;TEXT(ROW()-6,"0000"))</f>
        <v/>
      </c>
      <c r="F974" s="134" t="n"/>
      <c r="G974" s="127" t="n"/>
      <c r="H974" s="130">
        <f>IF($G974="","",IFERROR(INDEX(FOU_Article,MATCH($G974,FOU_Code,0)),"⚠ Code inconnu"))</f>
        <v/>
      </c>
      <c r="I974" s="127" t="n"/>
      <c r="J974" s="128" t="n"/>
      <c r="K974" s="127" t="n"/>
      <c r="L974" s="127" t="n"/>
    </row>
    <row r="975" ht="21" customHeight="1">
      <c r="A975" s="1" t="n"/>
      <c r="B975" s="1" t="n"/>
      <c r="C975" s="2" t="n"/>
      <c r="E975" s="130">
        <f>IF($F975="","","MVT-"&amp;TEXT(ROW()-6,"0000"))</f>
        <v/>
      </c>
      <c r="F975" s="134" t="n"/>
      <c r="G975" s="127" t="n"/>
      <c r="H975" s="130">
        <f>IF($G975="","",IFERROR(INDEX(FOU_Article,MATCH($G975,FOU_Code,0)),"⚠ Code inconnu"))</f>
        <v/>
      </c>
      <c r="I975" s="127" t="n"/>
      <c r="J975" s="128" t="n"/>
      <c r="K975" s="127" t="n"/>
      <c r="L975" s="127" t="n"/>
    </row>
    <row r="976" ht="21" customHeight="1">
      <c r="A976" s="1" t="n"/>
      <c r="B976" s="1" t="n"/>
      <c r="C976" s="2" t="n"/>
      <c r="E976" s="130">
        <f>IF($F976="","","MVT-"&amp;TEXT(ROW()-6,"0000"))</f>
        <v/>
      </c>
      <c r="F976" s="134" t="n"/>
      <c r="G976" s="127" t="n"/>
      <c r="H976" s="130">
        <f>IF($G976="","",IFERROR(INDEX(FOU_Article,MATCH($G976,FOU_Code,0)),"⚠ Code inconnu"))</f>
        <v/>
      </c>
      <c r="I976" s="127" t="n"/>
      <c r="J976" s="128" t="n"/>
      <c r="K976" s="127" t="n"/>
      <c r="L976" s="127" t="n"/>
    </row>
    <row r="977" ht="21" customHeight="1">
      <c r="A977" s="1" t="n"/>
      <c r="B977" s="1" t="n"/>
      <c r="C977" s="2" t="n"/>
      <c r="E977" s="130">
        <f>IF($F977="","","MVT-"&amp;TEXT(ROW()-6,"0000"))</f>
        <v/>
      </c>
      <c r="F977" s="134" t="n"/>
      <c r="G977" s="127" t="n"/>
      <c r="H977" s="130">
        <f>IF($G977="","",IFERROR(INDEX(FOU_Article,MATCH($G977,FOU_Code,0)),"⚠ Code inconnu"))</f>
        <v/>
      </c>
      <c r="I977" s="127" t="n"/>
      <c r="J977" s="128" t="n"/>
      <c r="K977" s="127" t="n"/>
      <c r="L977" s="127" t="n"/>
    </row>
    <row r="978" ht="21" customHeight="1">
      <c r="A978" s="1" t="n"/>
      <c r="B978" s="1" t="n"/>
      <c r="C978" s="2" t="n"/>
      <c r="E978" s="130">
        <f>IF($F978="","","MVT-"&amp;TEXT(ROW()-6,"0000"))</f>
        <v/>
      </c>
      <c r="F978" s="134" t="n"/>
      <c r="G978" s="127" t="n"/>
      <c r="H978" s="130">
        <f>IF($G978="","",IFERROR(INDEX(FOU_Article,MATCH($G978,FOU_Code,0)),"⚠ Code inconnu"))</f>
        <v/>
      </c>
      <c r="I978" s="127" t="n"/>
      <c r="J978" s="128" t="n"/>
      <c r="K978" s="127" t="n"/>
      <c r="L978" s="127" t="n"/>
    </row>
    <row r="979" ht="21" customHeight="1">
      <c r="A979" s="1" t="n"/>
      <c r="B979" s="1" t="n"/>
      <c r="C979" s="2" t="n"/>
      <c r="E979" s="130">
        <f>IF($F979="","","MVT-"&amp;TEXT(ROW()-6,"0000"))</f>
        <v/>
      </c>
      <c r="F979" s="134" t="n"/>
      <c r="G979" s="127" t="n"/>
      <c r="H979" s="130">
        <f>IF($G979="","",IFERROR(INDEX(FOU_Article,MATCH($G979,FOU_Code,0)),"⚠ Code inconnu"))</f>
        <v/>
      </c>
      <c r="I979" s="127" t="n"/>
      <c r="J979" s="128" t="n"/>
      <c r="K979" s="127" t="n"/>
      <c r="L979" s="127" t="n"/>
    </row>
    <row r="980" ht="21" customHeight="1">
      <c r="A980" s="1" t="n"/>
      <c r="B980" s="1" t="n"/>
      <c r="C980" s="2" t="n"/>
      <c r="E980" s="130">
        <f>IF($F980="","","MVT-"&amp;TEXT(ROW()-6,"0000"))</f>
        <v/>
      </c>
      <c r="F980" s="134" t="n"/>
      <c r="G980" s="127" t="n"/>
      <c r="H980" s="130">
        <f>IF($G980="","",IFERROR(INDEX(FOU_Article,MATCH($G980,FOU_Code,0)),"⚠ Code inconnu"))</f>
        <v/>
      </c>
      <c r="I980" s="127" t="n"/>
      <c r="J980" s="128" t="n"/>
      <c r="K980" s="127" t="n"/>
      <c r="L980" s="127" t="n"/>
    </row>
    <row r="981" ht="21" customHeight="1">
      <c r="A981" s="1" t="n"/>
      <c r="B981" s="1" t="n"/>
      <c r="C981" s="2" t="n"/>
      <c r="E981" s="130">
        <f>IF($F981="","","MVT-"&amp;TEXT(ROW()-6,"0000"))</f>
        <v/>
      </c>
      <c r="F981" s="134" t="n"/>
      <c r="G981" s="127" t="n"/>
      <c r="H981" s="130">
        <f>IF($G981="","",IFERROR(INDEX(FOU_Article,MATCH($G981,FOU_Code,0)),"⚠ Code inconnu"))</f>
        <v/>
      </c>
      <c r="I981" s="127" t="n"/>
      <c r="J981" s="128" t="n"/>
      <c r="K981" s="127" t="n"/>
      <c r="L981" s="127" t="n"/>
    </row>
    <row r="982" ht="21" customHeight="1">
      <c r="A982" s="1" t="n"/>
      <c r="B982" s="1" t="n"/>
      <c r="C982" s="2" t="n"/>
      <c r="E982" s="130">
        <f>IF($F982="","","MVT-"&amp;TEXT(ROW()-6,"0000"))</f>
        <v/>
      </c>
      <c r="F982" s="134" t="n"/>
      <c r="G982" s="127" t="n"/>
      <c r="H982" s="130">
        <f>IF($G982="","",IFERROR(INDEX(FOU_Article,MATCH($G982,FOU_Code,0)),"⚠ Code inconnu"))</f>
        <v/>
      </c>
      <c r="I982" s="127" t="n"/>
      <c r="J982" s="128" t="n"/>
      <c r="K982" s="127" t="n"/>
      <c r="L982" s="127" t="n"/>
    </row>
    <row r="983" ht="21" customHeight="1">
      <c r="A983" s="1" t="n"/>
      <c r="B983" s="1" t="n"/>
      <c r="C983" s="2" t="n"/>
      <c r="E983" s="130">
        <f>IF($F983="","","MVT-"&amp;TEXT(ROW()-6,"0000"))</f>
        <v/>
      </c>
      <c r="F983" s="134" t="n"/>
      <c r="G983" s="127" t="n"/>
      <c r="H983" s="130">
        <f>IF($G983="","",IFERROR(INDEX(FOU_Article,MATCH($G983,FOU_Code,0)),"⚠ Code inconnu"))</f>
        <v/>
      </c>
      <c r="I983" s="127" t="n"/>
      <c r="J983" s="128" t="n"/>
      <c r="K983" s="127" t="n"/>
      <c r="L983" s="127" t="n"/>
    </row>
    <row r="984" ht="21" customHeight="1">
      <c r="A984" s="1" t="n"/>
      <c r="B984" s="1" t="n"/>
      <c r="C984" s="2" t="n"/>
      <c r="E984" s="130">
        <f>IF($F984="","","MVT-"&amp;TEXT(ROW()-6,"0000"))</f>
        <v/>
      </c>
      <c r="F984" s="134" t="n"/>
      <c r="G984" s="127" t="n"/>
      <c r="H984" s="130">
        <f>IF($G984="","",IFERROR(INDEX(FOU_Article,MATCH($G984,FOU_Code,0)),"⚠ Code inconnu"))</f>
        <v/>
      </c>
      <c r="I984" s="127" t="n"/>
      <c r="J984" s="128" t="n"/>
      <c r="K984" s="127" t="n"/>
      <c r="L984" s="127" t="n"/>
    </row>
    <row r="985" ht="21" customHeight="1">
      <c r="A985" s="1" t="n"/>
      <c r="B985" s="1" t="n"/>
      <c r="C985" s="2" t="n"/>
      <c r="E985" s="130">
        <f>IF($F985="","","MVT-"&amp;TEXT(ROW()-6,"0000"))</f>
        <v/>
      </c>
      <c r="F985" s="134" t="n"/>
      <c r="G985" s="127" t="n"/>
      <c r="H985" s="130">
        <f>IF($G985="","",IFERROR(INDEX(FOU_Article,MATCH($G985,FOU_Code,0)),"⚠ Code inconnu"))</f>
        <v/>
      </c>
      <c r="I985" s="127" t="n"/>
      <c r="J985" s="128" t="n"/>
      <c r="K985" s="127" t="n"/>
      <c r="L985" s="127" t="n"/>
    </row>
    <row r="986" ht="21" customHeight="1">
      <c r="A986" s="1" t="n"/>
      <c r="B986" s="1" t="n"/>
      <c r="C986" s="2" t="n"/>
      <c r="E986" s="130">
        <f>IF($F986="","","MVT-"&amp;TEXT(ROW()-6,"0000"))</f>
        <v/>
      </c>
      <c r="F986" s="134" t="n"/>
      <c r="G986" s="127" t="n"/>
      <c r="H986" s="130">
        <f>IF($G986="","",IFERROR(INDEX(FOU_Article,MATCH($G986,FOU_Code,0)),"⚠ Code inconnu"))</f>
        <v/>
      </c>
      <c r="I986" s="127" t="n"/>
      <c r="J986" s="128" t="n"/>
      <c r="K986" s="127" t="n"/>
      <c r="L986" s="127" t="n"/>
    </row>
    <row r="987" ht="21" customHeight="1">
      <c r="A987" s="1" t="n"/>
      <c r="B987" s="1" t="n"/>
      <c r="C987" s="2" t="n"/>
      <c r="E987" s="130">
        <f>IF($F987="","","MVT-"&amp;TEXT(ROW()-6,"0000"))</f>
        <v/>
      </c>
      <c r="F987" s="134" t="n"/>
      <c r="G987" s="127" t="n"/>
      <c r="H987" s="130">
        <f>IF($G987="","",IFERROR(INDEX(FOU_Article,MATCH($G987,FOU_Code,0)),"⚠ Code inconnu"))</f>
        <v/>
      </c>
      <c r="I987" s="127" t="n"/>
      <c r="J987" s="128" t="n"/>
      <c r="K987" s="127" t="n"/>
      <c r="L987" s="127" t="n"/>
    </row>
    <row r="988" ht="21" customHeight="1">
      <c r="A988" s="1" t="n"/>
      <c r="B988" s="1" t="n"/>
      <c r="C988" s="2" t="n"/>
      <c r="E988" s="130">
        <f>IF($F988="","","MVT-"&amp;TEXT(ROW()-6,"0000"))</f>
        <v/>
      </c>
      <c r="F988" s="134" t="n"/>
      <c r="G988" s="127" t="n"/>
      <c r="H988" s="130">
        <f>IF($G988="","",IFERROR(INDEX(FOU_Article,MATCH($G988,FOU_Code,0)),"⚠ Code inconnu"))</f>
        <v/>
      </c>
      <c r="I988" s="127" t="n"/>
      <c r="J988" s="128" t="n"/>
      <c r="K988" s="127" t="n"/>
      <c r="L988" s="127" t="n"/>
    </row>
    <row r="989" ht="21" customHeight="1">
      <c r="A989" s="1" t="n"/>
      <c r="B989" s="1" t="n"/>
      <c r="C989" s="2" t="n"/>
      <c r="E989" s="130">
        <f>IF($F989="","","MVT-"&amp;TEXT(ROW()-6,"0000"))</f>
        <v/>
      </c>
      <c r="F989" s="134" t="n"/>
      <c r="G989" s="127" t="n"/>
      <c r="H989" s="130">
        <f>IF($G989="","",IFERROR(INDEX(FOU_Article,MATCH($G989,FOU_Code,0)),"⚠ Code inconnu"))</f>
        <v/>
      </c>
      <c r="I989" s="127" t="n"/>
      <c r="J989" s="128" t="n"/>
      <c r="K989" s="127" t="n"/>
      <c r="L989" s="127" t="n"/>
    </row>
    <row r="990" ht="21" customHeight="1">
      <c r="A990" s="1" t="n"/>
      <c r="B990" s="1" t="n"/>
      <c r="C990" s="2" t="n"/>
      <c r="E990" s="130">
        <f>IF($F990="","","MVT-"&amp;TEXT(ROW()-6,"0000"))</f>
        <v/>
      </c>
      <c r="F990" s="134" t="n"/>
      <c r="G990" s="127" t="n"/>
      <c r="H990" s="130">
        <f>IF($G990="","",IFERROR(INDEX(FOU_Article,MATCH($G990,FOU_Code,0)),"⚠ Code inconnu"))</f>
        <v/>
      </c>
      <c r="I990" s="127" t="n"/>
      <c r="J990" s="128" t="n"/>
      <c r="K990" s="127" t="n"/>
      <c r="L990" s="127" t="n"/>
    </row>
    <row r="991" ht="21" customHeight="1">
      <c r="A991" s="1" t="n"/>
      <c r="B991" s="1" t="n"/>
      <c r="C991" s="2" t="n"/>
      <c r="E991" s="130">
        <f>IF($F991="","","MVT-"&amp;TEXT(ROW()-6,"0000"))</f>
        <v/>
      </c>
      <c r="F991" s="134" t="n"/>
      <c r="G991" s="127" t="n"/>
      <c r="H991" s="130">
        <f>IF($G991="","",IFERROR(INDEX(FOU_Article,MATCH($G991,FOU_Code,0)),"⚠ Code inconnu"))</f>
        <v/>
      </c>
      <c r="I991" s="127" t="n"/>
      <c r="J991" s="128" t="n"/>
      <c r="K991" s="127" t="n"/>
      <c r="L991" s="127" t="n"/>
    </row>
    <row r="992" ht="21" customHeight="1">
      <c r="A992" s="1" t="n"/>
      <c r="B992" s="1" t="n"/>
      <c r="C992" s="2" t="n"/>
      <c r="E992" s="130">
        <f>IF($F992="","","MVT-"&amp;TEXT(ROW()-6,"0000"))</f>
        <v/>
      </c>
      <c r="F992" s="134" t="n"/>
      <c r="G992" s="127" t="n"/>
      <c r="H992" s="130">
        <f>IF($G992="","",IFERROR(INDEX(FOU_Article,MATCH($G992,FOU_Code,0)),"⚠ Code inconnu"))</f>
        <v/>
      </c>
      <c r="I992" s="127" t="n"/>
      <c r="J992" s="128" t="n"/>
      <c r="K992" s="127" t="n"/>
      <c r="L992" s="127" t="n"/>
    </row>
    <row r="993" ht="21" customHeight="1">
      <c r="A993" s="1" t="n"/>
      <c r="B993" s="1" t="n"/>
      <c r="C993" s="2" t="n"/>
      <c r="E993" s="130">
        <f>IF($F993="","","MVT-"&amp;TEXT(ROW()-6,"0000"))</f>
        <v/>
      </c>
      <c r="F993" s="134" t="n"/>
      <c r="G993" s="127" t="n"/>
      <c r="H993" s="130">
        <f>IF($G993="","",IFERROR(INDEX(FOU_Article,MATCH($G993,FOU_Code,0)),"⚠ Code inconnu"))</f>
        <v/>
      </c>
      <c r="I993" s="127" t="n"/>
      <c r="J993" s="128" t="n"/>
      <c r="K993" s="127" t="n"/>
      <c r="L993" s="127" t="n"/>
    </row>
    <row r="994" ht="21" customHeight="1">
      <c r="A994" s="1" t="n"/>
      <c r="B994" s="1" t="n"/>
      <c r="C994" s="2" t="n"/>
      <c r="E994" s="130">
        <f>IF($F994="","","MVT-"&amp;TEXT(ROW()-6,"0000"))</f>
        <v/>
      </c>
      <c r="F994" s="134" t="n"/>
      <c r="G994" s="127" t="n"/>
      <c r="H994" s="130">
        <f>IF($G994="","",IFERROR(INDEX(FOU_Article,MATCH($G994,FOU_Code,0)),"⚠ Code inconnu"))</f>
        <v/>
      </c>
      <c r="I994" s="127" t="n"/>
      <c r="J994" s="128" t="n"/>
      <c r="K994" s="127" t="n"/>
      <c r="L994" s="127" t="n"/>
    </row>
    <row r="995" ht="21" customHeight="1">
      <c r="A995" s="1" t="n"/>
      <c r="B995" s="1" t="n"/>
      <c r="C995" s="2" t="n"/>
      <c r="E995" s="130">
        <f>IF($F995="","","MVT-"&amp;TEXT(ROW()-6,"0000"))</f>
        <v/>
      </c>
      <c r="F995" s="134" t="n"/>
      <c r="G995" s="127" t="n"/>
      <c r="H995" s="130">
        <f>IF($G995="","",IFERROR(INDEX(FOU_Article,MATCH($G995,FOU_Code,0)),"⚠ Code inconnu"))</f>
        <v/>
      </c>
      <c r="I995" s="127" t="n"/>
      <c r="J995" s="128" t="n"/>
      <c r="K995" s="127" t="n"/>
      <c r="L995" s="127" t="n"/>
    </row>
    <row r="996" ht="21" customHeight="1">
      <c r="A996" s="1" t="n"/>
      <c r="B996" s="1" t="n"/>
      <c r="C996" s="2" t="n"/>
      <c r="E996" s="130">
        <f>IF($F996="","","MVT-"&amp;TEXT(ROW()-6,"0000"))</f>
        <v/>
      </c>
      <c r="F996" s="134" t="n"/>
      <c r="G996" s="127" t="n"/>
      <c r="H996" s="130">
        <f>IF($G996="","",IFERROR(INDEX(FOU_Article,MATCH($G996,FOU_Code,0)),"⚠ Code inconnu"))</f>
        <v/>
      </c>
      <c r="I996" s="127" t="n"/>
      <c r="J996" s="128" t="n"/>
      <c r="K996" s="127" t="n"/>
      <c r="L996" s="127" t="n"/>
    </row>
    <row r="997" ht="21" customHeight="1">
      <c r="A997" s="1" t="n"/>
      <c r="B997" s="1" t="n"/>
      <c r="C997" s="2" t="n"/>
      <c r="E997" s="130">
        <f>IF($F997="","","MVT-"&amp;TEXT(ROW()-6,"0000"))</f>
        <v/>
      </c>
      <c r="F997" s="134" t="n"/>
      <c r="G997" s="127" t="n"/>
      <c r="H997" s="130">
        <f>IF($G997="","",IFERROR(INDEX(FOU_Article,MATCH($G997,FOU_Code,0)),"⚠ Code inconnu"))</f>
        <v/>
      </c>
      <c r="I997" s="127" t="n"/>
      <c r="J997" s="128" t="n"/>
      <c r="K997" s="127" t="n"/>
      <c r="L997" s="127" t="n"/>
    </row>
    <row r="998" ht="21" customHeight="1">
      <c r="A998" s="1" t="n"/>
      <c r="B998" s="1" t="n"/>
      <c r="C998" s="2" t="n"/>
      <c r="E998" s="130">
        <f>IF($F998="","","MVT-"&amp;TEXT(ROW()-6,"0000"))</f>
        <v/>
      </c>
      <c r="F998" s="134" t="n"/>
      <c r="G998" s="127" t="n"/>
      <c r="H998" s="130">
        <f>IF($G998="","",IFERROR(INDEX(FOU_Article,MATCH($G998,FOU_Code,0)),"⚠ Code inconnu"))</f>
        <v/>
      </c>
      <c r="I998" s="127" t="n"/>
      <c r="J998" s="128" t="n"/>
      <c r="K998" s="127" t="n"/>
      <c r="L998" s="127" t="n"/>
    </row>
    <row r="999" ht="21" customHeight="1">
      <c r="A999" s="1" t="n"/>
      <c r="B999" s="1" t="n"/>
      <c r="C999" s="2" t="n"/>
      <c r="E999" s="130">
        <f>IF($F999="","","MVT-"&amp;TEXT(ROW()-6,"0000"))</f>
        <v/>
      </c>
      <c r="F999" s="134" t="n"/>
      <c r="G999" s="127" t="n"/>
      <c r="H999" s="130">
        <f>IF($G999="","",IFERROR(INDEX(FOU_Article,MATCH($G999,FOU_Code,0)),"⚠ Code inconnu"))</f>
        <v/>
      </c>
      <c r="I999" s="127" t="n"/>
      <c r="J999" s="128" t="n"/>
      <c r="K999" s="127" t="n"/>
      <c r="L999" s="127" t="n"/>
    </row>
    <row r="1000" ht="21" customHeight="1">
      <c r="A1000" s="1" t="n"/>
      <c r="B1000" s="1" t="n"/>
      <c r="C1000" s="2" t="n"/>
      <c r="E1000" s="130">
        <f>IF($F1000="","","MVT-"&amp;TEXT(ROW()-6,"0000"))</f>
        <v/>
      </c>
      <c r="F1000" s="134" t="n"/>
      <c r="G1000" s="127" t="n"/>
      <c r="H1000" s="130">
        <f>IF($G1000="","",IFERROR(INDEX(FOU_Article,MATCH($G1000,FOU_Code,0)),"⚠ Code inconnu"))</f>
        <v/>
      </c>
      <c r="I1000" s="127" t="n"/>
      <c r="J1000" s="128" t="n"/>
      <c r="K1000" s="127" t="n"/>
      <c r="L1000" s="127" t="n"/>
    </row>
    <row r="1001" ht="21" customHeight="1">
      <c r="A1001" s="1" t="n"/>
      <c r="B1001" s="1" t="n"/>
      <c r="C1001" s="2" t="n"/>
      <c r="E1001" s="130">
        <f>IF($F1001="","","MVT-"&amp;TEXT(ROW()-6,"0000"))</f>
        <v/>
      </c>
      <c r="F1001" s="134" t="n"/>
      <c r="G1001" s="127" t="n"/>
      <c r="H1001" s="130">
        <f>IF($G1001="","",IFERROR(INDEX(FOU_Article,MATCH($G1001,FOU_Code,0)),"⚠ Code inconnu"))</f>
        <v/>
      </c>
      <c r="I1001" s="127" t="n"/>
      <c r="J1001" s="128" t="n"/>
      <c r="K1001" s="127" t="n"/>
      <c r="L1001" s="127" t="n"/>
    </row>
    <row r="1002" ht="21" customHeight="1">
      <c r="A1002" s="1" t="n"/>
      <c r="B1002" s="1" t="n"/>
      <c r="C1002" s="2" t="n"/>
      <c r="E1002" s="130">
        <f>IF($F1002="","","MVT-"&amp;TEXT(ROW()-6,"0000"))</f>
        <v/>
      </c>
      <c r="F1002" s="134" t="n"/>
      <c r="G1002" s="127" t="n"/>
      <c r="H1002" s="130">
        <f>IF($G1002="","",IFERROR(INDEX(FOU_Article,MATCH($G1002,FOU_Code,0)),"⚠ Code inconnu"))</f>
        <v/>
      </c>
      <c r="I1002" s="127" t="n"/>
      <c r="J1002" s="128" t="n"/>
      <c r="K1002" s="127" t="n"/>
      <c r="L1002" s="127" t="n"/>
    </row>
    <row r="1003" ht="21" customHeight="1">
      <c r="A1003" s="1" t="n"/>
      <c r="B1003" s="1" t="n"/>
      <c r="C1003" s="2" t="n"/>
      <c r="E1003" s="130">
        <f>IF($F1003="","","MVT-"&amp;TEXT(ROW()-6,"0000"))</f>
        <v/>
      </c>
      <c r="F1003" s="134" t="n"/>
      <c r="G1003" s="127" t="n"/>
      <c r="H1003" s="130">
        <f>IF($G1003="","",IFERROR(INDEX(FOU_Article,MATCH($G1003,FOU_Code,0)),"⚠ Code inconnu"))</f>
        <v/>
      </c>
      <c r="I1003" s="127" t="n"/>
      <c r="J1003" s="128" t="n"/>
      <c r="K1003" s="127" t="n"/>
      <c r="L1003" s="127" t="n"/>
    </row>
    <row r="1004" ht="21" customHeight="1">
      <c r="A1004" s="1" t="n"/>
      <c r="B1004" s="1" t="n"/>
      <c r="C1004" s="2" t="n"/>
      <c r="E1004" s="130">
        <f>IF($F1004="","","MVT-"&amp;TEXT(ROW()-6,"0000"))</f>
        <v/>
      </c>
      <c r="F1004" s="134" t="n"/>
      <c r="G1004" s="127" t="n"/>
      <c r="H1004" s="130">
        <f>IF($G1004="","",IFERROR(INDEX(FOU_Article,MATCH($G1004,FOU_Code,0)),"⚠ Code inconnu"))</f>
        <v/>
      </c>
      <c r="I1004" s="127" t="n"/>
      <c r="J1004" s="128" t="n"/>
      <c r="K1004" s="127" t="n"/>
      <c r="L1004" s="127" t="n"/>
    </row>
    <row r="1005" ht="21" customHeight="1">
      <c r="A1005" s="1" t="n"/>
      <c r="B1005" s="1" t="n"/>
      <c r="C1005" s="2" t="n"/>
      <c r="E1005" s="130">
        <f>IF($F1005="","","MVT-"&amp;TEXT(ROW()-6,"0000"))</f>
        <v/>
      </c>
      <c r="F1005" s="134" t="n"/>
      <c r="G1005" s="127" t="n"/>
      <c r="H1005" s="130">
        <f>IF($G1005="","",IFERROR(INDEX(FOU_Article,MATCH($G1005,FOU_Code,0)),"⚠ Code inconnu"))</f>
        <v/>
      </c>
      <c r="I1005" s="127" t="n"/>
      <c r="J1005" s="128" t="n"/>
      <c r="K1005" s="127" t="n"/>
      <c r="L1005" s="127" t="n"/>
    </row>
    <row r="1006" ht="21" customHeight="1">
      <c r="A1006" s="1" t="n"/>
      <c r="B1006" s="1" t="n"/>
      <c r="C1006" s="2" t="n"/>
      <c r="E1006" s="130">
        <f>IF($F1006="","","MVT-"&amp;TEXT(ROW()-6,"0000"))</f>
        <v/>
      </c>
      <c r="F1006" s="134" t="n"/>
      <c r="G1006" s="127" t="n"/>
      <c r="H1006" s="130">
        <f>IF($G1006="","",IFERROR(INDEX(FOU_Article,MATCH($G1006,FOU_Code,0)),"⚠ Code inconnu"))</f>
        <v/>
      </c>
      <c r="I1006" s="127" t="n"/>
      <c r="J1006" s="128" t="n"/>
      <c r="K1006" s="127" t="n"/>
      <c r="L1006" s="127" t="n"/>
    </row>
    <row r="1007">
      <c r="A1007" s="1" t="n"/>
      <c r="B1007" s="1" t="n"/>
      <c r="C1007" s="2" t="n"/>
    </row>
    <row r="1008">
      <c r="A1008" s="1" t="n"/>
      <c r="B1008" s="1" t="n"/>
      <c r="C1008" s="2" t="n"/>
    </row>
  </sheetData>
  <autoFilter ref="E6:L1006"/>
  <mergeCells count="14">
    <mergeCell ref="B13:C13"/>
    <mergeCell ref="G4:H4"/>
    <mergeCell ref="E4:F4"/>
    <mergeCell ref="B16:C16"/>
    <mergeCell ref="I4:J4"/>
    <mergeCell ref="B15:C15"/>
    <mergeCell ref="B11:C11"/>
    <mergeCell ref="K2:L2"/>
    <mergeCell ref="I2:J2"/>
    <mergeCell ref="B10:C10"/>
    <mergeCell ref="B14:C14"/>
    <mergeCell ref="B9:C9"/>
    <mergeCell ref="B8:C8"/>
    <mergeCell ref="B12:C12"/>
  </mergeCells>
  <conditionalFormatting sqref="I7:I1006">
    <cfRule type="expression" priority="1" dxfId="2" stopIfTrue="1">
      <formula>OR($I7="Disponible",$I7="Rendu",$I7="En stock",$I7="Actif",$I7="Entrée",$I7="Oui")</formula>
    </cfRule>
    <cfRule type="expression" priority="2" dxfId="3" stopIfTrue="1">
      <formula>OR($I7="En retard",$I7="Rupture",$I7="Indisponible",$I7="Non")</formula>
    </cfRule>
    <cfRule type="expression" priority="3" dxfId="4" stopIfTrue="1">
      <formula>OR($I7="Stock faible",$I7="Dernier exemplaire",$I7="Rendu en retard",$I7="Limite atteinte",$I7="Sortie")</formula>
    </cfRule>
    <cfRule type="expression" priority="4" dxfId="5" stopIfTrue="1">
      <formula>OR($I7="En cours")</formula>
    </cfRule>
  </conditionalFormatting>
  <conditionalFormatting sqref="E7:L1006">
    <cfRule type="expression" priority="5" dxfId="6">
      <formula>AND($E7&lt;&gt;"",MOD(ROW(),2)=0)</formula>
    </cfRule>
  </conditionalFormatting>
  <dataValidations count="4">
    <dataValidation sqref="F7:F1006" showDropDown="0" showInputMessage="0" showErrorMessage="1" allowBlank="1" errorTitle="Date non valide" error="Saisissez une date au format jj/mm/aaaa." type="date" operator="greaterThan">
      <formula1>36526</formula1>
    </dataValidation>
    <dataValidation sqref="G7:G1006" showDropDown="0" showInputMessage="0" showErrorMessage="1" allowBlank="1" errorTitle="Valeur non valide" error="Ce code n'existe pas dans la feuille Fournitures." type="list">
      <formula1>=FOU_Code</formula1>
    </dataValidation>
    <dataValidation sqref="I7:I1006" showDropDown="0" showInputMessage="0" showErrorMessage="1" allowBlank="1" errorTitle="Valeur non valide" error="Choisissez Entrée ou Sortie." type="list">
      <formula1>=L_TypesMvt</formula1>
    </dataValidation>
    <dataValidation sqref="J7:J1006" showDropDown="0" showInputMessage="0" showErrorMessage="1" allowBlank="1" errorTitle="Nombre non valide" error="Saisissez un nombre entier ≥ 1." type="whole" operator="greaterThanOrEqual">
      <formula1>1</formula1>
    </dataValidation>
  </dataValidations>
  <pageMargins left="0.75" right="0.75" top="1" bottom="1"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tabColor rgb="0029ABE2"/>
    <outlinePr summaryBelow="1" summaryRight="1"/>
    <pageSetUpPr fitToPage="1"/>
  </sheetPr>
  <dimension ref="A1:J50"/>
  <sheetViews>
    <sheetView showGridLines="0" zoomScale="100" workbookViewId="0">
      <selection activeCell="A1" sqref="A1"/>
    </sheetView>
  </sheetViews>
  <sheetFormatPr baseColWidth="8" defaultRowHeight="15"/>
  <cols>
    <col width="1" customWidth="1" min="1" max="1"/>
    <col width="23" customWidth="1" min="2" max="2"/>
    <col width="12" customWidth="1" min="3" max="3"/>
    <col width="3" customWidth="1" min="4" max="4"/>
    <col width="12" customWidth="1" min="5" max="5"/>
    <col width="34" customWidth="1" min="6" max="6"/>
    <col width="26" customWidth="1" min="7" max="7"/>
    <col width="20" customWidth="1" min="8" max="8"/>
    <col width="13" customWidth="1" min="9" max="9"/>
    <col width="19" customWidth="1" min="10" max="10"/>
    <col width="4" customWidth="1" min="11" max="11"/>
  </cols>
  <sheetData>
    <row r="1" ht="8" customHeight="1">
      <c r="A1" s="1" t="n"/>
      <c r="B1" s="1" t="n"/>
      <c r="C1" s="2" t="n"/>
    </row>
    <row r="2" ht="32" customHeight="1">
      <c r="A2" s="1" t="n"/>
      <c r="B2" s="1" t="n"/>
      <c r="C2" s="2" t="n"/>
      <c r="E2" s="113" t="inlineStr">
        <is>
          <t>🔍  Recherche</t>
        </is>
      </c>
    </row>
    <row r="3" ht="18" customHeight="1">
      <c r="A3" s="1" t="n"/>
      <c r="B3" s="1" t="n"/>
      <c r="C3" s="2" t="n"/>
      <c r="E3" s="118" t="inlineStr">
        <is>
          <t>Tapez un titre, un auteur, un code, un ISBN ou un nom de membre dans la case bleue, puis appuyez sur Entrée.</t>
        </is>
      </c>
    </row>
    <row r="4" ht="12" customHeight="1">
      <c r="A4" s="1" t="n"/>
      <c r="B4" s="1" t="n"/>
      <c r="C4" s="2" t="n"/>
    </row>
    <row r="5" ht="34" customHeight="1">
      <c r="A5" s="1" t="n"/>
      <c r="B5" s="1" t="n"/>
      <c r="C5" s="2" t="n"/>
      <c r="E5" s="141" t="inlineStr">
        <is>
          <t>🔎</t>
        </is>
      </c>
      <c r="F5" s="142" t="inlineStr">
        <is>
          <t>Petit</t>
        </is>
      </c>
      <c r="G5" s="143" t="n"/>
      <c r="H5" s="143" t="n"/>
      <c r="I5" s="143" t="n"/>
      <c r="J5" s="144" t="n"/>
    </row>
    <row r="6" ht="14" customHeight="1">
      <c r="A6" s="1" t="n"/>
      <c r="B6" s="1" t="n"/>
      <c r="C6" s="2" t="n"/>
    </row>
    <row r="7">
      <c r="A7" s="1" t="n"/>
      <c r="B7" s="1" t="n"/>
      <c r="C7" s="2" t="n"/>
    </row>
    <row r="8" ht="26" customHeight="1">
      <c r="A8" s="1" t="n"/>
      <c r="B8" s="53">
        <f>HYPERLINK("#'Tableau de bord'!A1","▦   Tableau de bord")</f>
        <v/>
      </c>
      <c r="C8" s="54" t="n"/>
      <c r="E8" s="145" t="inlineStr">
        <is>
          <t>Livres trouvés</t>
        </is>
      </c>
      <c r="J8" s="146">
        <f>IF(Q_Rech="","",IF(COUNT(LIV_Rech)=0,"Aucun livre trouvé",COUNT(LIV_Rech)&amp;" résultat(s)"&amp;IF(COUNT(LIV_Rech)&gt;10," — 10 premiers","")))</f>
        <v/>
      </c>
    </row>
    <row r="9" ht="24" customHeight="1">
      <c r="A9" s="1" t="n"/>
      <c r="B9" s="53">
        <f>HYPERLINK("#'Livres'!A1","📚   Livres")</f>
        <v/>
      </c>
      <c r="C9" s="54" t="n"/>
      <c r="E9" s="147" t="inlineStr">
        <is>
          <t>Code</t>
        </is>
      </c>
      <c r="F9" s="147" t="inlineStr">
        <is>
          <t>Titre</t>
        </is>
      </c>
      <c r="G9" s="147" t="inlineStr">
        <is>
          <t>Auteur</t>
        </is>
      </c>
      <c r="H9" s="147" t="inlineStr">
        <is>
          <t>Catégorie</t>
        </is>
      </c>
      <c r="I9" s="147" t="inlineStr">
        <is>
          <t>Disponibles</t>
        </is>
      </c>
      <c r="J9" s="147" t="inlineStr">
        <is>
          <t>Statut</t>
        </is>
      </c>
    </row>
    <row r="10" ht="21" customHeight="1">
      <c r="A10" s="1" t="n"/>
      <c r="B10" s="53">
        <f>HYPERLINK("#'Membres'!A1","👥   Membres")</f>
        <v/>
      </c>
      <c r="C10" s="54" t="n"/>
      <c r="E10" s="148">
        <f>IFERROR(INDEX(LIV_Code,MATCH(1,LIV_Rech,0)),"")</f>
        <v/>
      </c>
      <c r="F10" s="149">
        <f>IFERROR(INDEX(LIV_Titre,MATCH(1,LIV_Rech,0)),"")</f>
        <v/>
      </c>
      <c r="G10" s="148">
        <f>IFERROR(INDEX(LIV_Auteur,MATCH(1,LIV_Rech,0)),"")</f>
        <v/>
      </c>
      <c r="H10" s="148">
        <f>IFERROR(INDEX(LIV_Cat,MATCH(1,LIV_Rech,0)),"")</f>
        <v/>
      </c>
      <c r="I10" s="150">
        <f>IFERROR(INDEX(LIV_Dispo,MATCH(1,LIV_Rech,0)),"")</f>
        <v/>
      </c>
      <c r="J10" s="148">
        <f>IFERROR(INDEX(LIV_Statut,MATCH(1,LIV_Rech,0)),"")</f>
        <v/>
      </c>
    </row>
    <row r="11" ht="21" customHeight="1">
      <c r="A11" s="1" t="n"/>
      <c r="B11" s="53">
        <f>HYPERLINK("#'Emprunts'!A1","🔄   Emprunts")</f>
        <v/>
      </c>
      <c r="C11" s="54" t="n"/>
      <c r="E11" s="151">
        <f>IFERROR(INDEX(LIV_Code,MATCH(2,LIV_Rech,0)),"")</f>
        <v/>
      </c>
      <c r="F11" s="152">
        <f>IFERROR(INDEX(LIV_Titre,MATCH(2,LIV_Rech,0)),"")</f>
        <v/>
      </c>
      <c r="G11" s="151">
        <f>IFERROR(INDEX(LIV_Auteur,MATCH(2,LIV_Rech,0)),"")</f>
        <v/>
      </c>
      <c r="H11" s="151">
        <f>IFERROR(INDEX(LIV_Cat,MATCH(2,LIV_Rech,0)),"")</f>
        <v/>
      </c>
      <c r="I11" s="153">
        <f>IFERROR(INDEX(LIV_Dispo,MATCH(2,LIV_Rech,0)),"")</f>
        <v/>
      </c>
      <c r="J11" s="151">
        <f>IFERROR(INDEX(LIV_Statut,MATCH(2,LIV_Rech,0)),"")</f>
        <v/>
      </c>
    </row>
    <row r="12" ht="21" customHeight="1">
      <c r="A12" s="1" t="n"/>
      <c r="B12" s="53">
        <f>HYPERLINK("#'Fournitures'!A1","📦   Fournitures")</f>
        <v/>
      </c>
      <c r="C12" s="54" t="n"/>
      <c r="E12" s="148">
        <f>IFERROR(INDEX(LIV_Code,MATCH(3,LIV_Rech,0)),"")</f>
        <v/>
      </c>
      <c r="F12" s="149">
        <f>IFERROR(INDEX(LIV_Titre,MATCH(3,LIV_Rech,0)),"")</f>
        <v/>
      </c>
      <c r="G12" s="148">
        <f>IFERROR(INDEX(LIV_Auteur,MATCH(3,LIV_Rech,0)),"")</f>
        <v/>
      </c>
      <c r="H12" s="148">
        <f>IFERROR(INDEX(LIV_Cat,MATCH(3,LIV_Rech,0)),"")</f>
        <v/>
      </c>
      <c r="I12" s="150">
        <f>IFERROR(INDEX(LIV_Dispo,MATCH(3,LIV_Rech,0)),"")</f>
        <v/>
      </c>
      <c r="J12" s="148">
        <f>IFERROR(INDEX(LIV_Statut,MATCH(3,LIV_Rech,0)),"")</f>
        <v/>
      </c>
    </row>
    <row r="13" ht="21" customHeight="1">
      <c r="A13" s="1" t="n"/>
      <c r="B13" s="53">
        <f>HYPERLINK("#'Mouvements'!A1","↕   Mouvements de stock")</f>
        <v/>
      </c>
      <c r="C13" s="54" t="n"/>
      <c r="E13" s="151">
        <f>IFERROR(INDEX(LIV_Code,MATCH(4,LIV_Rech,0)),"")</f>
        <v/>
      </c>
      <c r="F13" s="152">
        <f>IFERROR(INDEX(LIV_Titre,MATCH(4,LIV_Rech,0)),"")</f>
        <v/>
      </c>
      <c r="G13" s="151">
        <f>IFERROR(INDEX(LIV_Auteur,MATCH(4,LIV_Rech,0)),"")</f>
        <v/>
      </c>
      <c r="H13" s="151">
        <f>IFERROR(INDEX(LIV_Cat,MATCH(4,LIV_Rech,0)),"")</f>
        <v/>
      </c>
      <c r="I13" s="153">
        <f>IFERROR(INDEX(LIV_Dispo,MATCH(4,LIV_Rech,0)),"")</f>
        <v/>
      </c>
      <c r="J13" s="151">
        <f>IFERROR(INDEX(LIV_Statut,MATCH(4,LIV_Rech,0)),"")</f>
        <v/>
      </c>
    </row>
    <row r="14" ht="21" customHeight="1">
      <c r="A14" s="45" t="n"/>
      <c r="B14" s="46">
        <f>HYPERLINK("#'Recherche'!A1","🔍   Recherche")</f>
        <v/>
      </c>
      <c r="C14" s="47" t="n"/>
      <c r="E14" s="148">
        <f>IFERROR(INDEX(LIV_Code,MATCH(5,LIV_Rech,0)),"")</f>
        <v/>
      </c>
      <c r="F14" s="149">
        <f>IFERROR(INDEX(LIV_Titre,MATCH(5,LIV_Rech,0)),"")</f>
        <v/>
      </c>
      <c r="G14" s="148">
        <f>IFERROR(INDEX(LIV_Auteur,MATCH(5,LIV_Rech,0)),"")</f>
        <v/>
      </c>
      <c r="H14" s="148">
        <f>IFERROR(INDEX(LIV_Cat,MATCH(5,LIV_Rech,0)),"")</f>
        <v/>
      </c>
      <c r="I14" s="150">
        <f>IFERROR(INDEX(LIV_Dispo,MATCH(5,LIV_Rech,0)),"")</f>
        <v/>
      </c>
      <c r="J14" s="148">
        <f>IFERROR(INDEX(LIV_Statut,MATCH(5,LIV_Rech,0)),"")</f>
        <v/>
      </c>
    </row>
    <row r="15" ht="21" customHeight="1">
      <c r="A15" s="1" t="n"/>
      <c r="B15" s="53">
        <f>HYPERLINK("#'Rapport mensuel'!A1","🖨   Rapport mensuel")</f>
        <v/>
      </c>
      <c r="C15" s="54" t="n"/>
      <c r="E15" s="151">
        <f>IFERROR(INDEX(LIV_Code,MATCH(6,LIV_Rech,0)),"")</f>
        <v/>
      </c>
      <c r="F15" s="152">
        <f>IFERROR(INDEX(LIV_Titre,MATCH(6,LIV_Rech,0)),"")</f>
        <v/>
      </c>
      <c r="G15" s="151">
        <f>IFERROR(INDEX(LIV_Auteur,MATCH(6,LIV_Rech,0)),"")</f>
        <v/>
      </c>
      <c r="H15" s="151">
        <f>IFERROR(INDEX(LIV_Cat,MATCH(6,LIV_Rech,0)),"")</f>
        <v/>
      </c>
      <c r="I15" s="153">
        <f>IFERROR(INDEX(LIV_Dispo,MATCH(6,LIV_Rech,0)),"")</f>
        <v/>
      </c>
      <c r="J15" s="151">
        <f>IFERROR(INDEX(LIV_Statut,MATCH(6,LIV_Rech,0)),"")</f>
        <v/>
      </c>
    </row>
    <row r="16" ht="21" customHeight="1">
      <c r="A16" s="1" t="n"/>
      <c r="B16" s="53">
        <f>HYPERLINK("#'Paramètres'!A1","⚙   Paramètres")</f>
        <v/>
      </c>
      <c r="C16" s="54" t="n"/>
      <c r="E16" s="148">
        <f>IFERROR(INDEX(LIV_Code,MATCH(7,LIV_Rech,0)),"")</f>
        <v/>
      </c>
      <c r="F16" s="149">
        <f>IFERROR(INDEX(LIV_Titre,MATCH(7,LIV_Rech,0)),"")</f>
        <v/>
      </c>
      <c r="G16" s="148">
        <f>IFERROR(INDEX(LIV_Auteur,MATCH(7,LIV_Rech,0)),"")</f>
        <v/>
      </c>
      <c r="H16" s="148">
        <f>IFERROR(INDEX(LIV_Cat,MATCH(7,LIV_Rech,0)),"")</f>
        <v/>
      </c>
      <c r="I16" s="150">
        <f>IFERROR(INDEX(LIV_Dispo,MATCH(7,LIV_Rech,0)),"")</f>
        <v/>
      </c>
      <c r="J16" s="148">
        <f>IFERROR(INDEX(LIV_Statut,MATCH(7,LIV_Rech,0)),"")</f>
        <v/>
      </c>
    </row>
    <row r="17" ht="21" customHeight="1">
      <c r="A17" s="1" t="n"/>
      <c r="B17" s="1" t="n"/>
      <c r="C17" s="2" t="n"/>
      <c r="E17" s="151">
        <f>IFERROR(INDEX(LIV_Code,MATCH(8,LIV_Rech,0)),"")</f>
        <v/>
      </c>
      <c r="F17" s="152">
        <f>IFERROR(INDEX(LIV_Titre,MATCH(8,LIV_Rech,0)),"")</f>
        <v/>
      </c>
      <c r="G17" s="151">
        <f>IFERROR(INDEX(LIV_Auteur,MATCH(8,LIV_Rech,0)),"")</f>
        <v/>
      </c>
      <c r="H17" s="151">
        <f>IFERROR(INDEX(LIV_Cat,MATCH(8,LIV_Rech,0)),"")</f>
        <v/>
      </c>
      <c r="I17" s="153">
        <f>IFERROR(INDEX(LIV_Dispo,MATCH(8,LIV_Rech,0)),"")</f>
        <v/>
      </c>
      <c r="J17" s="151">
        <f>IFERROR(INDEX(LIV_Statut,MATCH(8,LIV_Rech,0)),"")</f>
        <v/>
      </c>
    </row>
    <row r="18" ht="21" customHeight="1">
      <c r="A18" s="1" t="n"/>
      <c r="B18" s="1" t="n"/>
      <c r="C18" s="2" t="n"/>
      <c r="E18" s="148">
        <f>IFERROR(INDEX(LIV_Code,MATCH(9,LIV_Rech,0)),"")</f>
        <v/>
      </c>
      <c r="F18" s="149">
        <f>IFERROR(INDEX(LIV_Titre,MATCH(9,LIV_Rech,0)),"")</f>
        <v/>
      </c>
      <c r="G18" s="148">
        <f>IFERROR(INDEX(LIV_Auteur,MATCH(9,LIV_Rech,0)),"")</f>
        <v/>
      </c>
      <c r="H18" s="148">
        <f>IFERROR(INDEX(LIV_Cat,MATCH(9,LIV_Rech,0)),"")</f>
        <v/>
      </c>
      <c r="I18" s="150">
        <f>IFERROR(INDEX(LIV_Dispo,MATCH(9,LIV_Rech,0)),"")</f>
        <v/>
      </c>
      <c r="J18" s="148">
        <f>IFERROR(INDEX(LIV_Statut,MATCH(9,LIV_Rech,0)),"")</f>
        <v/>
      </c>
    </row>
    <row r="19" ht="21" customHeight="1">
      <c r="A19" s="1" t="n"/>
      <c r="B19" s="1" t="n"/>
      <c r="C19" s="2" t="n"/>
      <c r="E19" s="151">
        <f>IFERROR(INDEX(LIV_Code,MATCH(10,LIV_Rech,0)),"")</f>
        <v/>
      </c>
      <c r="F19" s="152">
        <f>IFERROR(INDEX(LIV_Titre,MATCH(10,LIV_Rech,0)),"")</f>
        <v/>
      </c>
      <c r="G19" s="151">
        <f>IFERROR(INDEX(LIV_Auteur,MATCH(10,LIV_Rech,0)),"")</f>
        <v/>
      </c>
      <c r="H19" s="151">
        <f>IFERROR(INDEX(LIV_Cat,MATCH(10,LIV_Rech,0)),"")</f>
        <v/>
      </c>
      <c r="I19" s="153">
        <f>IFERROR(INDEX(LIV_Dispo,MATCH(10,LIV_Rech,0)),"")</f>
        <v/>
      </c>
      <c r="J19" s="151">
        <f>IFERROR(INDEX(LIV_Statut,MATCH(10,LIV_Rech,0)),"")</f>
        <v/>
      </c>
    </row>
    <row r="20">
      <c r="A20" s="1" t="n"/>
      <c r="B20" s="1" t="n"/>
      <c r="C20" s="2" t="n"/>
    </row>
    <row r="21" ht="26" customHeight="1">
      <c r="A21" s="1" t="n"/>
      <c r="B21" s="1" t="n"/>
      <c r="C21" s="2" t="n"/>
      <c r="E21" s="145" t="inlineStr">
        <is>
          <t>Membres trouvés</t>
        </is>
      </c>
      <c r="J21" s="154">
        <f>IF(Q_Rech="","",IF(COUNT(MEM_Rech)=0,"Aucun membre trouvé",COUNT(MEM_Rech)&amp;" résultat(s)"&amp;IF(COUNT(MEM_Rech)&gt;10," — 10 premiers","")))</f>
        <v/>
      </c>
    </row>
    <row r="22" ht="24" customHeight="1">
      <c r="A22" s="1" t="n"/>
      <c r="B22" s="1" t="n"/>
      <c r="C22" s="2" t="n"/>
      <c r="E22" s="147" t="inlineStr">
        <is>
          <t>ID</t>
        </is>
      </c>
      <c r="F22" s="147" t="inlineStr">
        <is>
          <t>Nom complet</t>
        </is>
      </c>
      <c r="G22" s="147" t="inlineStr">
        <is>
          <t>Type</t>
        </is>
      </c>
      <c r="H22" s="147" t="inlineStr">
        <is>
          <t>Classe</t>
        </is>
      </c>
      <c r="I22" s="147" t="inlineStr">
        <is>
          <t>En cours</t>
        </is>
      </c>
      <c r="J22" s="147" t="inlineStr">
        <is>
          <t>Statut</t>
        </is>
      </c>
    </row>
    <row r="23" ht="21" customHeight="1">
      <c r="A23" s="1" t="n"/>
      <c r="B23" s="1" t="n"/>
      <c r="C23" s="2" t="n"/>
      <c r="E23" s="148">
        <f>IFERROR(INDEX(MEM_ID,MATCH(1,MEM_Rech,0)),"")</f>
        <v/>
      </c>
      <c r="F23" s="149">
        <f>IFERROR(INDEX(MEM_Nom,MATCH(1,MEM_Rech,0)),"")</f>
        <v/>
      </c>
      <c r="G23" s="148">
        <f>IFERROR(INDEX(MEM_Type,MATCH(1,MEM_Rech,0)),"")</f>
        <v/>
      </c>
      <c r="H23" s="148">
        <f>IFERROR(INDEX(MEM_Classe,MATCH(1,MEM_Rech,0)),"")</f>
        <v/>
      </c>
      <c r="I23" s="150">
        <f>IFERROR(INDEX(MEM_Cours,MATCH(1,MEM_Rech,0)),"")</f>
        <v/>
      </c>
      <c r="J23" s="148">
        <f>IFERROR(INDEX(MEM_Statut,MATCH(1,MEM_Rech,0)),"")</f>
        <v/>
      </c>
    </row>
    <row r="24" ht="21" customHeight="1">
      <c r="A24" s="1" t="n"/>
      <c r="B24" s="1" t="n"/>
      <c r="C24" s="2" t="n"/>
      <c r="E24" s="151">
        <f>IFERROR(INDEX(MEM_ID,MATCH(2,MEM_Rech,0)),"")</f>
        <v/>
      </c>
      <c r="F24" s="152">
        <f>IFERROR(INDEX(MEM_Nom,MATCH(2,MEM_Rech,0)),"")</f>
        <v/>
      </c>
      <c r="G24" s="151">
        <f>IFERROR(INDEX(MEM_Type,MATCH(2,MEM_Rech,0)),"")</f>
        <v/>
      </c>
      <c r="H24" s="151">
        <f>IFERROR(INDEX(MEM_Classe,MATCH(2,MEM_Rech,0)),"")</f>
        <v/>
      </c>
      <c r="I24" s="153">
        <f>IFERROR(INDEX(MEM_Cours,MATCH(2,MEM_Rech,0)),"")</f>
        <v/>
      </c>
      <c r="J24" s="151">
        <f>IFERROR(INDEX(MEM_Statut,MATCH(2,MEM_Rech,0)),"")</f>
        <v/>
      </c>
    </row>
    <row r="25" ht="21" customHeight="1">
      <c r="A25" s="1" t="n"/>
      <c r="B25" s="1" t="n"/>
      <c r="C25" s="2" t="n"/>
      <c r="E25" s="148">
        <f>IFERROR(INDEX(MEM_ID,MATCH(3,MEM_Rech,0)),"")</f>
        <v/>
      </c>
      <c r="F25" s="149">
        <f>IFERROR(INDEX(MEM_Nom,MATCH(3,MEM_Rech,0)),"")</f>
        <v/>
      </c>
      <c r="G25" s="148">
        <f>IFERROR(INDEX(MEM_Type,MATCH(3,MEM_Rech,0)),"")</f>
        <v/>
      </c>
      <c r="H25" s="148">
        <f>IFERROR(INDEX(MEM_Classe,MATCH(3,MEM_Rech,0)),"")</f>
        <v/>
      </c>
      <c r="I25" s="150">
        <f>IFERROR(INDEX(MEM_Cours,MATCH(3,MEM_Rech,0)),"")</f>
        <v/>
      </c>
      <c r="J25" s="148">
        <f>IFERROR(INDEX(MEM_Statut,MATCH(3,MEM_Rech,0)),"")</f>
        <v/>
      </c>
    </row>
    <row r="26" ht="21" customHeight="1">
      <c r="A26" s="1" t="n"/>
      <c r="B26" s="1" t="n"/>
      <c r="C26" s="2" t="n"/>
      <c r="E26" s="151">
        <f>IFERROR(INDEX(MEM_ID,MATCH(4,MEM_Rech,0)),"")</f>
        <v/>
      </c>
      <c r="F26" s="152">
        <f>IFERROR(INDEX(MEM_Nom,MATCH(4,MEM_Rech,0)),"")</f>
        <v/>
      </c>
      <c r="G26" s="151">
        <f>IFERROR(INDEX(MEM_Type,MATCH(4,MEM_Rech,0)),"")</f>
        <v/>
      </c>
      <c r="H26" s="151">
        <f>IFERROR(INDEX(MEM_Classe,MATCH(4,MEM_Rech,0)),"")</f>
        <v/>
      </c>
      <c r="I26" s="153">
        <f>IFERROR(INDEX(MEM_Cours,MATCH(4,MEM_Rech,0)),"")</f>
        <v/>
      </c>
      <c r="J26" s="151">
        <f>IFERROR(INDEX(MEM_Statut,MATCH(4,MEM_Rech,0)),"")</f>
        <v/>
      </c>
    </row>
    <row r="27" ht="21" customHeight="1">
      <c r="A27" s="1" t="n"/>
      <c r="B27" s="1" t="n"/>
      <c r="C27" s="2" t="n"/>
      <c r="E27" s="148">
        <f>IFERROR(INDEX(MEM_ID,MATCH(5,MEM_Rech,0)),"")</f>
        <v/>
      </c>
      <c r="F27" s="149">
        <f>IFERROR(INDEX(MEM_Nom,MATCH(5,MEM_Rech,0)),"")</f>
        <v/>
      </c>
      <c r="G27" s="148">
        <f>IFERROR(INDEX(MEM_Type,MATCH(5,MEM_Rech,0)),"")</f>
        <v/>
      </c>
      <c r="H27" s="148">
        <f>IFERROR(INDEX(MEM_Classe,MATCH(5,MEM_Rech,0)),"")</f>
        <v/>
      </c>
      <c r="I27" s="150">
        <f>IFERROR(INDEX(MEM_Cours,MATCH(5,MEM_Rech,0)),"")</f>
        <v/>
      </c>
      <c r="J27" s="148">
        <f>IFERROR(INDEX(MEM_Statut,MATCH(5,MEM_Rech,0)),"")</f>
        <v/>
      </c>
    </row>
    <row r="28" ht="21" customHeight="1">
      <c r="A28" s="1" t="n"/>
      <c r="B28" s="1" t="n"/>
      <c r="C28" s="2" t="n"/>
      <c r="E28" s="151">
        <f>IFERROR(INDEX(MEM_ID,MATCH(6,MEM_Rech,0)),"")</f>
        <v/>
      </c>
      <c r="F28" s="152">
        <f>IFERROR(INDEX(MEM_Nom,MATCH(6,MEM_Rech,0)),"")</f>
        <v/>
      </c>
      <c r="G28" s="151">
        <f>IFERROR(INDEX(MEM_Type,MATCH(6,MEM_Rech,0)),"")</f>
        <v/>
      </c>
      <c r="H28" s="151">
        <f>IFERROR(INDEX(MEM_Classe,MATCH(6,MEM_Rech,0)),"")</f>
        <v/>
      </c>
      <c r="I28" s="153">
        <f>IFERROR(INDEX(MEM_Cours,MATCH(6,MEM_Rech,0)),"")</f>
        <v/>
      </c>
      <c r="J28" s="151">
        <f>IFERROR(INDEX(MEM_Statut,MATCH(6,MEM_Rech,0)),"")</f>
        <v/>
      </c>
    </row>
    <row r="29" ht="21" customHeight="1">
      <c r="A29" s="1" t="n"/>
      <c r="B29" s="1" t="n"/>
      <c r="C29" s="2" t="n"/>
      <c r="E29" s="148">
        <f>IFERROR(INDEX(MEM_ID,MATCH(7,MEM_Rech,0)),"")</f>
        <v/>
      </c>
      <c r="F29" s="149">
        <f>IFERROR(INDEX(MEM_Nom,MATCH(7,MEM_Rech,0)),"")</f>
        <v/>
      </c>
      <c r="G29" s="148">
        <f>IFERROR(INDEX(MEM_Type,MATCH(7,MEM_Rech,0)),"")</f>
        <v/>
      </c>
      <c r="H29" s="148">
        <f>IFERROR(INDEX(MEM_Classe,MATCH(7,MEM_Rech,0)),"")</f>
        <v/>
      </c>
      <c r="I29" s="150">
        <f>IFERROR(INDEX(MEM_Cours,MATCH(7,MEM_Rech,0)),"")</f>
        <v/>
      </c>
      <c r="J29" s="148">
        <f>IFERROR(INDEX(MEM_Statut,MATCH(7,MEM_Rech,0)),"")</f>
        <v/>
      </c>
    </row>
    <row r="30" ht="21" customHeight="1">
      <c r="A30" s="1" t="n"/>
      <c r="B30" s="1" t="n"/>
      <c r="C30" s="2" t="n"/>
      <c r="E30" s="151">
        <f>IFERROR(INDEX(MEM_ID,MATCH(8,MEM_Rech,0)),"")</f>
        <v/>
      </c>
      <c r="F30" s="152">
        <f>IFERROR(INDEX(MEM_Nom,MATCH(8,MEM_Rech,0)),"")</f>
        <v/>
      </c>
      <c r="G30" s="151">
        <f>IFERROR(INDEX(MEM_Type,MATCH(8,MEM_Rech,0)),"")</f>
        <v/>
      </c>
      <c r="H30" s="151">
        <f>IFERROR(INDEX(MEM_Classe,MATCH(8,MEM_Rech,0)),"")</f>
        <v/>
      </c>
      <c r="I30" s="153">
        <f>IFERROR(INDEX(MEM_Cours,MATCH(8,MEM_Rech,0)),"")</f>
        <v/>
      </c>
      <c r="J30" s="151">
        <f>IFERROR(INDEX(MEM_Statut,MATCH(8,MEM_Rech,0)),"")</f>
        <v/>
      </c>
    </row>
    <row r="31" ht="21" customHeight="1">
      <c r="A31" s="1" t="n"/>
      <c r="B31" s="1" t="n"/>
      <c r="C31" s="2" t="n"/>
      <c r="E31" s="148">
        <f>IFERROR(INDEX(MEM_ID,MATCH(9,MEM_Rech,0)),"")</f>
        <v/>
      </c>
      <c r="F31" s="149">
        <f>IFERROR(INDEX(MEM_Nom,MATCH(9,MEM_Rech,0)),"")</f>
        <v/>
      </c>
      <c r="G31" s="148">
        <f>IFERROR(INDEX(MEM_Type,MATCH(9,MEM_Rech,0)),"")</f>
        <v/>
      </c>
      <c r="H31" s="148">
        <f>IFERROR(INDEX(MEM_Classe,MATCH(9,MEM_Rech,0)),"")</f>
        <v/>
      </c>
      <c r="I31" s="150">
        <f>IFERROR(INDEX(MEM_Cours,MATCH(9,MEM_Rech,0)),"")</f>
        <v/>
      </c>
      <c r="J31" s="148">
        <f>IFERROR(INDEX(MEM_Statut,MATCH(9,MEM_Rech,0)),"")</f>
        <v/>
      </c>
    </row>
    <row r="32" ht="21" customHeight="1">
      <c r="A32" s="1" t="n"/>
      <c r="B32" s="1" t="n"/>
      <c r="C32" s="2" t="n"/>
      <c r="E32" s="151">
        <f>IFERROR(INDEX(MEM_ID,MATCH(10,MEM_Rech,0)),"")</f>
        <v/>
      </c>
      <c r="F32" s="152">
        <f>IFERROR(INDEX(MEM_Nom,MATCH(10,MEM_Rech,0)),"")</f>
        <v/>
      </c>
      <c r="G32" s="151">
        <f>IFERROR(INDEX(MEM_Type,MATCH(10,MEM_Rech,0)),"")</f>
        <v/>
      </c>
      <c r="H32" s="151">
        <f>IFERROR(INDEX(MEM_Classe,MATCH(10,MEM_Rech,0)),"")</f>
        <v/>
      </c>
      <c r="I32" s="153">
        <f>IFERROR(INDEX(MEM_Cours,MATCH(10,MEM_Rech,0)),"")</f>
        <v/>
      </c>
      <c r="J32" s="151">
        <f>IFERROR(INDEX(MEM_Statut,MATCH(10,MEM_Rech,0)),"")</f>
        <v/>
      </c>
    </row>
    <row r="33">
      <c r="A33" s="1" t="n"/>
      <c r="B33" s="1" t="n"/>
      <c r="C33" s="2" t="n"/>
    </row>
    <row r="34">
      <c r="A34" s="1" t="n"/>
      <c r="B34" s="1" t="n"/>
      <c r="C34" s="2" t="n"/>
    </row>
    <row r="35">
      <c r="A35" s="1" t="n"/>
      <c r="B35" s="1" t="n"/>
      <c r="C35" s="2" t="n"/>
    </row>
    <row r="36">
      <c r="A36" s="1" t="n"/>
      <c r="B36" s="1" t="n"/>
      <c r="C36" s="2" t="n"/>
    </row>
    <row r="37">
      <c r="A37" s="1" t="n"/>
      <c r="B37" s="1" t="n"/>
      <c r="C37" s="2" t="n"/>
    </row>
    <row r="38">
      <c r="A38" s="1" t="n"/>
      <c r="B38" s="1" t="n"/>
      <c r="C38" s="2" t="n"/>
    </row>
    <row r="39">
      <c r="A39" s="1" t="n"/>
      <c r="B39" s="1" t="n"/>
      <c r="C39" s="2" t="n"/>
    </row>
    <row r="40">
      <c r="A40" s="1" t="n"/>
      <c r="B40" s="1" t="n"/>
      <c r="C40" s="2" t="n"/>
    </row>
    <row r="41">
      <c r="A41" s="1" t="n"/>
      <c r="B41" s="1" t="n"/>
      <c r="C41" s="2" t="n"/>
    </row>
    <row r="42">
      <c r="A42" s="1" t="n"/>
      <c r="B42" s="1" t="n"/>
      <c r="C42" s="2" t="n"/>
    </row>
    <row r="43">
      <c r="A43" s="1" t="n"/>
      <c r="B43" s="1" t="n"/>
      <c r="C43" s="2" t="n"/>
    </row>
    <row r="44">
      <c r="A44" s="1" t="n"/>
      <c r="B44" s="1" t="n"/>
      <c r="C44" s="2" t="n"/>
    </row>
    <row r="45">
      <c r="A45" s="1" t="n"/>
      <c r="B45" s="1" t="n"/>
      <c r="C45" s="2" t="n"/>
    </row>
    <row r="46">
      <c r="A46" s="1" t="n"/>
      <c r="B46" s="1" t="n"/>
      <c r="C46" s="2" t="n"/>
    </row>
    <row r="47">
      <c r="A47" s="1" t="n"/>
      <c r="B47" s="1" t="n"/>
      <c r="C47" s="2" t="n"/>
    </row>
    <row r="48">
      <c r="A48" s="1" t="n"/>
      <c r="B48" s="1" t="n"/>
      <c r="C48" s="2" t="n"/>
    </row>
    <row r="49">
      <c r="A49" s="1" t="n"/>
      <c r="B49" s="1" t="n"/>
      <c r="C49" s="2" t="n"/>
    </row>
    <row r="50">
      <c r="A50" s="1" t="n"/>
      <c r="B50" s="1" t="n"/>
      <c r="C50" s="2" t="n"/>
    </row>
  </sheetData>
  <mergeCells count="10">
    <mergeCell ref="B13:C13"/>
    <mergeCell ref="B16:C16"/>
    <mergeCell ref="B15:C15"/>
    <mergeCell ref="B11:C11"/>
    <mergeCell ref="B10:C10"/>
    <mergeCell ref="F5:J5"/>
    <mergeCell ref="B14:C14"/>
    <mergeCell ref="B9:C9"/>
    <mergeCell ref="B8:C8"/>
    <mergeCell ref="B12:C12"/>
  </mergeCells>
  <conditionalFormatting sqref="J10:J19">
    <cfRule type="expression" priority="1" dxfId="2" stopIfTrue="1">
      <formula>OR($J10="Disponible",$J10="Rendu",$J10="En stock",$J10="Actif",$J10="Entrée",$J10="Oui")</formula>
    </cfRule>
    <cfRule type="expression" priority="2" dxfId="3" stopIfTrue="1">
      <formula>OR($J10="En retard",$J10="Rupture",$J10="Indisponible",$J10="Non")</formula>
    </cfRule>
    <cfRule type="expression" priority="3" dxfId="4" stopIfTrue="1">
      <formula>OR($J10="Stock faible",$J10="Dernier exemplaire",$J10="Rendu en retard",$J10="Limite atteinte",$J10="Sortie")</formula>
    </cfRule>
    <cfRule type="expression" priority="4" dxfId="5" stopIfTrue="1">
      <formula>OR($J10="En cours")</formula>
    </cfRule>
  </conditionalFormatting>
  <conditionalFormatting sqref="J23:J32">
    <cfRule type="expression" priority="5" dxfId="2" stopIfTrue="1">
      <formula>OR($J23="Disponible",$J23="Rendu",$J23="En stock",$J23="Actif",$J23="Entrée",$J23="Oui")</formula>
    </cfRule>
    <cfRule type="expression" priority="6" dxfId="3" stopIfTrue="1">
      <formula>OR($J23="En retard",$J23="Rupture",$J23="Indisponible",$J23="Non")</formula>
    </cfRule>
    <cfRule type="expression" priority="7" dxfId="4" stopIfTrue="1">
      <formula>OR($J23="Stock faible",$J23="Dernier exemplaire",$J23="Rendu en retard",$J23="Limite atteinte",$J23="Sortie")</formula>
    </cfRule>
    <cfRule type="expression" priority="8" dxfId="5" stopIfTrue="1">
      <formula>OR($J23="En cours")</formula>
    </cfRule>
  </conditionalFormatting>
  <pageMargins left="0.75" right="0.75" top="1" bottom="1" header="0.5" footer="0.5"/>
  <pageSetup orientation="landscape" fitToHeight="0" fitToWidth="1"/>
  <drawing xmlns:r="http://schemas.openxmlformats.org/officeDocument/2006/relationships" r:id="rId1"/>
</worksheet>
</file>

<file path=xl/worksheets/sheet8.xml><?xml version="1.0" encoding="utf-8"?>
<worksheet xmlns="http://schemas.openxmlformats.org/spreadsheetml/2006/main">
  <sheetPr>
    <tabColor rgb="0039B54A"/>
    <outlinePr summaryBelow="1" summaryRight="1"/>
    <pageSetUpPr fitToPage="1"/>
  </sheetPr>
  <dimension ref="A1:P112"/>
  <sheetViews>
    <sheetView showGridLines="0" workbookViewId="0">
      <selection activeCell="A1" sqref="A1"/>
    </sheetView>
  </sheetViews>
  <sheetFormatPr baseColWidth="8" defaultRowHeight="15"/>
  <cols>
    <col width="1" customWidth="1" min="1" max="1"/>
    <col width="23" customWidth="1" min="2" max="2"/>
    <col width="12" customWidth="1" min="3" max="3"/>
    <col width="3" customWidth="1" min="4" max="4"/>
    <col width="15" customWidth="1" min="5" max="5"/>
    <col width="15"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2" customWidth="1" min="14" max="14"/>
    <col width="4" customWidth="1" min="15" max="15"/>
    <col hidden="1" width="12" customWidth="1" min="16" max="16"/>
  </cols>
  <sheetData>
    <row r="1" ht="8" customHeight="1">
      <c r="A1" s="1" t="n"/>
      <c r="B1" s="1" t="n"/>
      <c r="C1" s="2" t="n"/>
    </row>
    <row r="2" ht="30" customHeight="1">
      <c r="A2" s="1" t="n"/>
      <c r="B2" s="1" t="n"/>
      <c r="C2" s="2" t="n"/>
      <c r="F2" s="155" t="inlineStr">
        <is>
          <t>RAPPORT MENSUEL DE LA BIBLIOTHÈQUE</t>
        </is>
      </c>
    </row>
    <row r="3" ht="18" customHeight="1">
      <c r="A3" s="1" t="n"/>
      <c r="B3" s="1" t="n"/>
      <c r="C3" s="2" t="n"/>
      <c r="F3" s="156">
        <f>P_Ecole&amp;"  ·  Année scolaire "&amp;P_Annee</f>
        <v/>
      </c>
    </row>
    <row r="4" ht="26" customHeight="1">
      <c r="A4" s="1" t="n"/>
      <c r="B4" s="1" t="n"/>
      <c r="C4" s="2" t="n"/>
      <c r="F4" s="157" t="inlineStr">
        <is>
          <t>Mois :</t>
        </is>
      </c>
      <c r="G4" s="158" t="n">
        <v>46266</v>
      </c>
      <c r="H4" s="144" t="n"/>
      <c r="I4" s="159" t="inlineStr">
        <is>
          <t>◀ choisissez le mois dans la liste</t>
        </is>
      </c>
    </row>
    <row r="5" ht="18" customHeight="1">
      <c r="A5" s="1" t="n"/>
      <c r="B5" s="1" t="n"/>
      <c r="C5" s="2" t="n"/>
      <c r="F5" s="160" t="inlineStr">
        <is>
          <t>Période :</t>
        </is>
      </c>
      <c r="G5" s="161">
        <f>R_Mois</f>
        <v/>
      </c>
      <c r="I5" s="162">
        <f>EDATE(R_Mois,1)-1</f>
        <v/>
      </c>
      <c r="K5" s="163">
        <f>TODAY()</f>
        <v/>
      </c>
    </row>
    <row r="6" ht="4" customHeight="1">
      <c r="A6" s="1" t="n"/>
      <c r="B6" s="1" t="n"/>
      <c r="C6" s="2" t="n"/>
      <c r="E6" s="45" t="n"/>
      <c r="F6" s="45" t="n"/>
      <c r="G6" s="45" t="n"/>
      <c r="H6" s="45" t="n"/>
      <c r="I6" s="45" t="n"/>
      <c r="J6" s="45" t="n"/>
      <c r="K6" s="45" t="n"/>
      <c r="L6" s="45" t="n"/>
      <c r="M6" s="45" t="n"/>
      <c r="N6" s="45" t="n"/>
    </row>
    <row r="7" ht="4" customHeight="1">
      <c r="A7" s="1" t="n"/>
      <c r="B7" s="1" t="n"/>
      <c r="C7" s="2" t="n"/>
      <c r="E7" s="164" t="n"/>
      <c r="F7" s="164" t="n"/>
      <c r="G7" s="164" t="n"/>
      <c r="H7" s="164" t="n"/>
      <c r="I7" s="164" t="n"/>
      <c r="J7" s="164" t="n"/>
      <c r="K7" s="164" t="n"/>
      <c r="L7" s="164" t="n"/>
      <c r="M7" s="164" t="n"/>
      <c r="N7" s="164" t="n"/>
    </row>
    <row r="8" ht="14" customHeight="1">
      <c r="A8" s="1" t="n"/>
      <c r="B8" s="53">
        <f>HYPERLINK("#'Tableau de bord'!A1","▦   Tableau de bord")</f>
        <v/>
      </c>
      <c r="C8" s="54" t="n"/>
    </row>
    <row r="9" ht="26" customHeight="1">
      <c r="A9" s="1" t="n"/>
      <c r="B9" s="53">
        <f>HYPERLINK("#'Livres'!A1","📚   Livres")</f>
        <v/>
      </c>
      <c r="C9" s="54" t="n"/>
      <c r="E9" s="165" t="inlineStr">
        <is>
          <t>1.  Activité de la bibliothèque pendant le mois</t>
        </is>
      </c>
      <c r="F9" s="166" t="n"/>
      <c r="G9" s="166" t="n"/>
      <c r="H9" s="166" t="n"/>
      <c r="I9" s="166" t="n"/>
      <c r="J9" s="166" t="n"/>
      <c r="K9" s="166" t="n"/>
      <c r="L9" s="166" t="n"/>
      <c r="M9" s="166" t="n"/>
      <c r="N9" s="166" t="n"/>
    </row>
    <row r="10" ht="20" customHeight="1">
      <c r="A10" s="1" t="n"/>
      <c r="B10" s="53">
        <f>HYPERLINK("#'Membres'!A1","👥   Membres")</f>
        <v/>
      </c>
      <c r="C10" s="54" t="n"/>
    </row>
    <row r="11" ht="18" customHeight="1">
      <c r="A11" s="1" t="n"/>
      <c r="B11" s="53">
        <f>HYPERLINK("#'Emprunts'!A1","🔄   Emprunts")</f>
        <v/>
      </c>
      <c r="C11" s="54" t="n"/>
      <c r="E11" s="167" t="inlineStr">
        <is>
          <t>Emprunts du mois</t>
        </is>
      </c>
      <c r="F11" s="168" t="n"/>
      <c r="G11" s="167" t="inlineStr">
        <is>
          <t>Retours du mois</t>
        </is>
      </c>
      <c r="H11" s="168" t="n"/>
      <c r="I11" s="167" t="inlineStr">
        <is>
          <t>Retours en retard</t>
        </is>
      </c>
      <c r="J11" s="168" t="n"/>
      <c r="K11" s="167" t="inlineStr">
        <is>
          <t>Livres sortis (fin de mois)</t>
        </is>
      </c>
      <c r="L11" s="168" t="n"/>
      <c r="M11" s="167" t="inlineStr">
        <is>
          <t>En retard (fin de mois)</t>
        </is>
      </c>
      <c r="N11" s="168" t="n"/>
    </row>
    <row r="12" ht="28" customHeight="1">
      <c r="A12" s="1" t="n"/>
      <c r="B12" s="53">
        <f>HYPERLINK("#'Fournitures'!A1","📦   Fournitures")</f>
        <v/>
      </c>
      <c r="C12" s="54" t="n"/>
      <c r="E12" s="169">
        <f>COUNTIFS(EMP_Date,"&gt;="&amp;R_Mois,EMP_Date,"&lt;"&amp;EDATE(R_Mois,1))</f>
        <v/>
      </c>
      <c r="F12" s="170" t="n"/>
      <c r="G12" s="169">
        <f>COUNTIFS(EMP_Retour,"&gt;="&amp;R_Mois,EMP_Retour,"&lt;"&amp;EDATE(R_Mois,1))</f>
        <v/>
      </c>
      <c r="H12" s="170" t="n"/>
      <c r="I12" s="171">
        <f>COUNTIFS(EMP_Retour,"&gt;="&amp;R_Mois,EMP_Retour,"&lt;"&amp;EDATE(R_Mois,1),EMP_Statut,"Rendu en retard")</f>
        <v/>
      </c>
      <c r="J12" s="170" t="n"/>
      <c r="K12" s="169">
        <f>COUNTIFS(EMP_Date,"&lt;="&amp;(EDATE(R_Mois,1)-1))-COUNTIFS(EMP_Date,"&lt;="&amp;(EDATE(R_Mois,1)-1),EMP_Retour,"&lt;="&amp;(EDATE(R_Mois,1)-1))</f>
        <v/>
      </c>
      <c r="L12" s="170" t="n"/>
      <c r="M12" s="172">
        <f>COUNTIFS(EMP_Prevu,"&lt;"&amp;(EDATE(R_Mois,1)-1),EMP_Date,"&lt;="&amp;(EDATE(R_Mois,1)-1))-COUNTIFS(EMP_Prevu,"&lt;"&amp;(EDATE(R_Mois,1)-1),EMP_Retour,"&lt;="&amp;(EDATE(R_Mois,1)-1))</f>
        <v/>
      </c>
      <c r="N12" s="170" t="n"/>
    </row>
    <row r="13" ht="6" customHeight="1">
      <c r="A13" s="1" t="n"/>
      <c r="B13" s="53">
        <f>HYPERLINK("#'Mouvements'!A1","↕   Mouvements de stock")</f>
        <v/>
      </c>
      <c r="C13" s="54" t="n"/>
    </row>
    <row r="14" ht="18" customHeight="1">
      <c r="A14" s="1" t="n"/>
      <c r="B14" s="53">
        <f>HYPERLINK("#'Recherche'!A1","🔍   Recherche")</f>
        <v/>
      </c>
      <c r="C14" s="54" t="n"/>
      <c r="E14" s="167" t="inlineStr">
        <is>
          <t>Membres inscrits</t>
        </is>
      </c>
      <c r="F14" s="168" t="n"/>
      <c r="G14" s="167" t="inlineStr">
        <is>
          <t>Nouveaux membres</t>
        </is>
      </c>
      <c r="H14" s="168" t="n"/>
      <c r="I14" s="167" t="inlineStr">
        <is>
          <t>Titres au catalogue</t>
        </is>
      </c>
      <c r="J14" s="168" t="n"/>
      <c r="K14" s="167" t="inlineStr">
        <is>
          <t>Amendes du mois</t>
        </is>
      </c>
      <c r="L14" s="168" t="n"/>
      <c r="M14" s="167" t="inlineStr">
        <is>
          <t>dont encaissées</t>
        </is>
      </c>
      <c r="N14" s="168" t="n"/>
    </row>
    <row r="15" ht="28" customHeight="1">
      <c r="A15" s="45" t="n"/>
      <c r="B15" s="46">
        <f>HYPERLINK("#'Rapport mensuel'!A1","🖨   Rapport mensuel")</f>
        <v/>
      </c>
      <c r="C15" s="47" t="n"/>
      <c r="E15" s="169">
        <f>COUNTIFS(MEM_Insc,"&lt;="&amp;(EDATE(R_Mois,1)-1))</f>
        <v/>
      </c>
      <c r="F15" s="170" t="n"/>
      <c r="G15" s="169">
        <f>COUNTIFS(MEM_Insc,"&gt;="&amp;R_Mois,MEM_Insc,"&lt;="&amp;(EDATE(R_Mois,1)-1))</f>
        <v/>
      </c>
      <c r="H15" s="170" t="n"/>
      <c r="I15" s="169">
        <f>COUNTIF(LIV_Code,"?*")</f>
        <v/>
      </c>
      <c r="J15" s="170" t="n"/>
      <c r="K15" s="173">
        <f>SUMIFS(EMP_Amende,EMP_Retour,"&gt;="&amp;R_Mois,EMP_Retour,"&lt;"&amp;EDATE(R_Mois,1))</f>
        <v/>
      </c>
      <c r="L15" s="170" t="n"/>
      <c r="M15" s="174">
        <f>SUMIFS(EMP_Amende,EMP_Retour,"&gt;="&amp;R_Mois,EMP_Retour,"&lt;"&amp;EDATE(R_Mois,1),EMP_Paye,"Oui")</f>
        <v/>
      </c>
      <c r="N15" s="170" t="n"/>
    </row>
    <row r="16" ht="20" customHeight="1">
      <c r="A16" s="1" t="n"/>
      <c r="B16" s="53">
        <f>HYPERLINK("#'Paramètres'!A1","⚙   Paramètres")</f>
        <v/>
      </c>
      <c r="C16" s="54" t="n"/>
    </row>
    <row r="17" ht="26" customHeight="1">
      <c r="A17" s="1" t="n"/>
      <c r="B17" s="1" t="n"/>
      <c r="C17" s="2" t="n"/>
      <c r="E17" s="165" t="inlineStr">
        <is>
          <t>2.  Fonds documentaire et emprunts par catégorie</t>
        </is>
      </c>
      <c r="F17" s="166" t="n"/>
      <c r="G17" s="166" t="n"/>
      <c r="H17" s="166" t="n"/>
      <c r="I17" s="166" t="n"/>
      <c r="J17" s="166" t="n"/>
      <c r="K17" s="166" t="n"/>
      <c r="L17" s="166" t="n"/>
      <c r="M17" s="166" t="n"/>
      <c r="N17" s="166" t="n"/>
    </row>
    <row r="18" ht="30" customHeight="1">
      <c r="A18" s="1" t="n"/>
      <c r="B18" s="175" t="inlineStr">
        <is>
          <t>🖨  Pour imprimer :</t>
        </is>
      </c>
      <c r="C18" s="176" t="n"/>
      <c r="E18" s="177" t="inlineStr">
        <is>
          <t>Catégorie</t>
        </is>
      </c>
      <c r="F18" s="178" t="n"/>
      <c r="G18" s="179" t="inlineStr">
        <is>
          <t>Titres</t>
        </is>
      </c>
      <c r="H18" s="179" t="inlineStr">
        <is>
          <t>Exemplaires</t>
        </is>
      </c>
      <c r="I18" s="179" t="inlineStr">
        <is>
          <t>Emprunts du mois</t>
        </is>
      </c>
      <c r="J18" s="179" t="inlineStr">
        <is>
          <t>Part des emprunts</t>
        </is>
      </c>
      <c r="K18" s="179" t="inlineStr">
        <is>
          <t>Sortis (fin de mois)</t>
        </is>
      </c>
      <c r="L18" s="179" t="inlineStr">
        <is>
          <t>Disponibles (fin de mois)</t>
        </is>
      </c>
      <c r="M18" s="179" t="inlineStr">
        <is>
          <t>Taux d'emprunt (emprunts / exemplaires)</t>
        </is>
      </c>
      <c r="N18" s="178" t="n"/>
    </row>
    <row r="19" ht="20" customHeight="1">
      <c r="A19" s="1" t="n"/>
      <c r="B19" s="180" t="inlineStr">
        <is>
          <t>1. Choisissez le mois (case bleue)
2. Fichier ▸ Imprimer (Ctrl+P / ⌘+P)
3. Le rapport tient sur 2 pages A4</t>
        </is>
      </c>
      <c r="C19" s="181" t="n"/>
      <c r="E19" s="182">
        <f>IF(INDEX(L_CatLivres,1)="","",INDEX(L_CatLivres,1))</f>
        <v/>
      </c>
      <c r="F19" s="183" t="n"/>
      <c r="G19" s="184">
        <f>IF(INDEX(L_CatLivres,1)="","",COUNTIF(LIV_Cat,$E19))</f>
        <v/>
      </c>
      <c r="H19" s="184">
        <f>IF(INDEX(L_CatLivres,1)="","",SUMIF(LIV_Cat,$E19,LIV_Ex))</f>
        <v/>
      </c>
      <c r="I19" s="184">
        <f>IF(INDEX(L_CatLivres,1)="","",COUNTIFS(EMP_Cat,$E19,EMP_Date,"&gt;="&amp;R_Mois,EMP_Date,"&lt;"&amp;EDATE(R_Mois,1)))</f>
        <v/>
      </c>
      <c r="J19" s="185">
        <f>IF(INDEX(L_CatLivres,1)="","",IF($I$31=0,0,I19/$I$31))</f>
        <v/>
      </c>
      <c r="K19" s="184">
        <f>IF(INDEX(L_CatLivres,1)="","",COUNTIFS(EMP_Cat,$E19,EMP_Date,"&lt;="&amp;(EDATE(R_Mois,1)-1))-COUNTIFS(EMP_Cat,$E19,EMP_Date,"&lt;="&amp;(EDATE(R_Mois,1)-1),EMP_Retour,"&lt;="&amp;(EDATE(R_Mois,1)-1)))</f>
        <v/>
      </c>
      <c r="L19" s="184">
        <f>IF(INDEX(L_CatLivres,1)="","",H19-K19)</f>
        <v/>
      </c>
      <c r="M19" s="185">
        <f>IF(INDEX(L_CatLivres,1)="","",IF(H19=0,0,I19/H19))</f>
        <v/>
      </c>
      <c r="N19" s="183" t="n"/>
    </row>
    <row r="20" ht="20" customHeight="1">
      <c r="A20" s="1" t="n"/>
      <c r="B20" s="186" t="n"/>
      <c r="C20" s="181" t="n"/>
      <c r="E20" s="182">
        <f>IF(INDEX(L_CatLivres,2)="","",INDEX(L_CatLivres,2))</f>
        <v/>
      </c>
      <c r="F20" s="183" t="n"/>
      <c r="G20" s="184">
        <f>IF(INDEX(L_CatLivres,2)="","",COUNTIF(LIV_Cat,$E20))</f>
        <v/>
      </c>
      <c r="H20" s="184">
        <f>IF(INDEX(L_CatLivres,2)="","",SUMIF(LIV_Cat,$E20,LIV_Ex))</f>
        <v/>
      </c>
      <c r="I20" s="184">
        <f>IF(INDEX(L_CatLivres,2)="","",COUNTIFS(EMP_Cat,$E20,EMP_Date,"&gt;="&amp;R_Mois,EMP_Date,"&lt;"&amp;EDATE(R_Mois,1)))</f>
        <v/>
      </c>
      <c r="J20" s="185">
        <f>IF(INDEX(L_CatLivres,2)="","",IF($I$31=0,0,I20/$I$31))</f>
        <v/>
      </c>
      <c r="K20" s="184">
        <f>IF(INDEX(L_CatLivres,2)="","",COUNTIFS(EMP_Cat,$E20,EMP_Date,"&lt;="&amp;(EDATE(R_Mois,1)-1))-COUNTIFS(EMP_Cat,$E20,EMP_Date,"&lt;="&amp;(EDATE(R_Mois,1)-1),EMP_Retour,"&lt;="&amp;(EDATE(R_Mois,1)-1)))</f>
        <v/>
      </c>
      <c r="L20" s="184">
        <f>IF(INDEX(L_CatLivres,2)="","",H20-K20)</f>
        <v/>
      </c>
      <c r="M20" s="185">
        <f>IF(INDEX(L_CatLivres,2)="","",IF(H20=0,0,I20/H20))</f>
        <v/>
      </c>
      <c r="N20" s="183" t="n"/>
    </row>
    <row r="21" ht="20" customHeight="1">
      <c r="A21" s="1" t="n"/>
      <c r="B21" s="186" t="n"/>
      <c r="C21" s="181" t="n"/>
      <c r="E21" s="182">
        <f>IF(INDEX(L_CatLivres,3)="","",INDEX(L_CatLivres,3))</f>
        <v/>
      </c>
      <c r="F21" s="183" t="n"/>
      <c r="G21" s="184">
        <f>IF(INDEX(L_CatLivres,3)="","",COUNTIF(LIV_Cat,$E21))</f>
        <v/>
      </c>
      <c r="H21" s="184">
        <f>IF(INDEX(L_CatLivres,3)="","",SUMIF(LIV_Cat,$E21,LIV_Ex))</f>
        <v/>
      </c>
      <c r="I21" s="184">
        <f>IF(INDEX(L_CatLivres,3)="","",COUNTIFS(EMP_Cat,$E21,EMP_Date,"&gt;="&amp;R_Mois,EMP_Date,"&lt;"&amp;EDATE(R_Mois,1)))</f>
        <v/>
      </c>
      <c r="J21" s="185">
        <f>IF(INDEX(L_CatLivres,3)="","",IF($I$31=0,0,I21/$I$31))</f>
        <v/>
      </c>
      <c r="K21" s="184">
        <f>IF(INDEX(L_CatLivres,3)="","",COUNTIFS(EMP_Cat,$E21,EMP_Date,"&lt;="&amp;(EDATE(R_Mois,1)-1))-COUNTIFS(EMP_Cat,$E21,EMP_Date,"&lt;="&amp;(EDATE(R_Mois,1)-1),EMP_Retour,"&lt;="&amp;(EDATE(R_Mois,1)-1)))</f>
        <v/>
      </c>
      <c r="L21" s="184">
        <f>IF(INDEX(L_CatLivres,3)="","",H21-K21)</f>
        <v/>
      </c>
      <c r="M21" s="185">
        <f>IF(INDEX(L_CatLivres,3)="","",IF(H21=0,0,I21/H21))</f>
        <v/>
      </c>
      <c r="N21" s="183" t="n"/>
    </row>
    <row r="22" ht="20" customHeight="1">
      <c r="A22" s="1" t="n"/>
      <c r="B22" s="96" t="n"/>
      <c r="C22" s="97" t="n"/>
      <c r="E22" s="182">
        <f>IF(INDEX(L_CatLivres,4)="","",INDEX(L_CatLivres,4))</f>
        <v/>
      </c>
      <c r="F22" s="183" t="n"/>
      <c r="G22" s="184">
        <f>IF(INDEX(L_CatLivres,4)="","",COUNTIF(LIV_Cat,$E22))</f>
        <v/>
      </c>
      <c r="H22" s="184">
        <f>IF(INDEX(L_CatLivres,4)="","",SUMIF(LIV_Cat,$E22,LIV_Ex))</f>
        <v/>
      </c>
      <c r="I22" s="184">
        <f>IF(INDEX(L_CatLivres,4)="","",COUNTIFS(EMP_Cat,$E22,EMP_Date,"&gt;="&amp;R_Mois,EMP_Date,"&lt;"&amp;EDATE(R_Mois,1)))</f>
        <v/>
      </c>
      <c r="J22" s="185">
        <f>IF(INDEX(L_CatLivres,4)="","",IF($I$31=0,0,I22/$I$31))</f>
        <v/>
      </c>
      <c r="K22" s="184">
        <f>IF(INDEX(L_CatLivres,4)="","",COUNTIFS(EMP_Cat,$E22,EMP_Date,"&lt;="&amp;(EDATE(R_Mois,1)-1))-COUNTIFS(EMP_Cat,$E22,EMP_Date,"&lt;="&amp;(EDATE(R_Mois,1)-1),EMP_Retour,"&lt;="&amp;(EDATE(R_Mois,1)-1)))</f>
        <v/>
      </c>
      <c r="L22" s="184">
        <f>IF(INDEX(L_CatLivres,4)="","",H22-K22)</f>
        <v/>
      </c>
      <c r="M22" s="185">
        <f>IF(INDEX(L_CatLivres,4)="","",IF(H22=0,0,I22/H22))</f>
        <v/>
      </c>
      <c r="N22" s="183" t="n"/>
    </row>
    <row r="23" ht="20" customHeight="1">
      <c r="A23" s="1" t="n"/>
      <c r="B23" s="1" t="n"/>
      <c r="C23" s="2" t="n"/>
      <c r="E23" s="182">
        <f>IF(INDEX(L_CatLivres,5)="","",INDEX(L_CatLivres,5))</f>
        <v/>
      </c>
      <c r="F23" s="183" t="n"/>
      <c r="G23" s="184">
        <f>IF(INDEX(L_CatLivres,5)="","",COUNTIF(LIV_Cat,$E23))</f>
        <v/>
      </c>
      <c r="H23" s="184">
        <f>IF(INDEX(L_CatLivres,5)="","",SUMIF(LIV_Cat,$E23,LIV_Ex))</f>
        <v/>
      </c>
      <c r="I23" s="184">
        <f>IF(INDEX(L_CatLivres,5)="","",COUNTIFS(EMP_Cat,$E23,EMP_Date,"&gt;="&amp;R_Mois,EMP_Date,"&lt;"&amp;EDATE(R_Mois,1)))</f>
        <v/>
      </c>
      <c r="J23" s="185">
        <f>IF(INDEX(L_CatLivres,5)="","",IF($I$31=0,0,I23/$I$31))</f>
        <v/>
      </c>
      <c r="K23" s="184">
        <f>IF(INDEX(L_CatLivres,5)="","",COUNTIFS(EMP_Cat,$E23,EMP_Date,"&lt;="&amp;(EDATE(R_Mois,1)-1))-COUNTIFS(EMP_Cat,$E23,EMP_Date,"&lt;="&amp;(EDATE(R_Mois,1)-1),EMP_Retour,"&lt;="&amp;(EDATE(R_Mois,1)-1)))</f>
        <v/>
      </c>
      <c r="L23" s="184">
        <f>IF(INDEX(L_CatLivres,5)="","",H23-K23)</f>
        <v/>
      </c>
      <c r="M23" s="185">
        <f>IF(INDEX(L_CatLivres,5)="","",IF(H23=0,0,I23/H23))</f>
        <v/>
      </c>
      <c r="N23" s="183" t="n"/>
    </row>
    <row r="24" ht="20" customHeight="1">
      <c r="A24" s="1" t="n"/>
      <c r="B24" s="1" t="n"/>
      <c r="C24" s="2" t="n"/>
      <c r="E24" s="182">
        <f>IF(INDEX(L_CatLivres,6)="","",INDEX(L_CatLivres,6))</f>
        <v/>
      </c>
      <c r="F24" s="183" t="n"/>
      <c r="G24" s="184">
        <f>IF(INDEX(L_CatLivres,6)="","",COUNTIF(LIV_Cat,$E24))</f>
        <v/>
      </c>
      <c r="H24" s="184">
        <f>IF(INDEX(L_CatLivres,6)="","",SUMIF(LIV_Cat,$E24,LIV_Ex))</f>
        <v/>
      </c>
      <c r="I24" s="184">
        <f>IF(INDEX(L_CatLivres,6)="","",COUNTIFS(EMP_Cat,$E24,EMP_Date,"&gt;="&amp;R_Mois,EMP_Date,"&lt;"&amp;EDATE(R_Mois,1)))</f>
        <v/>
      </c>
      <c r="J24" s="185">
        <f>IF(INDEX(L_CatLivres,6)="","",IF($I$31=0,0,I24/$I$31))</f>
        <v/>
      </c>
      <c r="K24" s="184">
        <f>IF(INDEX(L_CatLivres,6)="","",COUNTIFS(EMP_Cat,$E24,EMP_Date,"&lt;="&amp;(EDATE(R_Mois,1)-1))-COUNTIFS(EMP_Cat,$E24,EMP_Date,"&lt;="&amp;(EDATE(R_Mois,1)-1),EMP_Retour,"&lt;="&amp;(EDATE(R_Mois,1)-1)))</f>
        <v/>
      </c>
      <c r="L24" s="184">
        <f>IF(INDEX(L_CatLivres,6)="","",H24-K24)</f>
        <v/>
      </c>
      <c r="M24" s="185">
        <f>IF(INDEX(L_CatLivres,6)="","",IF(H24=0,0,I24/H24))</f>
        <v/>
      </c>
      <c r="N24" s="183" t="n"/>
    </row>
    <row r="25" ht="20" customHeight="1">
      <c r="A25" s="1" t="n"/>
      <c r="B25" s="1" t="n"/>
      <c r="C25" s="2" t="n"/>
      <c r="E25" s="182">
        <f>IF(INDEX(L_CatLivres,7)="","",INDEX(L_CatLivres,7))</f>
        <v/>
      </c>
      <c r="F25" s="183" t="n"/>
      <c r="G25" s="184">
        <f>IF(INDEX(L_CatLivres,7)="","",COUNTIF(LIV_Cat,$E25))</f>
        <v/>
      </c>
      <c r="H25" s="184">
        <f>IF(INDEX(L_CatLivres,7)="","",SUMIF(LIV_Cat,$E25,LIV_Ex))</f>
        <v/>
      </c>
      <c r="I25" s="184">
        <f>IF(INDEX(L_CatLivres,7)="","",COUNTIFS(EMP_Cat,$E25,EMP_Date,"&gt;="&amp;R_Mois,EMP_Date,"&lt;"&amp;EDATE(R_Mois,1)))</f>
        <v/>
      </c>
      <c r="J25" s="185">
        <f>IF(INDEX(L_CatLivres,7)="","",IF($I$31=0,0,I25/$I$31))</f>
        <v/>
      </c>
      <c r="K25" s="184">
        <f>IF(INDEX(L_CatLivres,7)="","",COUNTIFS(EMP_Cat,$E25,EMP_Date,"&lt;="&amp;(EDATE(R_Mois,1)-1))-COUNTIFS(EMP_Cat,$E25,EMP_Date,"&lt;="&amp;(EDATE(R_Mois,1)-1),EMP_Retour,"&lt;="&amp;(EDATE(R_Mois,1)-1)))</f>
        <v/>
      </c>
      <c r="L25" s="184">
        <f>IF(INDEX(L_CatLivres,7)="","",H25-K25)</f>
        <v/>
      </c>
      <c r="M25" s="185">
        <f>IF(INDEX(L_CatLivres,7)="","",IF(H25=0,0,I25/H25))</f>
        <v/>
      </c>
      <c r="N25" s="183" t="n"/>
    </row>
    <row r="26" ht="20" customHeight="1">
      <c r="A26" s="1" t="n"/>
      <c r="B26" s="1" t="n"/>
      <c r="C26" s="2" t="n"/>
      <c r="E26" s="182">
        <f>IF(INDEX(L_CatLivres,8)="","",INDEX(L_CatLivres,8))</f>
        <v/>
      </c>
      <c r="F26" s="183" t="n"/>
      <c r="G26" s="184">
        <f>IF(INDEX(L_CatLivres,8)="","",COUNTIF(LIV_Cat,$E26))</f>
        <v/>
      </c>
      <c r="H26" s="184">
        <f>IF(INDEX(L_CatLivres,8)="","",SUMIF(LIV_Cat,$E26,LIV_Ex))</f>
        <v/>
      </c>
      <c r="I26" s="184">
        <f>IF(INDEX(L_CatLivres,8)="","",COUNTIFS(EMP_Cat,$E26,EMP_Date,"&gt;="&amp;R_Mois,EMP_Date,"&lt;"&amp;EDATE(R_Mois,1)))</f>
        <v/>
      </c>
      <c r="J26" s="185">
        <f>IF(INDEX(L_CatLivres,8)="","",IF($I$31=0,0,I26/$I$31))</f>
        <v/>
      </c>
      <c r="K26" s="184">
        <f>IF(INDEX(L_CatLivres,8)="","",COUNTIFS(EMP_Cat,$E26,EMP_Date,"&lt;="&amp;(EDATE(R_Mois,1)-1))-COUNTIFS(EMP_Cat,$E26,EMP_Date,"&lt;="&amp;(EDATE(R_Mois,1)-1),EMP_Retour,"&lt;="&amp;(EDATE(R_Mois,1)-1)))</f>
        <v/>
      </c>
      <c r="L26" s="184">
        <f>IF(INDEX(L_CatLivres,8)="","",H26-K26)</f>
        <v/>
      </c>
      <c r="M26" s="185">
        <f>IF(INDEX(L_CatLivres,8)="","",IF(H26=0,0,I26/H26))</f>
        <v/>
      </c>
      <c r="N26" s="183" t="n"/>
    </row>
    <row r="27" ht="20" customHeight="1">
      <c r="A27" s="1" t="n"/>
      <c r="B27" s="1" t="n"/>
      <c r="C27" s="2" t="n"/>
      <c r="E27" s="182">
        <f>IF(INDEX(L_CatLivres,9)="","",INDEX(L_CatLivres,9))</f>
        <v/>
      </c>
      <c r="F27" s="183" t="n"/>
      <c r="G27" s="184">
        <f>IF(INDEX(L_CatLivres,9)="","",COUNTIF(LIV_Cat,$E27))</f>
        <v/>
      </c>
      <c r="H27" s="184">
        <f>IF(INDEX(L_CatLivres,9)="","",SUMIF(LIV_Cat,$E27,LIV_Ex))</f>
        <v/>
      </c>
      <c r="I27" s="184">
        <f>IF(INDEX(L_CatLivres,9)="","",COUNTIFS(EMP_Cat,$E27,EMP_Date,"&gt;="&amp;R_Mois,EMP_Date,"&lt;"&amp;EDATE(R_Mois,1)))</f>
        <v/>
      </c>
      <c r="J27" s="185">
        <f>IF(INDEX(L_CatLivres,9)="","",IF($I$31=0,0,I27/$I$31))</f>
        <v/>
      </c>
      <c r="K27" s="184">
        <f>IF(INDEX(L_CatLivres,9)="","",COUNTIFS(EMP_Cat,$E27,EMP_Date,"&lt;="&amp;(EDATE(R_Mois,1)-1))-COUNTIFS(EMP_Cat,$E27,EMP_Date,"&lt;="&amp;(EDATE(R_Mois,1)-1),EMP_Retour,"&lt;="&amp;(EDATE(R_Mois,1)-1)))</f>
        <v/>
      </c>
      <c r="L27" s="184">
        <f>IF(INDEX(L_CatLivres,9)="","",H27-K27)</f>
        <v/>
      </c>
      <c r="M27" s="185">
        <f>IF(INDEX(L_CatLivres,9)="","",IF(H27=0,0,I27/H27))</f>
        <v/>
      </c>
      <c r="N27" s="183" t="n"/>
    </row>
    <row r="28" ht="20" customHeight="1">
      <c r="A28" s="1" t="n"/>
      <c r="B28" s="1" t="n"/>
      <c r="C28" s="2" t="n"/>
      <c r="E28" s="182">
        <f>IF(INDEX(L_CatLivres,10)="","",INDEX(L_CatLivres,10))</f>
        <v/>
      </c>
      <c r="F28" s="183" t="n"/>
      <c r="G28" s="184">
        <f>IF(INDEX(L_CatLivres,10)="","",COUNTIF(LIV_Cat,$E28))</f>
        <v/>
      </c>
      <c r="H28" s="184">
        <f>IF(INDEX(L_CatLivres,10)="","",SUMIF(LIV_Cat,$E28,LIV_Ex))</f>
        <v/>
      </c>
      <c r="I28" s="184">
        <f>IF(INDEX(L_CatLivres,10)="","",COUNTIFS(EMP_Cat,$E28,EMP_Date,"&gt;="&amp;R_Mois,EMP_Date,"&lt;"&amp;EDATE(R_Mois,1)))</f>
        <v/>
      </c>
      <c r="J28" s="185">
        <f>IF(INDEX(L_CatLivres,10)="","",IF($I$31=0,0,I28/$I$31))</f>
        <v/>
      </c>
      <c r="K28" s="184">
        <f>IF(INDEX(L_CatLivres,10)="","",COUNTIFS(EMP_Cat,$E28,EMP_Date,"&lt;="&amp;(EDATE(R_Mois,1)-1))-COUNTIFS(EMP_Cat,$E28,EMP_Date,"&lt;="&amp;(EDATE(R_Mois,1)-1),EMP_Retour,"&lt;="&amp;(EDATE(R_Mois,1)-1)))</f>
        <v/>
      </c>
      <c r="L28" s="184">
        <f>IF(INDEX(L_CatLivres,10)="","",H28-K28)</f>
        <v/>
      </c>
      <c r="M28" s="185">
        <f>IF(INDEX(L_CatLivres,10)="","",IF(H28=0,0,I28/H28))</f>
        <v/>
      </c>
      <c r="N28" s="183" t="n"/>
    </row>
    <row r="29" ht="20" customHeight="1">
      <c r="A29" s="1" t="n"/>
      <c r="B29" s="1" t="n"/>
      <c r="C29" s="2" t="n"/>
      <c r="E29" s="182">
        <f>IF(INDEX(L_CatLivres,11)="","",INDEX(L_CatLivres,11))</f>
        <v/>
      </c>
      <c r="F29" s="183" t="n"/>
      <c r="G29" s="184">
        <f>IF(INDEX(L_CatLivres,11)="","",COUNTIF(LIV_Cat,$E29))</f>
        <v/>
      </c>
      <c r="H29" s="184">
        <f>IF(INDEX(L_CatLivres,11)="","",SUMIF(LIV_Cat,$E29,LIV_Ex))</f>
        <v/>
      </c>
      <c r="I29" s="184">
        <f>IF(INDEX(L_CatLivres,11)="","",COUNTIFS(EMP_Cat,$E29,EMP_Date,"&gt;="&amp;R_Mois,EMP_Date,"&lt;"&amp;EDATE(R_Mois,1)))</f>
        <v/>
      </c>
      <c r="J29" s="185">
        <f>IF(INDEX(L_CatLivres,11)="","",IF($I$31=0,0,I29/$I$31))</f>
        <v/>
      </c>
      <c r="K29" s="184">
        <f>IF(INDEX(L_CatLivres,11)="","",COUNTIFS(EMP_Cat,$E29,EMP_Date,"&lt;="&amp;(EDATE(R_Mois,1)-1))-COUNTIFS(EMP_Cat,$E29,EMP_Date,"&lt;="&amp;(EDATE(R_Mois,1)-1),EMP_Retour,"&lt;="&amp;(EDATE(R_Mois,1)-1)))</f>
        <v/>
      </c>
      <c r="L29" s="184">
        <f>IF(INDEX(L_CatLivres,11)="","",H29-K29)</f>
        <v/>
      </c>
      <c r="M29" s="185">
        <f>IF(INDEX(L_CatLivres,11)="","",IF(H29=0,0,I29/H29))</f>
        <v/>
      </c>
      <c r="N29" s="183" t="n"/>
    </row>
    <row r="30" ht="20" customHeight="1">
      <c r="A30" s="1" t="n"/>
      <c r="B30" s="1" t="n"/>
      <c r="C30" s="2" t="n"/>
      <c r="E30" s="182">
        <f>IF(INDEX(L_CatLivres,12)="","",INDEX(L_CatLivres,12))</f>
        <v/>
      </c>
      <c r="F30" s="183" t="n"/>
      <c r="G30" s="184">
        <f>IF(INDEX(L_CatLivres,12)="","",COUNTIF(LIV_Cat,$E30))</f>
        <v/>
      </c>
      <c r="H30" s="184">
        <f>IF(INDEX(L_CatLivres,12)="","",SUMIF(LIV_Cat,$E30,LIV_Ex))</f>
        <v/>
      </c>
      <c r="I30" s="184">
        <f>IF(INDEX(L_CatLivres,12)="","",COUNTIFS(EMP_Cat,$E30,EMP_Date,"&gt;="&amp;R_Mois,EMP_Date,"&lt;"&amp;EDATE(R_Mois,1)))</f>
        <v/>
      </c>
      <c r="J30" s="185">
        <f>IF(INDEX(L_CatLivres,12)="","",IF($I$31=0,0,I30/$I$31))</f>
        <v/>
      </c>
      <c r="K30" s="184">
        <f>IF(INDEX(L_CatLivres,12)="","",COUNTIFS(EMP_Cat,$E30,EMP_Date,"&lt;="&amp;(EDATE(R_Mois,1)-1))-COUNTIFS(EMP_Cat,$E30,EMP_Date,"&lt;="&amp;(EDATE(R_Mois,1)-1),EMP_Retour,"&lt;="&amp;(EDATE(R_Mois,1)-1)))</f>
        <v/>
      </c>
      <c r="L30" s="184">
        <f>IF(INDEX(L_CatLivres,12)="","",H30-K30)</f>
        <v/>
      </c>
      <c r="M30" s="185">
        <f>IF(INDEX(L_CatLivres,12)="","",IF(H30=0,0,I30/H30))</f>
        <v/>
      </c>
      <c r="N30" s="183" t="n"/>
    </row>
    <row r="31" ht="20" customHeight="1">
      <c r="A31" s="1" t="n"/>
      <c r="B31" s="1" t="n"/>
      <c r="C31" s="2" t="n"/>
      <c r="E31" s="187" t="inlineStr">
        <is>
          <t>TOTAL</t>
        </is>
      </c>
      <c r="F31" s="188" t="n"/>
      <c r="G31" s="189">
        <f>SUM(G19:G30)</f>
        <v/>
      </c>
      <c r="H31" s="189">
        <f>SUM(H19:H30)</f>
        <v/>
      </c>
      <c r="I31" s="189">
        <f>SUM(I19:I30)</f>
        <v/>
      </c>
      <c r="J31" s="190">
        <f>IF(I31=0,0,1)</f>
        <v/>
      </c>
      <c r="K31" s="189">
        <f>SUM(K19:K30)</f>
        <v/>
      </c>
      <c r="L31" s="189">
        <f>SUM(L19:L30)</f>
        <v/>
      </c>
      <c r="M31" s="190">
        <f>IF(H31=0,0,I31/H31)</f>
        <v/>
      </c>
      <c r="N31" s="188" t="n"/>
    </row>
    <row r="32" ht="20" customHeight="1">
      <c r="A32" s="1" t="n"/>
      <c r="B32" s="1" t="n"/>
      <c r="C32" s="2" t="n"/>
    </row>
    <row r="33" ht="26" customHeight="1">
      <c r="A33" s="1" t="n"/>
      <c r="B33" s="1" t="n"/>
      <c r="C33" s="2" t="n"/>
      <c r="E33" s="165" t="inlineStr">
        <is>
          <t>3.  Les 5 livres les plus empruntés du mois</t>
        </is>
      </c>
      <c r="F33" s="166" t="n"/>
      <c r="G33" s="166" t="n"/>
      <c r="H33" s="166" t="n"/>
      <c r="I33" s="166" t="n"/>
      <c r="J33" s="166" t="n"/>
      <c r="K33" s="166" t="n"/>
      <c r="L33" s="166" t="n"/>
      <c r="M33" s="166" t="n"/>
      <c r="N33" s="166" t="n"/>
    </row>
    <row r="34" ht="30" customHeight="1">
      <c r="A34" s="1" t="n"/>
      <c r="B34" s="1" t="n"/>
      <c r="C34" s="2" t="n"/>
      <c r="E34" s="177" t="inlineStr">
        <is>
          <t>Rang</t>
        </is>
      </c>
      <c r="F34" s="179" t="inlineStr">
        <is>
          <t>Titre</t>
        </is>
      </c>
      <c r="G34" s="178" t="n"/>
      <c r="H34" s="178" t="n"/>
      <c r="I34" s="179" t="inlineStr">
        <is>
          <t>Auteur</t>
        </is>
      </c>
      <c r="J34" s="178" t="n"/>
      <c r="K34" s="178" t="n"/>
      <c r="L34" s="179" t="inlineStr">
        <is>
          <t>Catégorie</t>
        </is>
      </c>
      <c r="M34" s="178" t="n"/>
      <c r="N34" s="179" t="inlineStr">
        <is>
          <t>Emprunts</t>
        </is>
      </c>
    </row>
    <row r="35" ht="20" customHeight="1">
      <c r="A35" s="1" t="n"/>
      <c r="B35" s="1" t="n"/>
      <c r="C35" s="2" t="n"/>
      <c r="E35" s="191">
        <f>IF(COUNT(LIV_ScoreMois)&lt;1,"",1)</f>
        <v/>
      </c>
      <c r="F35" s="192">
        <f>IFERROR(INDEX(LIV_Titre,MATCH(LARGE(LIV_ScoreMois,1),LIV_ScoreMois,0)),"")</f>
        <v/>
      </c>
      <c r="G35" s="193" t="n"/>
      <c r="H35" s="193" t="n"/>
      <c r="I35" s="194">
        <f>IFERROR(INDEX(LIV_Auteur,MATCH(LARGE(LIV_ScoreMois,1),LIV_ScoreMois,0)),"")</f>
        <v/>
      </c>
      <c r="J35" s="193" t="n"/>
      <c r="K35" s="193" t="n"/>
      <c r="L35" s="195">
        <f>IFERROR(INDEX(LIV_Cat,MATCH(LARGE(LIV_ScoreMois,1),LIV_ScoreMois,0)),"")</f>
        <v/>
      </c>
      <c r="M35" s="193" t="n"/>
      <c r="N35" s="196">
        <f>IFERROR(INT(LARGE(LIV_ScoreMois,1)),"")</f>
        <v/>
      </c>
    </row>
    <row r="36" ht="20" customHeight="1">
      <c r="A36" s="1" t="n"/>
      <c r="B36" s="1" t="n"/>
      <c r="C36" s="2" t="n"/>
      <c r="E36" s="197">
        <f>IF(COUNT(LIV_ScoreMois)&lt;2,"",2)</f>
        <v/>
      </c>
      <c r="F36" s="198">
        <f>IFERROR(INDEX(LIV_Titre,MATCH(LARGE(LIV_ScoreMois,2),LIV_ScoreMois,0)),"")</f>
        <v/>
      </c>
      <c r="G36" s="199" t="n"/>
      <c r="H36" s="199" t="n"/>
      <c r="I36" s="200">
        <f>IFERROR(INDEX(LIV_Auteur,MATCH(LARGE(LIV_ScoreMois,2),LIV_ScoreMois,0)),"")</f>
        <v/>
      </c>
      <c r="J36" s="199" t="n"/>
      <c r="K36" s="199" t="n"/>
      <c r="L36" s="201">
        <f>IFERROR(INDEX(LIV_Cat,MATCH(LARGE(LIV_ScoreMois,2),LIV_ScoreMois,0)),"")</f>
        <v/>
      </c>
      <c r="M36" s="199" t="n"/>
      <c r="N36" s="202">
        <f>IFERROR(INT(LARGE(LIV_ScoreMois,2)),"")</f>
        <v/>
      </c>
    </row>
    <row r="37" ht="20" customHeight="1">
      <c r="A37" s="1" t="n"/>
      <c r="B37" s="1" t="n"/>
      <c r="C37" s="2" t="n"/>
      <c r="E37" s="191">
        <f>IF(COUNT(LIV_ScoreMois)&lt;3,"",3)</f>
        <v/>
      </c>
      <c r="F37" s="192">
        <f>IFERROR(INDEX(LIV_Titre,MATCH(LARGE(LIV_ScoreMois,3),LIV_ScoreMois,0)),"")</f>
        <v/>
      </c>
      <c r="G37" s="193" t="n"/>
      <c r="H37" s="193" t="n"/>
      <c r="I37" s="194">
        <f>IFERROR(INDEX(LIV_Auteur,MATCH(LARGE(LIV_ScoreMois,3),LIV_ScoreMois,0)),"")</f>
        <v/>
      </c>
      <c r="J37" s="193" t="n"/>
      <c r="K37" s="193" t="n"/>
      <c r="L37" s="195">
        <f>IFERROR(INDEX(LIV_Cat,MATCH(LARGE(LIV_ScoreMois,3),LIV_ScoreMois,0)),"")</f>
        <v/>
      </c>
      <c r="M37" s="193" t="n"/>
      <c r="N37" s="196">
        <f>IFERROR(INT(LARGE(LIV_ScoreMois,3)),"")</f>
        <v/>
      </c>
    </row>
    <row r="38" ht="20" customHeight="1">
      <c r="A38" s="1" t="n"/>
      <c r="B38" s="1" t="n"/>
      <c r="C38" s="2" t="n"/>
      <c r="E38" s="197">
        <f>IF(COUNT(LIV_ScoreMois)&lt;4,"",4)</f>
        <v/>
      </c>
      <c r="F38" s="198">
        <f>IFERROR(INDEX(LIV_Titre,MATCH(LARGE(LIV_ScoreMois,4),LIV_ScoreMois,0)),"")</f>
        <v/>
      </c>
      <c r="G38" s="199" t="n"/>
      <c r="H38" s="199" t="n"/>
      <c r="I38" s="200">
        <f>IFERROR(INDEX(LIV_Auteur,MATCH(LARGE(LIV_ScoreMois,4),LIV_ScoreMois,0)),"")</f>
        <v/>
      </c>
      <c r="J38" s="199" t="n"/>
      <c r="K38" s="199" t="n"/>
      <c r="L38" s="201">
        <f>IFERROR(INDEX(LIV_Cat,MATCH(LARGE(LIV_ScoreMois,4),LIV_ScoreMois,0)),"")</f>
        <v/>
      </c>
      <c r="M38" s="199" t="n"/>
      <c r="N38" s="202">
        <f>IFERROR(INT(LARGE(LIV_ScoreMois,4)),"")</f>
        <v/>
      </c>
    </row>
    <row r="39" ht="20" customHeight="1">
      <c r="A39" s="1" t="n"/>
      <c r="B39" s="1" t="n"/>
      <c r="C39" s="2" t="n"/>
      <c r="E39" s="191">
        <f>IF(COUNT(LIV_ScoreMois)&lt;5,"",5)</f>
        <v/>
      </c>
      <c r="F39" s="192">
        <f>IFERROR(INDEX(LIV_Titre,MATCH(LARGE(LIV_ScoreMois,5),LIV_ScoreMois,0)),"")</f>
        <v/>
      </c>
      <c r="G39" s="193" t="n"/>
      <c r="H39" s="193" t="n"/>
      <c r="I39" s="194">
        <f>IFERROR(INDEX(LIV_Auteur,MATCH(LARGE(LIV_ScoreMois,5),LIV_ScoreMois,0)),"")</f>
        <v/>
      </c>
      <c r="J39" s="193" t="n"/>
      <c r="K39" s="193" t="n"/>
      <c r="L39" s="195">
        <f>IFERROR(INDEX(LIV_Cat,MATCH(LARGE(LIV_ScoreMois,5),LIV_ScoreMois,0)),"")</f>
        <v/>
      </c>
      <c r="M39" s="193" t="n"/>
      <c r="N39" s="196">
        <f>IFERROR(INT(LARGE(LIV_ScoreMois,5)),"")</f>
        <v/>
      </c>
    </row>
    <row r="40" ht="20" customHeight="1">
      <c r="A40" s="1" t="n"/>
      <c r="B40" s="1" t="n"/>
      <c r="C40" s="2" t="n"/>
      <c r="E40" s="203">
        <f>IF(COUNT(LIV_ScoreMois)=0,"Aucun emprunt enregistré pour ce mois.","")</f>
        <v/>
      </c>
    </row>
    <row r="41" ht="20" customHeight="1">
      <c r="A41" s="1" t="n"/>
      <c r="B41" s="1" t="n"/>
      <c r="C41" s="2" t="n"/>
    </row>
    <row r="42" ht="26" customHeight="1">
      <c r="A42" s="1" t="n"/>
      <c r="B42" s="1" t="n"/>
      <c r="C42" s="2" t="n"/>
      <c r="E42" s="165" t="inlineStr">
        <is>
          <t>4.  État du stock des fournitures</t>
        </is>
      </c>
      <c r="F42" s="166" t="n"/>
      <c r="G42" s="166" t="n"/>
      <c r="H42" s="166" t="n"/>
      <c r="I42" s="166" t="n"/>
      <c r="J42" s="166" t="n"/>
      <c r="K42" s="166" t="n"/>
      <c r="L42" s="166" t="n"/>
      <c r="M42" s="166" t="n"/>
      <c r="N42" s="166" t="n"/>
    </row>
    <row r="43" ht="30" customHeight="1">
      <c r="A43" s="1" t="n"/>
      <c r="B43" s="1" t="n"/>
      <c r="C43" s="2" t="n"/>
      <c r="E43" s="177" t="inlineStr">
        <is>
          <t>Article</t>
        </is>
      </c>
      <c r="F43" s="178" t="n"/>
      <c r="G43" s="179" t="inlineStr">
        <is>
          <t>Unité</t>
        </is>
      </c>
      <c r="H43" s="179" t="inlineStr">
        <is>
          <t>Stock début de mois</t>
        </is>
      </c>
      <c r="I43" s="179" t="inlineStr">
        <is>
          <t>Entrées du mois</t>
        </is>
      </c>
      <c r="J43" s="179" t="inlineStr">
        <is>
          <t>Sorties du mois</t>
        </is>
      </c>
      <c r="K43" s="179" t="inlineStr">
        <is>
          <t>Stock fin de mois</t>
        </is>
      </c>
      <c r="L43" s="179" t="inlineStr">
        <is>
          <t>Seuil minimum</t>
        </is>
      </c>
      <c r="M43" s="179" t="inlineStr">
        <is>
          <t>Statut</t>
        </is>
      </c>
      <c r="N43" s="179" t="inlineStr">
        <is>
          <t>Valeur (FC)</t>
        </is>
      </c>
    </row>
    <row r="44" ht="17" customHeight="1">
      <c r="A44" s="1" t="n"/>
      <c r="B44" s="1" t="n"/>
      <c r="C44" s="2" t="n"/>
      <c r="E44" s="182">
        <f>IF($P44="","",INDEX(FOU_Article,MATCH($P44,FOU_Code,0)))</f>
        <v/>
      </c>
      <c r="F44" s="183" t="n"/>
      <c r="G44" s="204">
        <f>IF($P44="","",INDEX(FOU_Unite,MATCH($P44,FOU_Code,0)))</f>
        <v/>
      </c>
      <c r="H44" s="184">
        <f>IF($P44="","",INDEX('Fournitures'!$I$7:$I$206,MATCH($P44,FOU_Code,0))+SUMIFS(MOV_Qte,MOV_Code,$P44,MOV_Type,"Entrée",MOV_Date,"&lt;"&amp;R_Mois)-SUMIFS(MOV_Qte,MOV_Code,$P44,MOV_Type,"Sortie",MOV_Date,"&lt;"&amp;R_Mois))</f>
        <v/>
      </c>
      <c r="I44" s="205">
        <f>IF($P44="","",SUMIFS(MOV_Qte,MOV_Code,$P44,MOV_Type,"Entrée",MOV_Date,"&gt;="&amp;R_Mois,MOV_Date,"&lt;"&amp;EDATE(R_Mois,1)))</f>
        <v/>
      </c>
      <c r="J44" s="205">
        <f>IF($P44="","",SUMIFS(MOV_Qte,MOV_Code,$P44,MOV_Type,"Sortie",MOV_Date,"&gt;="&amp;R_Mois,MOV_Date,"&lt;"&amp;EDATE(R_Mois,1)))</f>
        <v/>
      </c>
      <c r="K44" s="206">
        <f>IF($P44="","",H44+I44-J44)</f>
        <v/>
      </c>
      <c r="L44" s="184">
        <f>IF($P44="","",INDEX(FOU_Seuil,MATCH($P44,FOU_Code,0)))</f>
        <v/>
      </c>
      <c r="M44" s="204">
        <f>IF($P44="","",IF(K44&lt;=0,"Rupture",IF(K44&lt;=L44,"Stock faible","En stock")))</f>
        <v/>
      </c>
      <c r="N44" s="207">
        <f>IF($P44="","",K44*INDEX('Fournitures'!$K$7:$K$206,MATCH($P44,FOU_Code,0)))</f>
        <v/>
      </c>
      <c r="P44">
        <f>IF(1&gt;COUNTIF(FOU_Code,"?*"),"",INDEX(FOU_Code,1))</f>
        <v/>
      </c>
    </row>
    <row r="45" ht="17" customHeight="1">
      <c r="A45" s="1" t="n"/>
      <c r="B45" s="1" t="n"/>
      <c r="C45" s="2" t="n"/>
      <c r="E45" s="182">
        <f>IF($P45="","",INDEX(FOU_Article,MATCH($P45,FOU_Code,0)))</f>
        <v/>
      </c>
      <c r="F45" s="183" t="n"/>
      <c r="G45" s="204">
        <f>IF($P45="","",INDEX(FOU_Unite,MATCH($P45,FOU_Code,0)))</f>
        <v/>
      </c>
      <c r="H45" s="184">
        <f>IF($P45="","",INDEX('Fournitures'!$I$7:$I$206,MATCH($P45,FOU_Code,0))+SUMIFS(MOV_Qte,MOV_Code,$P45,MOV_Type,"Entrée",MOV_Date,"&lt;"&amp;R_Mois)-SUMIFS(MOV_Qte,MOV_Code,$P45,MOV_Type,"Sortie",MOV_Date,"&lt;"&amp;R_Mois))</f>
        <v/>
      </c>
      <c r="I45" s="205">
        <f>IF($P45="","",SUMIFS(MOV_Qte,MOV_Code,$P45,MOV_Type,"Entrée",MOV_Date,"&gt;="&amp;R_Mois,MOV_Date,"&lt;"&amp;EDATE(R_Mois,1)))</f>
        <v/>
      </c>
      <c r="J45" s="205">
        <f>IF($P45="","",SUMIFS(MOV_Qte,MOV_Code,$P45,MOV_Type,"Sortie",MOV_Date,"&gt;="&amp;R_Mois,MOV_Date,"&lt;"&amp;EDATE(R_Mois,1)))</f>
        <v/>
      </c>
      <c r="K45" s="206">
        <f>IF($P45="","",H45+I45-J45)</f>
        <v/>
      </c>
      <c r="L45" s="184">
        <f>IF($P45="","",INDEX(FOU_Seuil,MATCH($P45,FOU_Code,0)))</f>
        <v/>
      </c>
      <c r="M45" s="204">
        <f>IF($P45="","",IF(K45&lt;=0,"Rupture",IF(K45&lt;=L45,"Stock faible","En stock")))</f>
        <v/>
      </c>
      <c r="N45" s="207">
        <f>IF($P45="","",K45*INDEX('Fournitures'!$K$7:$K$206,MATCH($P45,FOU_Code,0)))</f>
        <v/>
      </c>
      <c r="P45">
        <f>IF(2&gt;COUNTIF(FOU_Code,"?*"),"",INDEX(FOU_Code,2))</f>
        <v/>
      </c>
    </row>
    <row r="46" ht="17" customHeight="1">
      <c r="A46" s="1" t="n"/>
      <c r="B46" s="1" t="n"/>
      <c r="C46" s="2" t="n"/>
      <c r="E46" s="182">
        <f>IF($P46="","",INDEX(FOU_Article,MATCH($P46,FOU_Code,0)))</f>
        <v/>
      </c>
      <c r="F46" s="183" t="n"/>
      <c r="G46" s="204">
        <f>IF($P46="","",INDEX(FOU_Unite,MATCH($P46,FOU_Code,0)))</f>
        <v/>
      </c>
      <c r="H46" s="184">
        <f>IF($P46="","",INDEX('Fournitures'!$I$7:$I$206,MATCH($P46,FOU_Code,0))+SUMIFS(MOV_Qte,MOV_Code,$P46,MOV_Type,"Entrée",MOV_Date,"&lt;"&amp;R_Mois)-SUMIFS(MOV_Qte,MOV_Code,$P46,MOV_Type,"Sortie",MOV_Date,"&lt;"&amp;R_Mois))</f>
        <v/>
      </c>
      <c r="I46" s="205">
        <f>IF($P46="","",SUMIFS(MOV_Qte,MOV_Code,$P46,MOV_Type,"Entrée",MOV_Date,"&gt;="&amp;R_Mois,MOV_Date,"&lt;"&amp;EDATE(R_Mois,1)))</f>
        <v/>
      </c>
      <c r="J46" s="205">
        <f>IF($P46="","",SUMIFS(MOV_Qte,MOV_Code,$P46,MOV_Type,"Sortie",MOV_Date,"&gt;="&amp;R_Mois,MOV_Date,"&lt;"&amp;EDATE(R_Mois,1)))</f>
        <v/>
      </c>
      <c r="K46" s="206">
        <f>IF($P46="","",H46+I46-J46)</f>
        <v/>
      </c>
      <c r="L46" s="184">
        <f>IF($P46="","",INDEX(FOU_Seuil,MATCH($P46,FOU_Code,0)))</f>
        <v/>
      </c>
      <c r="M46" s="204">
        <f>IF($P46="","",IF(K46&lt;=0,"Rupture",IF(K46&lt;=L46,"Stock faible","En stock")))</f>
        <v/>
      </c>
      <c r="N46" s="207">
        <f>IF($P46="","",K46*INDEX('Fournitures'!$K$7:$K$206,MATCH($P46,FOU_Code,0)))</f>
        <v/>
      </c>
      <c r="P46">
        <f>IF(3&gt;COUNTIF(FOU_Code,"?*"),"",INDEX(FOU_Code,3))</f>
        <v/>
      </c>
    </row>
    <row r="47" ht="17" customHeight="1">
      <c r="A47" s="1" t="n"/>
      <c r="B47" s="1" t="n"/>
      <c r="C47" s="2" t="n"/>
      <c r="E47" s="182">
        <f>IF($P47="","",INDEX(FOU_Article,MATCH($P47,FOU_Code,0)))</f>
        <v/>
      </c>
      <c r="F47" s="183" t="n"/>
      <c r="G47" s="204">
        <f>IF($P47="","",INDEX(FOU_Unite,MATCH($P47,FOU_Code,0)))</f>
        <v/>
      </c>
      <c r="H47" s="184">
        <f>IF($P47="","",INDEX('Fournitures'!$I$7:$I$206,MATCH($P47,FOU_Code,0))+SUMIFS(MOV_Qte,MOV_Code,$P47,MOV_Type,"Entrée",MOV_Date,"&lt;"&amp;R_Mois)-SUMIFS(MOV_Qte,MOV_Code,$P47,MOV_Type,"Sortie",MOV_Date,"&lt;"&amp;R_Mois))</f>
        <v/>
      </c>
      <c r="I47" s="205">
        <f>IF($P47="","",SUMIFS(MOV_Qte,MOV_Code,$P47,MOV_Type,"Entrée",MOV_Date,"&gt;="&amp;R_Mois,MOV_Date,"&lt;"&amp;EDATE(R_Mois,1)))</f>
        <v/>
      </c>
      <c r="J47" s="205">
        <f>IF($P47="","",SUMIFS(MOV_Qte,MOV_Code,$P47,MOV_Type,"Sortie",MOV_Date,"&gt;="&amp;R_Mois,MOV_Date,"&lt;"&amp;EDATE(R_Mois,1)))</f>
        <v/>
      </c>
      <c r="K47" s="206">
        <f>IF($P47="","",H47+I47-J47)</f>
        <v/>
      </c>
      <c r="L47" s="184">
        <f>IF($P47="","",INDEX(FOU_Seuil,MATCH($P47,FOU_Code,0)))</f>
        <v/>
      </c>
      <c r="M47" s="204">
        <f>IF($P47="","",IF(K47&lt;=0,"Rupture",IF(K47&lt;=L47,"Stock faible","En stock")))</f>
        <v/>
      </c>
      <c r="N47" s="207">
        <f>IF($P47="","",K47*INDEX('Fournitures'!$K$7:$K$206,MATCH($P47,FOU_Code,0)))</f>
        <v/>
      </c>
      <c r="P47">
        <f>IF(4&gt;COUNTIF(FOU_Code,"?*"),"",INDEX(FOU_Code,4))</f>
        <v/>
      </c>
    </row>
    <row r="48" ht="17" customHeight="1">
      <c r="A48" s="1" t="n"/>
      <c r="B48" s="1" t="n"/>
      <c r="C48" s="2" t="n"/>
      <c r="E48" s="182">
        <f>IF($P48="","",INDEX(FOU_Article,MATCH($P48,FOU_Code,0)))</f>
        <v/>
      </c>
      <c r="F48" s="183" t="n"/>
      <c r="G48" s="204">
        <f>IF($P48="","",INDEX(FOU_Unite,MATCH($P48,FOU_Code,0)))</f>
        <v/>
      </c>
      <c r="H48" s="184">
        <f>IF($P48="","",INDEX('Fournitures'!$I$7:$I$206,MATCH($P48,FOU_Code,0))+SUMIFS(MOV_Qte,MOV_Code,$P48,MOV_Type,"Entrée",MOV_Date,"&lt;"&amp;R_Mois)-SUMIFS(MOV_Qte,MOV_Code,$P48,MOV_Type,"Sortie",MOV_Date,"&lt;"&amp;R_Mois))</f>
        <v/>
      </c>
      <c r="I48" s="205">
        <f>IF($P48="","",SUMIFS(MOV_Qte,MOV_Code,$P48,MOV_Type,"Entrée",MOV_Date,"&gt;="&amp;R_Mois,MOV_Date,"&lt;"&amp;EDATE(R_Mois,1)))</f>
        <v/>
      </c>
      <c r="J48" s="205">
        <f>IF($P48="","",SUMIFS(MOV_Qte,MOV_Code,$P48,MOV_Type,"Sortie",MOV_Date,"&gt;="&amp;R_Mois,MOV_Date,"&lt;"&amp;EDATE(R_Mois,1)))</f>
        <v/>
      </c>
      <c r="K48" s="206">
        <f>IF($P48="","",H48+I48-J48)</f>
        <v/>
      </c>
      <c r="L48" s="184">
        <f>IF($P48="","",INDEX(FOU_Seuil,MATCH($P48,FOU_Code,0)))</f>
        <v/>
      </c>
      <c r="M48" s="204">
        <f>IF($P48="","",IF(K48&lt;=0,"Rupture",IF(K48&lt;=L48,"Stock faible","En stock")))</f>
        <v/>
      </c>
      <c r="N48" s="207">
        <f>IF($P48="","",K48*INDEX('Fournitures'!$K$7:$K$206,MATCH($P48,FOU_Code,0)))</f>
        <v/>
      </c>
      <c r="P48">
        <f>IF(5&gt;COUNTIF(FOU_Code,"?*"),"",INDEX(FOU_Code,5))</f>
        <v/>
      </c>
    </row>
    <row r="49" ht="17" customHeight="1">
      <c r="A49" s="1" t="n"/>
      <c r="B49" s="1" t="n"/>
      <c r="C49" s="2" t="n"/>
      <c r="E49" s="182">
        <f>IF($P49="","",INDEX(FOU_Article,MATCH($P49,FOU_Code,0)))</f>
        <v/>
      </c>
      <c r="F49" s="183" t="n"/>
      <c r="G49" s="204">
        <f>IF($P49="","",INDEX(FOU_Unite,MATCH($P49,FOU_Code,0)))</f>
        <v/>
      </c>
      <c r="H49" s="184">
        <f>IF($P49="","",INDEX('Fournitures'!$I$7:$I$206,MATCH($P49,FOU_Code,0))+SUMIFS(MOV_Qte,MOV_Code,$P49,MOV_Type,"Entrée",MOV_Date,"&lt;"&amp;R_Mois)-SUMIFS(MOV_Qte,MOV_Code,$P49,MOV_Type,"Sortie",MOV_Date,"&lt;"&amp;R_Mois))</f>
        <v/>
      </c>
      <c r="I49" s="205">
        <f>IF($P49="","",SUMIFS(MOV_Qte,MOV_Code,$P49,MOV_Type,"Entrée",MOV_Date,"&gt;="&amp;R_Mois,MOV_Date,"&lt;"&amp;EDATE(R_Mois,1)))</f>
        <v/>
      </c>
      <c r="J49" s="205">
        <f>IF($P49="","",SUMIFS(MOV_Qte,MOV_Code,$P49,MOV_Type,"Sortie",MOV_Date,"&gt;="&amp;R_Mois,MOV_Date,"&lt;"&amp;EDATE(R_Mois,1)))</f>
        <v/>
      </c>
      <c r="K49" s="206">
        <f>IF($P49="","",H49+I49-J49)</f>
        <v/>
      </c>
      <c r="L49" s="184">
        <f>IF($P49="","",INDEX(FOU_Seuil,MATCH($P49,FOU_Code,0)))</f>
        <v/>
      </c>
      <c r="M49" s="204">
        <f>IF($P49="","",IF(K49&lt;=0,"Rupture",IF(K49&lt;=L49,"Stock faible","En stock")))</f>
        <v/>
      </c>
      <c r="N49" s="207">
        <f>IF($P49="","",K49*INDEX('Fournitures'!$K$7:$K$206,MATCH($P49,FOU_Code,0)))</f>
        <v/>
      </c>
      <c r="P49">
        <f>IF(6&gt;COUNTIF(FOU_Code,"?*"),"",INDEX(FOU_Code,6))</f>
        <v/>
      </c>
    </row>
    <row r="50" ht="17" customHeight="1">
      <c r="A50" s="1" t="n"/>
      <c r="B50" s="1" t="n"/>
      <c r="C50" s="2" t="n"/>
      <c r="E50" s="182">
        <f>IF($P50="","",INDEX(FOU_Article,MATCH($P50,FOU_Code,0)))</f>
        <v/>
      </c>
      <c r="F50" s="183" t="n"/>
      <c r="G50" s="204">
        <f>IF($P50="","",INDEX(FOU_Unite,MATCH($P50,FOU_Code,0)))</f>
        <v/>
      </c>
      <c r="H50" s="184">
        <f>IF($P50="","",INDEX('Fournitures'!$I$7:$I$206,MATCH($P50,FOU_Code,0))+SUMIFS(MOV_Qte,MOV_Code,$P50,MOV_Type,"Entrée",MOV_Date,"&lt;"&amp;R_Mois)-SUMIFS(MOV_Qte,MOV_Code,$P50,MOV_Type,"Sortie",MOV_Date,"&lt;"&amp;R_Mois))</f>
        <v/>
      </c>
      <c r="I50" s="205">
        <f>IF($P50="","",SUMIFS(MOV_Qte,MOV_Code,$P50,MOV_Type,"Entrée",MOV_Date,"&gt;="&amp;R_Mois,MOV_Date,"&lt;"&amp;EDATE(R_Mois,1)))</f>
        <v/>
      </c>
      <c r="J50" s="205">
        <f>IF($P50="","",SUMIFS(MOV_Qte,MOV_Code,$P50,MOV_Type,"Sortie",MOV_Date,"&gt;="&amp;R_Mois,MOV_Date,"&lt;"&amp;EDATE(R_Mois,1)))</f>
        <v/>
      </c>
      <c r="K50" s="206">
        <f>IF($P50="","",H50+I50-J50)</f>
        <v/>
      </c>
      <c r="L50" s="184">
        <f>IF($P50="","",INDEX(FOU_Seuil,MATCH($P50,FOU_Code,0)))</f>
        <v/>
      </c>
      <c r="M50" s="204">
        <f>IF($P50="","",IF(K50&lt;=0,"Rupture",IF(K50&lt;=L50,"Stock faible","En stock")))</f>
        <v/>
      </c>
      <c r="N50" s="207">
        <f>IF($P50="","",K50*INDEX('Fournitures'!$K$7:$K$206,MATCH($P50,FOU_Code,0)))</f>
        <v/>
      </c>
      <c r="P50">
        <f>IF(7&gt;COUNTIF(FOU_Code,"?*"),"",INDEX(FOU_Code,7))</f>
        <v/>
      </c>
    </row>
    <row r="51" ht="17" customHeight="1">
      <c r="A51" s="1" t="n"/>
      <c r="B51" s="1" t="n"/>
      <c r="C51" s="2" t="n"/>
      <c r="E51" s="182">
        <f>IF($P51="","",INDEX(FOU_Article,MATCH($P51,FOU_Code,0)))</f>
        <v/>
      </c>
      <c r="F51" s="183" t="n"/>
      <c r="G51" s="204">
        <f>IF($P51="","",INDEX(FOU_Unite,MATCH($P51,FOU_Code,0)))</f>
        <v/>
      </c>
      <c r="H51" s="184">
        <f>IF($P51="","",INDEX('Fournitures'!$I$7:$I$206,MATCH($P51,FOU_Code,0))+SUMIFS(MOV_Qte,MOV_Code,$P51,MOV_Type,"Entrée",MOV_Date,"&lt;"&amp;R_Mois)-SUMIFS(MOV_Qte,MOV_Code,$P51,MOV_Type,"Sortie",MOV_Date,"&lt;"&amp;R_Mois))</f>
        <v/>
      </c>
      <c r="I51" s="205">
        <f>IF($P51="","",SUMIFS(MOV_Qte,MOV_Code,$P51,MOV_Type,"Entrée",MOV_Date,"&gt;="&amp;R_Mois,MOV_Date,"&lt;"&amp;EDATE(R_Mois,1)))</f>
        <v/>
      </c>
      <c r="J51" s="205">
        <f>IF($P51="","",SUMIFS(MOV_Qte,MOV_Code,$P51,MOV_Type,"Sortie",MOV_Date,"&gt;="&amp;R_Mois,MOV_Date,"&lt;"&amp;EDATE(R_Mois,1)))</f>
        <v/>
      </c>
      <c r="K51" s="206">
        <f>IF($P51="","",H51+I51-J51)</f>
        <v/>
      </c>
      <c r="L51" s="184">
        <f>IF($P51="","",INDEX(FOU_Seuil,MATCH($P51,FOU_Code,0)))</f>
        <v/>
      </c>
      <c r="M51" s="204">
        <f>IF($P51="","",IF(K51&lt;=0,"Rupture",IF(K51&lt;=L51,"Stock faible","En stock")))</f>
        <v/>
      </c>
      <c r="N51" s="207">
        <f>IF($P51="","",K51*INDEX('Fournitures'!$K$7:$K$206,MATCH($P51,FOU_Code,0)))</f>
        <v/>
      </c>
      <c r="P51">
        <f>IF(8&gt;COUNTIF(FOU_Code,"?*"),"",INDEX(FOU_Code,8))</f>
        <v/>
      </c>
    </row>
    <row r="52" ht="17" customHeight="1">
      <c r="A52" s="1" t="n"/>
      <c r="B52" s="1" t="n"/>
      <c r="C52" s="2" t="n"/>
      <c r="E52" s="182">
        <f>IF($P52="","",INDEX(FOU_Article,MATCH($P52,FOU_Code,0)))</f>
        <v/>
      </c>
      <c r="F52" s="183" t="n"/>
      <c r="G52" s="204">
        <f>IF($P52="","",INDEX(FOU_Unite,MATCH($P52,FOU_Code,0)))</f>
        <v/>
      </c>
      <c r="H52" s="184">
        <f>IF($P52="","",INDEX('Fournitures'!$I$7:$I$206,MATCH($P52,FOU_Code,0))+SUMIFS(MOV_Qte,MOV_Code,$P52,MOV_Type,"Entrée",MOV_Date,"&lt;"&amp;R_Mois)-SUMIFS(MOV_Qte,MOV_Code,$P52,MOV_Type,"Sortie",MOV_Date,"&lt;"&amp;R_Mois))</f>
        <v/>
      </c>
      <c r="I52" s="205">
        <f>IF($P52="","",SUMIFS(MOV_Qte,MOV_Code,$P52,MOV_Type,"Entrée",MOV_Date,"&gt;="&amp;R_Mois,MOV_Date,"&lt;"&amp;EDATE(R_Mois,1)))</f>
        <v/>
      </c>
      <c r="J52" s="205">
        <f>IF($P52="","",SUMIFS(MOV_Qte,MOV_Code,$P52,MOV_Type,"Sortie",MOV_Date,"&gt;="&amp;R_Mois,MOV_Date,"&lt;"&amp;EDATE(R_Mois,1)))</f>
        <v/>
      </c>
      <c r="K52" s="206">
        <f>IF($P52="","",H52+I52-J52)</f>
        <v/>
      </c>
      <c r="L52" s="184">
        <f>IF($P52="","",INDEX(FOU_Seuil,MATCH($P52,FOU_Code,0)))</f>
        <v/>
      </c>
      <c r="M52" s="204">
        <f>IF($P52="","",IF(K52&lt;=0,"Rupture",IF(K52&lt;=L52,"Stock faible","En stock")))</f>
        <v/>
      </c>
      <c r="N52" s="207">
        <f>IF($P52="","",K52*INDEX('Fournitures'!$K$7:$K$206,MATCH($P52,FOU_Code,0)))</f>
        <v/>
      </c>
      <c r="P52">
        <f>IF(9&gt;COUNTIF(FOU_Code,"?*"),"",INDEX(FOU_Code,9))</f>
        <v/>
      </c>
    </row>
    <row r="53" ht="17" customHeight="1">
      <c r="A53" s="1" t="n"/>
      <c r="B53" s="1" t="n"/>
      <c r="C53" s="2" t="n"/>
      <c r="E53" s="182">
        <f>IF($P53="","",INDEX(FOU_Article,MATCH($P53,FOU_Code,0)))</f>
        <v/>
      </c>
      <c r="F53" s="183" t="n"/>
      <c r="G53" s="204">
        <f>IF($P53="","",INDEX(FOU_Unite,MATCH($P53,FOU_Code,0)))</f>
        <v/>
      </c>
      <c r="H53" s="184">
        <f>IF($P53="","",INDEX('Fournitures'!$I$7:$I$206,MATCH($P53,FOU_Code,0))+SUMIFS(MOV_Qte,MOV_Code,$P53,MOV_Type,"Entrée",MOV_Date,"&lt;"&amp;R_Mois)-SUMIFS(MOV_Qte,MOV_Code,$P53,MOV_Type,"Sortie",MOV_Date,"&lt;"&amp;R_Mois))</f>
        <v/>
      </c>
      <c r="I53" s="205">
        <f>IF($P53="","",SUMIFS(MOV_Qte,MOV_Code,$P53,MOV_Type,"Entrée",MOV_Date,"&gt;="&amp;R_Mois,MOV_Date,"&lt;"&amp;EDATE(R_Mois,1)))</f>
        <v/>
      </c>
      <c r="J53" s="205">
        <f>IF($P53="","",SUMIFS(MOV_Qte,MOV_Code,$P53,MOV_Type,"Sortie",MOV_Date,"&gt;="&amp;R_Mois,MOV_Date,"&lt;"&amp;EDATE(R_Mois,1)))</f>
        <v/>
      </c>
      <c r="K53" s="206">
        <f>IF($P53="","",H53+I53-J53)</f>
        <v/>
      </c>
      <c r="L53" s="184">
        <f>IF($P53="","",INDEX(FOU_Seuil,MATCH($P53,FOU_Code,0)))</f>
        <v/>
      </c>
      <c r="M53" s="204">
        <f>IF($P53="","",IF(K53&lt;=0,"Rupture",IF(K53&lt;=L53,"Stock faible","En stock")))</f>
        <v/>
      </c>
      <c r="N53" s="207">
        <f>IF($P53="","",K53*INDEX('Fournitures'!$K$7:$K$206,MATCH($P53,FOU_Code,0)))</f>
        <v/>
      </c>
      <c r="P53">
        <f>IF(10&gt;COUNTIF(FOU_Code,"?*"),"",INDEX(FOU_Code,10))</f>
        <v/>
      </c>
    </row>
    <row r="54" ht="17" customHeight="1">
      <c r="A54" s="1" t="n"/>
      <c r="B54" s="1" t="n"/>
      <c r="C54" s="2" t="n"/>
      <c r="E54" s="182">
        <f>IF($P54="","",INDEX(FOU_Article,MATCH($P54,FOU_Code,0)))</f>
        <v/>
      </c>
      <c r="F54" s="183" t="n"/>
      <c r="G54" s="204">
        <f>IF($P54="","",INDEX(FOU_Unite,MATCH($P54,FOU_Code,0)))</f>
        <v/>
      </c>
      <c r="H54" s="184">
        <f>IF($P54="","",INDEX('Fournitures'!$I$7:$I$206,MATCH($P54,FOU_Code,0))+SUMIFS(MOV_Qte,MOV_Code,$P54,MOV_Type,"Entrée",MOV_Date,"&lt;"&amp;R_Mois)-SUMIFS(MOV_Qte,MOV_Code,$P54,MOV_Type,"Sortie",MOV_Date,"&lt;"&amp;R_Mois))</f>
        <v/>
      </c>
      <c r="I54" s="205">
        <f>IF($P54="","",SUMIFS(MOV_Qte,MOV_Code,$P54,MOV_Type,"Entrée",MOV_Date,"&gt;="&amp;R_Mois,MOV_Date,"&lt;"&amp;EDATE(R_Mois,1)))</f>
        <v/>
      </c>
      <c r="J54" s="205">
        <f>IF($P54="","",SUMIFS(MOV_Qte,MOV_Code,$P54,MOV_Type,"Sortie",MOV_Date,"&gt;="&amp;R_Mois,MOV_Date,"&lt;"&amp;EDATE(R_Mois,1)))</f>
        <v/>
      </c>
      <c r="K54" s="206">
        <f>IF($P54="","",H54+I54-J54)</f>
        <v/>
      </c>
      <c r="L54" s="184">
        <f>IF($P54="","",INDEX(FOU_Seuil,MATCH($P54,FOU_Code,0)))</f>
        <v/>
      </c>
      <c r="M54" s="204">
        <f>IF($P54="","",IF(K54&lt;=0,"Rupture",IF(K54&lt;=L54,"Stock faible","En stock")))</f>
        <v/>
      </c>
      <c r="N54" s="207">
        <f>IF($P54="","",K54*INDEX('Fournitures'!$K$7:$K$206,MATCH($P54,FOU_Code,0)))</f>
        <v/>
      </c>
      <c r="P54">
        <f>IF(11&gt;COUNTIF(FOU_Code,"?*"),"",INDEX(FOU_Code,11))</f>
        <v/>
      </c>
    </row>
    <row r="55" ht="17" customHeight="1">
      <c r="A55" s="1" t="n"/>
      <c r="B55" s="1" t="n"/>
      <c r="C55" s="2" t="n"/>
      <c r="E55" s="182">
        <f>IF($P55="","",INDEX(FOU_Article,MATCH($P55,FOU_Code,0)))</f>
        <v/>
      </c>
      <c r="F55" s="183" t="n"/>
      <c r="G55" s="204">
        <f>IF($P55="","",INDEX(FOU_Unite,MATCH($P55,FOU_Code,0)))</f>
        <v/>
      </c>
      <c r="H55" s="184">
        <f>IF($P55="","",INDEX('Fournitures'!$I$7:$I$206,MATCH($P55,FOU_Code,0))+SUMIFS(MOV_Qte,MOV_Code,$P55,MOV_Type,"Entrée",MOV_Date,"&lt;"&amp;R_Mois)-SUMIFS(MOV_Qte,MOV_Code,$P55,MOV_Type,"Sortie",MOV_Date,"&lt;"&amp;R_Mois))</f>
        <v/>
      </c>
      <c r="I55" s="205">
        <f>IF($P55="","",SUMIFS(MOV_Qte,MOV_Code,$P55,MOV_Type,"Entrée",MOV_Date,"&gt;="&amp;R_Mois,MOV_Date,"&lt;"&amp;EDATE(R_Mois,1)))</f>
        <v/>
      </c>
      <c r="J55" s="205">
        <f>IF($P55="","",SUMIFS(MOV_Qte,MOV_Code,$P55,MOV_Type,"Sortie",MOV_Date,"&gt;="&amp;R_Mois,MOV_Date,"&lt;"&amp;EDATE(R_Mois,1)))</f>
        <v/>
      </c>
      <c r="K55" s="206">
        <f>IF($P55="","",H55+I55-J55)</f>
        <v/>
      </c>
      <c r="L55" s="184">
        <f>IF($P55="","",INDEX(FOU_Seuil,MATCH($P55,FOU_Code,0)))</f>
        <v/>
      </c>
      <c r="M55" s="204">
        <f>IF($P55="","",IF(K55&lt;=0,"Rupture",IF(K55&lt;=L55,"Stock faible","En stock")))</f>
        <v/>
      </c>
      <c r="N55" s="207">
        <f>IF($P55="","",K55*INDEX('Fournitures'!$K$7:$K$206,MATCH($P55,FOU_Code,0)))</f>
        <v/>
      </c>
      <c r="P55">
        <f>IF(12&gt;COUNTIF(FOU_Code,"?*"),"",INDEX(FOU_Code,12))</f>
        <v/>
      </c>
    </row>
    <row r="56" ht="17" customHeight="1">
      <c r="A56" s="1" t="n"/>
      <c r="B56" s="1" t="n"/>
      <c r="C56" s="2" t="n"/>
      <c r="E56" s="182">
        <f>IF($P56="","",INDEX(FOU_Article,MATCH($P56,FOU_Code,0)))</f>
        <v/>
      </c>
      <c r="F56" s="183" t="n"/>
      <c r="G56" s="204">
        <f>IF($P56="","",INDEX(FOU_Unite,MATCH($P56,FOU_Code,0)))</f>
        <v/>
      </c>
      <c r="H56" s="184">
        <f>IF($P56="","",INDEX('Fournitures'!$I$7:$I$206,MATCH($P56,FOU_Code,0))+SUMIFS(MOV_Qte,MOV_Code,$P56,MOV_Type,"Entrée",MOV_Date,"&lt;"&amp;R_Mois)-SUMIFS(MOV_Qte,MOV_Code,$P56,MOV_Type,"Sortie",MOV_Date,"&lt;"&amp;R_Mois))</f>
        <v/>
      </c>
      <c r="I56" s="205">
        <f>IF($P56="","",SUMIFS(MOV_Qte,MOV_Code,$P56,MOV_Type,"Entrée",MOV_Date,"&gt;="&amp;R_Mois,MOV_Date,"&lt;"&amp;EDATE(R_Mois,1)))</f>
        <v/>
      </c>
      <c r="J56" s="205">
        <f>IF($P56="","",SUMIFS(MOV_Qte,MOV_Code,$P56,MOV_Type,"Sortie",MOV_Date,"&gt;="&amp;R_Mois,MOV_Date,"&lt;"&amp;EDATE(R_Mois,1)))</f>
        <v/>
      </c>
      <c r="K56" s="206">
        <f>IF($P56="","",H56+I56-J56)</f>
        <v/>
      </c>
      <c r="L56" s="184">
        <f>IF($P56="","",INDEX(FOU_Seuil,MATCH($P56,FOU_Code,0)))</f>
        <v/>
      </c>
      <c r="M56" s="204">
        <f>IF($P56="","",IF(K56&lt;=0,"Rupture",IF(K56&lt;=L56,"Stock faible","En stock")))</f>
        <v/>
      </c>
      <c r="N56" s="207">
        <f>IF($P56="","",K56*INDEX('Fournitures'!$K$7:$K$206,MATCH($P56,FOU_Code,0)))</f>
        <v/>
      </c>
      <c r="P56">
        <f>IF(13&gt;COUNTIF(FOU_Code,"?*"),"",INDEX(FOU_Code,13))</f>
        <v/>
      </c>
    </row>
    <row r="57" ht="17" customHeight="1">
      <c r="A57" s="1" t="n"/>
      <c r="B57" s="1" t="n"/>
      <c r="C57" s="2" t="n"/>
      <c r="E57" s="182">
        <f>IF($P57="","",INDEX(FOU_Article,MATCH($P57,FOU_Code,0)))</f>
        <v/>
      </c>
      <c r="F57" s="183" t="n"/>
      <c r="G57" s="204">
        <f>IF($P57="","",INDEX(FOU_Unite,MATCH($P57,FOU_Code,0)))</f>
        <v/>
      </c>
      <c r="H57" s="184">
        <f>IF($P57="","",INDEX('Fournitures'!$I$7:$I$206,MATCH($P57,FOU_Code,0))+SUMIFS(MOV_Qte,MOV_Code,$P57,MOV_Type,"Entrée",MOV_Date,"&lt;"&amp;R_Mois)-SUMIFS(MOV_Qte,MOV_Code,$P57,MOV_Type,"Sortie",MOV_Date,"&lt;"&amp;R_Mois))</f>
        <v/>
      </c>
      <c r="I57" s="205">
        <f>IF($P57="","",SUMIFS(MOV_Qte,MOV_Code,$P57,MOV_Type,"Entrée",MOV_Date,"&gt;="&amp;R_Mois,MOV_Date,"&lt;"&amp;EDATE(R_Mois,1)))</f>
        <v/>
      </c>
      <c r="J57" s="205">
        <f>IF($P57="","",SUMIFS(MOV_Qte,MOV_Code,$P57,MOV_Type,"Sortie",MOV_Date,"&gt;="&amp;R_Mois,MOV_Date,"&lt;"&amp;EDATE(R_Mois,1)))</f>
        <v/>
      </c>
      <c r="K57" s="206">
        <f>IF($P57="","",H57+I57-J57)</f>
        <v/>
      </c>
      <c r="L57" s="184">
        <f>IF($P57="","",INDEX(FOU_Seuil,MATCH($P57,FOU_Code,0)))</f>
        <v/>
      </c>
      <c r="M57" s="204">
        <f>IF($P57="","",IF(K57&lt;=0,"Rupture",IF(K57&lt;=L57,"Stock faible","En stock")))</f>
        <v/>
      </c>
      <c r="N57" s="207">
        <f>IF($P57="","",K57*INDEX('Fournitures'!$K$7:$K$206,MATCH($P57,FOU_Code,0)))</f>
        <v/>
      </c>
      <c r="P57">
        <f>IF(14&gt;COUNTIF(FOU_Code,"?*"),"",INDEX(FOU_Code,14))</f>
        <v/>
      </c>
    </row>
    <row r="58" ht="17" customHeight="1">
      <c r="A58" s="1" t="n"/>
      <c r="B58" s="1" t="n"/>
      <c r="C58" s="2" t="n"/>
      <c r="E58" s="182">
        <f>IF($P58="","",INDEX(FOU_Article,MATCH($P58,FOU_Code,0)))</f>
        <v/>
      </c>
      <c r="F58" s="183" t="n"/>
      <c r="G58" s="204">
        <f>IF($P58="","",INDEX(FOU_Unite,MATCH($P58,FOU_Code,0)))</f>
        <v/>
      </c>
      <c r="H58" s="184">
        <f>IF($P58="","",INDEX('Fournitures'!$I$7:$I$206,MATCH($P58,FOU_Code,0))+SUMIFS(MOV_Qte,MOV_Code,$P58,MOV_Type,"Entrée",MOV_Date,"&lt;"&amp;R_Mois)-SUMIFS(MOV_Qte,MOV_Code,$P58,MOV_Type,"Sortie",MOV_Date,"&lt;"&amp;R_Mois))</f>
        <v/>
      </c>
      <c r="I58" s="205">
        <f>IF($P58="","",SUMIFS(MOV_Qte,MOV_Code,$P58,MOV_Type,"Entrée",MOV_Date,"&gt;="&amp;R_Mois,MOV_Date,"&lt;"&amp;EDATE(R_Mois,1)))</f>
        <v/>
      </c>
      <c r="J58" s="205">
        <f>IF($P58="","",SUMIFS(MOV_Qte,MOV_Code,$P58,MOV_Type,"Sortie",MOV_Date,"&gt;="&amp;R_Mois,MOV_Date,"&lt;"&amp;EDATE(R_Mois,1)))</f>
        <v/>
      </c>
      <c r="K58" s="206">
        <f>IF($P58="","",H58+I58-J58)</f>
        <v/>
      </c>
      <c r="L58" s="184">
        <f>IF($P58="","",INDEX(FOU_Seuil,MATCH($P58,FOU_Code,0)))</f>
        <v/>
      </c>
      <c r="M58" s="204">
        <f>IF($P58="","",IF(K58&lt;=0,"Rupture",IF(K58&lt;=L58,"Stock faible","En stock")))</f>
        <v/>
      </c>
      <c r="N58" s="207">
        <f>IF($P58="","",K58*INDEX('Fournitures'!$K$7:$K$206,MATCH($P58,FOU_Code,0)))</f>
        <v/>
      </c>
      <c r="P58">
        <f>IF(15&gt;COUNTIF(FOU_Code,"?*"),"",INDEX(FOU_Code,15))</f>
        <v/>
      </c>
    </row>
    <row r="59" ht="17" customHeight="1">
      <c r="A59" s="1" t="n"/>
      <c r="B59" s="1" t="n"/>
      <c r="C59" s="2" t="n"/>
      <c r="E59" s="182">
        <f>IF($P59="","",INDEX(FOU_Article,MATCH($P59,FOU_Code,0)))</f>
        <v/>
      </c>
      <c r="F59" s="183" t="n"/>
      <c r="G59" s="204">
        <f>IF($P59="","",INDEX(FOU_Unite,MATCH($P59,FOU_Code,0)))</f>
        <v/>
      </c>
      <c r="H59" s="184">
        <f>IF($P59="","",INDEX('Fournitures'!$I$7:$I$206,MATCH($P59,FOU_Code,0))+SUMIFS(MOV_Qte,MOV_Code,$P59,MOV_Type,"Entrée",MOV_Date,"&lt;"&amp;R_Mois)-SUMIFS(MOV_Qte,MOV_Code,$P59,MOV_Type,"Sortie",MOV_Date,"&lt;"&amp;R_Mois))</f>
        <v/>
      </c>
      <c r="I59" s="205">
        <f>IF($P59="","",SUMIFS(MOV_Qte,MOV_Code,$P59,MOV_Type,"Entrée",MOV_Date,"&gt;="&amp;R_Mois,MOV_Date,"&lt;"&amp;EDATE(R_Mois,1)))</f>
        <v/>
      </c>
      <c r="J59" s="205">
        <f>IF($P59="","",SUMIFS(MOV_Qte,MOV_Code,$P59,MOV_Type,"Sortie",MOV_Date,"&gt;="&amp;R_Mois,MOV_Date,"&lt;"&amp;EDATE(R_Mois,1)))</f>
        <v/>
      </c>
      <c r="K59" s="206">
        <f>IF($P59="","",H59+I59-J59)</f>
        <v/>
      </c>
      <c r="L59" s="184">
        <f>IF($P59="","",INDEX(FOU_Seuil,MATCH($P59,FOU_Code,0)))</f>
        <v/>
      </c>
      <c r="M59" s="204">
        <f>IF($P59="","",IF(K59&lt;=0,"Rupture",IF(K59&lt;=L59,"Stock faible","En stock")))</f>
        <v/>
      </c>
      <c r="N59" s="207">
        <f>IF($P59="","",K59*INDEX('Fournitures'!$K$7:$K$206,MATCH($P59,FOU_Code,0)))</f>
        <v/>
      </c>
      <c r="P59">
        <f>IF(16&gt;COUNTIF(FOU_Code,"?*"),"",INDEX(FOU_Code,16))</f>
        <v/>
      </c>
    </row>
    <row r="60" ht="17" customHeight="1">
      <c r="A60" s="1" t="n"/>
      <c r="B60" s="1" t="n"/>
      <c r="C60" s="2" t="n"/>
      <c r="E60" s="182">
        <f>IF($P60="","",INDEX(FOU_Article,MATCH($P60,FOU_Code,0)))</f>
        <v/>
      </c>
      <c r="F60" s="183" t="n"/>
      <c r="G60" s="204">
        <f>IF($P60="","",INDEX(FOU_Unite,MATCH($P60,FOU_Code,0)))</f>
        <v/>
      </c>
      <c r="H60" s="184">
        <f>IF($P60="","",INDEX('Fournitures'!$I$7:$I$206,MATCH($P60,FOU_Code,0))+SUMIFS(MOV_Qte,MOV_Code,$P60,MOV_Type,"Entrée",MOV_Date,"&lt;"&amp;R_Mois)-SUMIFS(MOV_Qte,MOV_Code,$P60,MOV_Type,"Sortie",MOV_Date,"&lt;"&amp;R_Mois))</f>
        <v/>
      </c>
      <c r="I60" s="205">
        <f>IF($P60="","",SUMIFS(MOV_Qte,MOV_Code,$P60,MOV_Type,"Entrée",MOV_Date,"&gt;="&amp;R_Mois,MOV_Date,"&lt;"&amp;EDATE(R_Mois,1)))</f>
        <v/>
      </c>
      <c r="J60" s="205">
        <f>IF($P60="","",SUMIFS(MOV_Qte,MOV_Code,$P60,MOV_Type,"Sortie",MOV_Date,"&gt;="&amp;R_Mois,MOV_Date,"&lt;"&amp;EDATE(R_Mois,1)))</f>
        <v/>
      </c>
      <c r="K60" s="206">
        <f>IF($P60="","",H60+I60-J60)</f>
        <v/>
      </c>
      <c r="L60" s="184">
        <f>IF($P60="","",INDEX(FOU_Seuil,MATCH($P60,FOU_Code,0)))</f>
        <v/>
      </c>
      <c r="M60" s="204">
        <f>IF($P60="","",IF(K60&lt;=0,"Rupture",IF(K60&lt;=L60,"Stock faible","En stock")))</f>
        <v/>
      </c>
      <c r="N60" s="207">
        <f>IF($P60="","",K60*INDEX('Fournitures'!$K$7:$K$206,MATCH($P60,FOU_Code,0)))</f>
        <v/>
      </c>
      <c r="P60">
        <f>IF(17&gt;COUNTIF(FOU_Code,"?*"),"",INDEX(FOU_Code,17))</f>
        <v/>
      </c>
    </row>
    <row r="61" ht="17" customHeight="1">
      <c r="A61" s="1" t="n"/>
      <c r="B61" s="1" t="n"/>
      <c r="C61" s="2" t="n"/>
      <c r="E61" s="182">
        <f>IF($P61="","",INDEX(FOU_Article,MATCH($P61,FOU_Code,0)))</f>
        <v/>
      </c>
      <c r="F61" s="183" t="n"/>
      <c r="G61" s="204">
        <f>IF($P61="","",INDEX(FOU_Unite,MATCH($P61,FOU_Code,0)))</f>
        <v/>
      </c>
      <c r="H61" s="184">
        <f>IF($P61="","",INDEX('Fournitures'!$I$7:$I$206,MATCH($P61,FOU_Code,0))+SUMIFS(MOV_Qte,MOV_Code,$P61,MOV_Type,"Entrée",MOV_Date,"&lt;"&amp;R_Mois)-SUMIFS(MOV_Qte,MOV_Code,$P61,MOV_Type,"Sortie",MOV_Date,"&lt;"&amp;R_Mois))</f>
        <v/>
      </c>
      <c r="I61" s="205">
        <f>IF($P61="","",SUMIFS(MOV_Qte,MOV_Code,$P61,MOV_Type,"Entrée",MOV_Date,"&gt;="&amp;R_Mois,MOV_Date,"&lt;"&amp;EDATE(R_Mois,1)))</f>
        <v/>
      </c>
      <c r="J61" s="205">
        <f>IF($P61="","",SUMIFS(MOV_Qte,MOV_Code,$P61,MOV_Type,"Sortie",MOV_Date,"&gt;="&amp;R_Mois,MOV_Date,"&lt;"&amp;EDATE(R_Mois,1)))</f>
        <v/>
      </c>
      <c r="K61" s="206">
        <f>IF($P61="","",H61+I61-J61)</f>
        <v/>
      </c>
      <c r="L61" s="184">
        <f>IF($P61="","",INDEX(FOU_Seuil,MATCH($P61,FOU_Code,0)))</f>
        <v/>
      </c>
      <c r="M61" s="204">
        <f>IF($P61="","",IF(K61&lt;=0,"Rupture",IF(K61&lt;=L61,"Stock faible","En stock")))</f>
        <v/>
      </c>
      <c r="N61" s="207">
        <f>IF($P61="","",K61*INDEX('Fournitures'!$K$7:$K$206,MATCH($P61,FOU_Code,0)))</f>
        <v/>
      </c>
      <c r="P61">
        <f>IF(18&gt;COUNTIF(FOU_Code,"?*"),"",INDEX(FOU_Code,18))</f>
        <v/>
      </c>
    </row>
    <row r="62" ht="17" customHeight="1">
      <c r="A62" s="1" t="n"/>
      <c r="B62" s="1" t="n"/>
      <c r="C62" s="2" t="n"/>
      <c r="E62" s="182">
        <f>IF($P62="","",INDEX(FOU_Article,MATCH($P62,FOU_Code,0)))</f>
        <v/>
      </c>
      <c r="F62" s="183" t="n"/>
      <c r="G62" s="204">
        <f>IF($P62="","",INDEX(FOU_Unite,MATCH($P62,FOU_Code,0)))</f>
        <v/>
      </c>
      <c r="H62" s="184">
        <f>IF($P62="","",INDEX('Fournitures'!$I$7:$I$206,MATCH($P62,FOU_Code,0))+SUMIFS(MOV_Qte,MOV_Code,$P62,MOV_Type,"Entrée",MOV_Date,"&lt;"&amp;R_Mois)-SUMIFS(MOV_Qte,MOV_Code,$P62,MOV_Type,"Sortie",MOV_Date,"&lt;"&amp;R_Mois))</f>
        <v/>
      </c>
      <c r="I62" s="205">
        <f>IF($P62="","",SUMIFS(MOV_Qte,MOV_Code,$P62,MOV_Type,"Entrée",MOV_Date,"&gt;="&amp;R_Mois,MOV_Date,"&lt;"&amp;EDATE(R_Mois,1)))</f>
        <v/>
      </c>
      <c r="J62" s="205">
        <f>IF($P62="","",SUMIFS(MOV_Qte,MOV_Code,$P62,MOV_Type,"Sortie",MOV_Date,"&gt;="&amp;R_Mois,MOV_Date,"&lt;"&amp;EDATE(R_Mois,1)))</f>
        <v/>
      </c>
      <c r="K62" s="206">
        <f>IF($P62="","",H62+I62-J62)</f>
        <v/>
      </c>
      <c r="L62" s="184">
        <f>IF($P62="","",INDEX(FOU_Seuil,MATCH($P62,FOU_Code,0)))</f>
        <v/>
      </c>
      <c r="M62" s="204">
        <f>IF($P62="","",IF(K62&lt;=0,"Rupture",IF(K62&lt;=L62,"Stock faible","En stock")))</f>
        <v/>
      </c>
      <c r="N62" s="207">
        <f>IF($P62="","",K62*INDEX('Fournitures'!$K$7:$K$206,MATCH($P62,FOU_Code,0)))</f>
        <v/>
      </c>
      <c r="P62">
        <f>IF(19&gt;COUNTIF(FOU_Code,"?*"),"",INDEX(FOU_Code,19))</f>
        <v/>
      </c>
    </row>
    <row r="63" ht="17" customHeight="1">
      <c r="A63" s="1" t="n"/>
      <c r="B63" s="1" t="n"/>
      <c r="C63" s="2" t="n"/>
      <c r="E63" s="182">
        <f>IF($P63="","",INDEX(FOU_Article,MATCH($P63,FOU_Code,0)))</f>
        <v/>
      </c>
      <c r="F63" s="183" t="n"/>
      <c r="G63" s="204">
        <f>IF($P63="","",INDEX(FOU_Unite,MATCH($P63,FOU_Code,0)))</f>
        <v/>
      </c>
      <c r="H63" s="184">
        <f>IF($P63="","",INDEX('Fournitures'!$I$7:$I$206,MATCH($P63,FOU_Code,0))+SUMIFS(MOV_Qte,MOV_Code,$P63,MOV_Type,"Entrée",MOV_Date,"&lt;"&amp;R_Mois)-SUMIFS(MOV_Qte,MOV_Code,$P63,MOV_Type,"Sortie",MOV_Date,"&lt;"&amp;R_Mois))</f>
        <v/>
      </c>
      <c r="I63" s="205">
        <f>IF($P63="","",SUMIFS(MOV_Qte,MOV_Code,$P63,MOV_Type,"Entrée",MOV_Date,"&gt;="&amp;R_Mois,MOV_Date,"&lt;"&amp;EDATE(R_Mois,1)))</f>
        <v/>
      </c>
      <c r="J63" s="205">
        <f>IF($P63="","",SUMIFS(MOV_Qte,MOV_Code,$P63,MOV_Type,"Sortie",MOV_Date,"&gt;="&amp;R_Mois,MOV_Date,"&lt;"&amp;EDATE(R_Mois,1)))</f>
        <v/>
      </c>
      <c r="K63" s="206">
        <f>IF($P63="","",H63+I63-J63)</f>
        <v/>
      </c>
      <c r="L63" s="184">
        <f>IF($P63="","",INDEX(FOU_Seuil,MATCH($P63,FOU_Code,0)))</f>
        <v/>
      </c>
      <c r="M63" s="204">
        <f>IF($P63="","",IF(K63&lt;=0,"Rupture",IF(K63&lt;=L63,"Stock faible","En stock")))</f>
        <v/>
      </c>
      <c r="N63" s="207">
        <f>IF($P63="","",K63*INDEX('Fournitures'!$K$7:$K$206,MATCH($P63,FOU_Code,0)))</f>
        <v/>
      </c>
      <c r="P63">
        <f>IF(20&gt;COUNTIF(FOU_Code,"?*"),"",INDEX(FOU_Code,20))</f>
        <v/>
      </c>
    </row>
    <row r="64" ht="17" customHeight="1">
      <c r="A64" s="1" t="n"/>
      <c r="B64" s="1" t="n"/>
      <c r="C64" s="2" t="n"/>
      <c r="E64" s="182">
        <f>IF($P64="","",INDEX(FOU_Article,MATCH($P64,FOU_Code,0)))</f>
        <v/>
      </c>
      <c r="F64" s="183" t="n"/>
      <c r="G64" s="204">
        <f>IF($P64="","",INDEX(FOU_Unite,MATCH($P64,FOU_Code,0)))</f>
        <v/>
      </c>
      <c r="H64" s="184">
        <f>IF($P64="","",INDEX('Fournitures'!$I$7:$I$206,MATCH($P64,FOU_Code,0))+SUMIFS(MOV_Qte,MOV_Code,$P64,MOV_Type,"Entrée",MOV_Date,"&lt;"&amp;R_Mois)-SUMIFS(MOV_Qte,MOV_Code,$P64,MOV_Type,"Sortie",MOV_Date,"&lt;"&amp;R_Mois))</f>
        <v/>
      </c>
      <c r="I64" s="205">
        <f>IF($P64="","",SUMIFS(MOV_Qte,MOV_Code,$P64,MOV_Type,"Entrée",MOV_Date,"&gt;="&amp;R_Mois,MOV_Date,"&lt;"&amp;EDATE(R_Mois,1)))</f>
        <v/>
      </c>
      <c r="J64" s="205">
        <f>IF($P64="","",SUMIFS(MOV_Qte,MOV_Code,$P64,MOV_Type,"Sortie",MOV_Date,"&gt;="&amp;R_Mois,MOV_Date,"&lt;"&amp;EDATE(R_Mois,1)))</f>
        <v/>
      </c>
      <c r="K64" s="206">
        <f>IF($P64="","",H64+I64-J64)</f>
        <v/>
      </c>
      <c r="L64" s="184">
        <f>IF($P64="","",INDEX(FOU_Seuil,MATCH($P64,FOU_Code,0)))</f>
        <v/>
      </c>
      <c r="M64" s="204">
        <f>IF($P64="","",IF(K64&lt;=0,"Rupture",IF(K64&lt;=L64,"Stock faible","En stock")))</f>
        <v/>
      </c>
      <c r="N64" s="207">
        <f>IF($P64="","",K64*INDEX('Fournitures'!$K$7:$K$206,MATCH($P64,FOU_Code,0)))</f>
        <v/>
      </c>
      <c r="P64">
        <f>IF(21&gt;COUNTIF(FOU_Code,"?*"),"",INDEX(FOU_Code,21))</f>
        <v/>
      </c>
    </row>
    <row r="65" ht="17" customHeight="1">
      <c r="A65" s="1" t="n"/>
      <c r="B65" s="1" t="n"/>
      <c r="C65" s="2" t="n"/>
      <c r="E65" s="182">
        <f>IF($P65="","",INDEX(FOU_Article,MATCH($P65,FOU_Code,0)))</f>
        <v/>
      </c>
      <c r="F65" s="183" t="n"/>
      <c r="G65" s="204">
        <f>IF($P65="","",INDEX(FOU_Unite,MATCH($P65,FOU_Code,0)))</f>
        <v/>
      </c>
      <c r="H65" s="184">
        <f>IF($P65="","",INDEX('Fournitures'!$I$7:$I$206,MATCH($P65,FOU_Code,0))+SUMIFS(MOV_Qte,MOV_Code,$P65,MOV_Type,"Entrée",MOV_Date,"&lt;"&amp;R_Mois)-SUMIFS(MOV_Qte,MOV_Code,$P65,MOV_Type,"Sortie",MOV_Date,"&lt;"&amp;R_Mois))</f>
        <v/>
      </c>
      <c r="I65" s="205">
        <f>IF($P65="","",SUMIFS(MOV_Qte,MOV_Code,$P65,MOV_Type,"Entrée",MOV_Date,"&gt;="&amp;R_Mois,MOV_Date,"&lt;"&amp;EDATE(R_Mois,1)))</f>
        <v/>
      </c>
      <c r="J65" s="205">
        <f>IF($P65="","",SUMIFS(MOV_Qte,MOV_Code,$P65,MOV_Type,"Sortie",MOV_Date,"&gt;="&amp;R_Mois,MOV_Date,"&lt;"&amp;EDATE(R_Mois,1)))</f>
        <v/>
      </c>
      <c r="K65" s="206">
        <f>IF($P65="","",H65+I65-J65)</f>
        <v/>
      </c>
      <c r="L65" s="184">
        <f>IF($P65="","",INDEX(FOU_Seuil,MATCH($P65,FOU_Code,0)))</f>
        <v/>
      </c>
      <c r="M65" s="204">
        <f>IF($P65="","",IF(K65&lt;=0,"Rupture",IF(K65&lt;=L65,"Stock faible","En stock")))</f>
        <v/>
      </c>
      <c r="N65" s="207">
        <f>IF($P65="","",K65*INDEX('Fournitures'!$K$7:$K$206,MATCH($P65,FOU_Code,0)))</f>
        <v/>
      </c>
      <c r="P65">
        <f>IF(22&gt;COUNTIF(FOU_Code,"?*"),"",INDEX(FOU_Code,22))</f>
        <v/>
      </c>
    </row>
    <row r="66" ht="17" customHeight="1">
      <c r="A66" s="1" t="n"/>
      <c r="B66" s="1" t="n"/>
      <c r="C66" s="2" t="n"/>
      <c r="E66" s="182">
        <f>IF($P66="","",INDEX(FOU_Article,MATCH($P66,FOU_Code,0)))</f>
        <v/>
      </c>
      <c r="F66" s="183" t="n"/>
      <c r="G66" s="204">
        <f>IF($P66="","",INDEX(FOU_Unite,MATCH($P66,FOU_Code,0)))</f>
        <v/>
      </c>
      <c r="H66" s="184">
        <f>IF($P66="","",INDEX('Fournitures'!$I$7:$I$206,MATCH($P66,FOU_Code,0))+SUMIFS(MOV_Qte,MOV_Code,$P66,MOV_Type,"Entrée",MOV_Date,"&lt;"&amp;R_Mois)-SUMIFS(MOV_Qte,MOV_Code,$P66,MOV_Type,"Sortie",MOV_Date,"&lt;"&amp;R_Mois))</f>
        <v/>
      </c>
      <c r="I66" s="205">
        <f>IF($P66="","",SUMIFS(MOV_Qte,MOV_Code,$P66,MOV_Type,"Entrée",MOV_Date,"&gt;="&amp;R_Mois,MOV_Date,"&lt;"&amp;EDATE(R_Mois,1)))</f>
        <v/>
      </c>
      <c r="J66" s="205">
        <f>IF($P66="","",SUMIFS(MOV_Qte,MOV_Code,$P66,MOV_Type,"Sortie",MOV_Date,"&gt;="&amp;R_Mois,MOV_Date,"&lt;"&amp;EDATE(R_Mois,1)))</f>
        <v/>
      </c>
      <c r="K66" s="206">
        <f>IF($P66="","",H66+I66-J66)</f>
        <v/>
      </c>
      <c r="L66" s="184">
        <f>IF($P66="","",INDEX(FOU_Seuil,MATCH($P66,FOU_Code,0)))</f>
        <v/>
      </c>
      <c r="M66" s="204">
        <f>IF($P66="","",IF(K66&lt;=0,"Rupture",IF(K66&lt;=L66,"Stock faible","En stock")))</f>
        <v/>
      </c>
      <c r="N66" s="207">
        <f>IF($P66="","",K66*INDEX('Fournitures'!$K$7:$K$206,MATCH($P66,FOU_Code,0)))</f>
        <v/>
      </c>
      <c r="P66">
        <f>IF(23&gt;COUNTIF(FOU_Code,"?*"),"",INDEX(FOU_Code,23))</f>
        <v/>
      </c>
    </row>
    <row r="67" ht="17" customHeight="1">
      <c r="A67" s="1" t="n"/>
      <c r="B67" s="1" t="n"/>
      <c r="C67" s="2" t="n"/>
      <c r="E67" s="182">
        <f>IF($P67="","",INDEX(FOU_Article,MATCH($P67,FOU_Code,0)))</f>
        <v/>
      </c>
      <c r="F67" s="183" t="n"/>
      <c r="G67" s="204">
        <f>IF($P67="","",INDEX(FOU_Unite,MATCH($P67,FOU_Code,0)))</f>
        <v/>
      </c>
      <c r="H67" s="184">
        <f>IF($P67="","",INDEX('Fournitures'!$I$7:$I$206,MATCH($P67,FOU_Code,0))+SUMIFS(MOV_Qte,MOV_Code,$P67,MOV_Type,"Entrée",MOV_Date,"&lt;"&amp;R_Mois)-SUMIFS(MOV_Qte,MOV_Code,$P67,MOV_Type,"Sortie",MOV_Date,"&lt;"&amp;R_Mois))</f>
        <v/>
      </c>
      <c r="I67" s="205">
        <f>IF($P67="","",SUMIFS(MOV_Qte,MOV_Code,$P67,MOV_Type,"Entrée",MOV_Date,"&gt;="&amp;R_Mois,MOV_Date,"&lt;"&amp;EDATE(R_Mois,1)))</f>
        <v/>
      </c>
      <c r="J67" s="205">
        <f>IF($P67="","",SUMIFS(MOV_Qte,MOV_Code,$P67,MOV_Type,"Sortie",MOV_Date,"&gt;="&amp;R_Mois,MOV_Date,"&lt;"&amp;EDATE(R_Mois,1)))</f>
        <v/>
      </c>
      <c r="K67" s="206">
        <f>IF($P67="","",H67+I67-J67)</f>
        <v/>
      </c>
      <c r="L67" s="184">
        <f>IF($P67="","",INDEX(FOU_Seuil,MATCH($P67,FOU_Code,0)))</f>
        <v/>
      </c>
      <c r="M67" s="204">
        <f>IF($P67="","",IF(K67&lt;=0,"Rupture",IF(K67&lt;=L67,"Stock faible","En stock")))</f>
        <v/>
      </c>
      <c r="N67" s="207">
        <f>IF($P67="","",K67*INDEX('Fournitures'!$K$7:$K$206,MATCH($P67,FOU_Code,0)))</f>
        <v/>
      </c>
      <c r="P67">
        <f>IF(24&gt;COUNTIF(FOU_Code,"?*"),"",INDEX(FOU_Code,24))</f>
        <v/>
      </c>
    </row>
    <row r="68" ht="17" customHeight="1">
      <c r="A68" s="1" t="n"/>
      <c r="B68" s="1" t="n"/>
      <c r="C68" s="2" t="n"/>
      <c r="E68" s="182">
        <f>IF($P68="","",INDEX(FOU_Article,MATCH($P68,FOU_Code,0)))</f>
        <v/>
      </c>
      <c r="F68" s="183" t="n"/>
      <c r="G68" s="204">
        <f>IF($P68="","",INDEX(FOU_Unite,MATCH($P68,FOU_Code,0)))</f>
        <v/>
      </c>
      <c r="H68" s="184">
        <f>IF($P68="","",INDEX('Fournitures'!$I$7:$I$206,MATCH($P68,FOU_Code,0))+SUMIFS(MOV_Qte,MOV_Code,$P68,MOV_Type,"Entrée",MOV_Date,"&lt;"&amp;R_Mois)-SUMIFS(MOV_Qte,MOV_Code,$P68,MOV_Type,"Sortie",MOV_Date,"&lt;"&amp;R_Mois))</f>
        <v/>
      </c>
      <c r="I68" s="205">
        <f>IF($P68="","",SUMIFS(MOV_Qte,MOV_Code,$P68,MOV_Type,"Entrée",MOV_Date,"&gt;="&amp;R_Mois,MOV_Date,"&lt;"&amp;EDATE(R_Mois,1)))</f>
        <v/>
      </c>
      <c r="J68" s="205">
        <f>IF($P68="","",SUMIFS(MOV_Qte,MOV_Code,$P68,MOV_Type,"Sortie",MOV_Date,"&gt;="&amp;R_Mois,MOV_Date,"&lt;"&amp;EDATE(R_Mois,1)))</f>
        <v/>
      </c>
      <c r="K68" s="206">
        <f>IF($P68="","",H68+I68-J68)</f>
        <v/>
      </c>
      <c r="L68" s="184">
        <f>IF($P68="","",INDEX(FOU_Seuil,MATCH($P68,FOU_Code,0)))</f>
        <v/>
      </c>
      <c r="M68" s="204">
        <f>IF($P68="","",IF(K68&lt;=0,"Rupture",IF(K68&lt;=L68,"Stock faible","En stock")))</f>
        <v/>
      </c>
      <c r="N68" s="207">
        <f>IF($P68="","",K68*INDEX('Fournitures'!$K$7:$K$206,MATCH($P68,FOU_Code,0)))</f>
        <v/>
      </c>
      <c r="P68">
        <f>IF(25&gt;COUNTIF(FOU_Code,"?*"),"",INDEX(FOU_Code,25))</f>
        <v/>
      </c>
    </row>
    <row r="69" ht="17" customHeight="1">
      <c r="A69" s="1" t="n"/>
      <c r="B69" s="1" t="n"/>
      <c r="C69" s="2" t="n"/>
      <c r="E69" s="182">
        <f>IF($P69="","",INDEX(FOU_Article,MATCH($P69,FOU_Code,0)))</f>
        <v/>
      </c>
      <c r="F69" s="183" t="n"/>
      <c r="G69" s="204">
        <f>IF($P69="","",INDEX(FOU_Unite,MATCH($P69,FOU_Code,0)))</f>
        <v/>
      </c>
      <c r="H69" s="184">
        <f>IF($P69="","",INDEX('Fournitures'!$I$7:$I$206,MATCH($P69,FOU_Code,0))+SUMIFS(MOV_Qte,MOV_Code,$P69,MOV_Type,"Entrée",MOV_Date,"&lt;"&amp;R_Mois)-SUMIFS(MOV_Qte,MOV_Code,$P69,MOV_Type,"Sortie",MOV_Date,"&lt;"&amp;R_Mois))</f>
        <v/>
      </c>
      <c r="I69" s="205">
        <f>IF($P69="","",SUMIFS(MOV_Qte,MOV_Code,$P69,MOV_Type,"Entrée",MOV_Date,"&gt;="&amp;R_Mois,MOV_Date,"&lt;"&amp;EDATE(R_Mois,1)))</f>
        <v/>
      </c>
      <c r="J69" s="205">
        <f>IF($P69="","",SUMIFS(MOV_Qte,MOV_Code,$P69,MOV_Type,"Sortie",MOV_Date,"&gt;="&amp;R_Mois,MOV_Date,"&lt;"&amp;EDATE(R_Mois,1)))</f>
        <v/>
      </c>
      <c r="K69" s="206">
        <f>IF($P69="","",H69+I69-J69)</f>
        <v/>
      </c>
      <c r="L69" s="184">
        <f>IF($P69="","",INDEX(FOU_Seuil,MATCH($P69,FOU_Code,0)))</f>
        <v/>
      </c>
      <c r="M69" s="204">
        <f>IF($P69="","",IF(K69&lt;=0,"Rupture",IF(K69&lt;=L69,"Stock faible","En stock")))</f>
        <v/>
      </c>
      <c r="N69" s="207">
        <f>IF($P69="","",K69*INDEX('Fournitures'!$K$7:$K$206,MATCH($P69,FOU_Code,0)))</f>
        <v/>
      </c>
      <c r="P69">
        <f>IF(26&gt;COUNTIF(FOU_Code,"?*"),"",INDEX(FOU_Code,26))</f>
        <v/>
      </c>
    </row>
    <row r="70" ht="17" customHeight="1">
      <c r="A70" s="1" t="n"/>
      <c r="B70" s="1" t="n"/>
      <c r="C70" s="2" t="n"/>
      <c r="E70" s="182">
        <f>IF($P70="","",INDEX(FOU_Article,MATCH($P70,FOU_Code,0)))</f>
        <v/>
      </c>
      <c r="F70" s="183" t="n"/>
      <c r="G70" s="204">
        <f>IF($P70="","",INDEX(FOU_Unite,MATCH($P70,FOU_Code,0)))</f>
        <v/>
      </c>
      <c r="H70" s="184">
        <f>IF($P70="","",INDEX('Fournitures'!$I$7:$I$206,MATCH($P70,FOU_Code,0))+SUMIFS(MOV_Qte,MOV_Code,$P70,MOV_Type,"Entrée",MOV_Date,"&lt;"&amp;R_Mois)-SUMIFS(MOV_Qte,MOV_Code,$P70,MOV_Type,"Sortie",MOV_Date,"&lt;"&amp;R_Mois))</f>
        <v/>
      </c>
      <c r="I70" s="205">
        <f>IF($P70="","",SUMIFS(MOV_Qte,MOV_Code,$P70,MOV_Type,"Entrée",MOV_Date,"&gt;="&amp;R_Mois,MOV_Date,"&lt;"&amp;EDATE(R_Mois,1)))</f>
        <v/>
      </c>
      <c r="J70" s="205">
        <f>IF($P70="","",SUMIFS(MOV_Qte,MOV_Code,$P70,MOV_Type,"Sortie",MOV_Date,"&gt;="&amp;R_Mois,MOV_Date,"&lt;"&amp;EDATE(R_Mois,1)))</f>
        <v/>
      </c>
      <c r="K70" s="206">
        <f>IF($P70="","",H70+I70-J70)</f>
        <v/>
      </c>
      <c r="L70" s="184">
        <f>IF($P70="","",INDEX(FOU_Seuil,MATCH($P70,FOU_Code,0)))</f>
        <v/>
      </c>
      <c r="M70" s="204">
        <f>IF($P70="","",IF(K70&lt;=0,"Rupture",IF(K70&lt;=L70,"Stock faible","En stock")))</f>
        <v/>
      </c>
      <c r="N70" s="207">
        <f>IF($P70="","",K70*INDEX('Fournitures'!$K$7:$K$206,MATCH($P70,FOU_Code,0)))</f>
        <v/>
      </c>
      <c r="P70">
        <f>IF(27&gt;COUNTIF(FOU_Code,"?*"),"",INDEX(FOU_Code,27))</f>
        <v/>
      </c>
    </row>
    <row r="71" ht="17" customHeight="1">
      <c r="A71" s="1" t="n"/>
      <c r="B71" s="1" t="n"/>
      <c r="C71" s="2" t="n"/>
      <c r="E71" s="182">
        <f>IF($P71="","",INDEX(FOU_Article,MATCH($P71,FOU_Code,0)))</f>
        <v/>
      </c>
      <c r="F71" s="183" t="n"/>
      <c r="G71" s="204">
        <f>IF($P71="","",INDEX(FOU_Unite,MATCH($P71,FOU_Code,0)))</f>
        <v/>
      </c>
      <c r="H71" s="184">
        <f>IF($P71="","",INDEX('Fournitures'!$I$7:$I$206,MATCH($P71,FOU_Code,0))+SUMIFS(MOV_Qte,MOV_Code,$P71,MOV_Type,"Entrée",MOV_Date,"&lt;"&amp;R_Mois)-SUMIFS(MOV_Qte,MOV_Code,$P71,MOV_Type,"Sortie",MOV_Date,"&lt;"&amp;R_Mois))</f>
        <v/>
      </c>
      <c r="I71" s="205">
        <f>IF($P71="","",SUMIFS(MOV_Qte,MOV_Code,$P71,MOV_Type,"Entrée",MOV_Date,"&gt;="&amp;R_Mois,MOV_Date,"&lt;"&amp;EDATE(R_Mois,1)))</f>
        <v/>
      </c>
      <c r="J71" s="205">
        <f>IF($P71="","",SUMIFS(MOV_Qte,MOV_Code,$P71,MOV_Type,"Sortie",MOV_Date,"&gt;="&amp;R_Mois,MOV_Date,"&lt;"&amp;EDATE(R_Mois,1)))</f>
        <v/>
      </c>
      <c r="K71" s="206">
        <f>IF($P71="","",H71+I71-J71)</f>
        <v/>
      </c>
      <c r="L71" s="184">
        <f>IF($P71="","",INDEX(FOU_Seuil,MATCH($P71,FOU_Code,0)))</f>
        <v/>
      </c>
      <c r="M71" s="204">
        <f>IF($P71="","",IF(K71&lt;=0,"Rupture",IF(K71&lt;=L71,"Stock faible","En stock")))</f>
        <v/>
      </c>
      <c r="N71" s="207">
        <f>IF($P71="","",K71*INDEX('Fournitures'!$K$7:$K$206,MATCH($P71,FOU_Code,0)))</f>
        <v/>
      </c>
      <c r="P71">
        <f>IF(28&gt;COUNTIF(FOU_Code,"?*"),"",INDEX(FOU_Code,28))</f>
        <v/>
      </c>
    </row>
    <row r="72" ht="17" customHeight="1">
      <c r="A72" s="1" t="n"/>
      <c r="B72" s="1" t="n"/>
      <c r="C72" s="2" t="n"/>
      <c r="E72" s="182">
        <f>IF($P72="","",INDEX(FOU_Article,MATCH($P72,FOU_Code,0)))</f>
        <v/>
      </c>
      <c r="F72" s="183" t="n"/>
      <c r="G72" s="204">
        <f>IF($P72="","",INDEX(FOU_Unite,MATCH($P72,FOU_Code,0)))</f>
        <v/>
      </c>
      <c r="H72" s="184">
        <f>IF($P72="","",INDEX('Fournitures'!$I$7:$I$206,MATCH($P72,FOU_Code,0))+SUMIFS(MOV_Qte,MOV_Code,$P72,MOV_Type,"Entrée",MOV_Date,"&lt;"&amp;R_Mois)-SUMIFS(MOV_Qte,MOV_Code,$P72,MOV_Type,"Sortie",MOV_Date,"&lt;"&amp;R_Mois))</f>
        <v/>
      </c>
      <c r="I72" s="205">
        <f>IF($P72="","",SUMIFS(MOV_Qte,MOV_Code,$P72,MOV_Type,"Entrée",MOV_Date,"&gt;="&amp;R_Mois,MOV_Date,"&lt;"&amp;EDATE(R_Mois,1)))</f>
        <v/>
      </c>
      <c r="J72" s="205">
        <f>IF($P72="","",SUMIFS(MOV_Qte,MOV_Code,$P72,MOV_Type,"Sortie",MOV_Date,"&gt;="&amp;R_Mois,MOV_Date,"&lt;"&amp;EDATE(R_Mois,1)))</f>
        <v/>
      </c>
      <c r="K72" s="206">
        <f>IF($P72="","",H72+I72-J72)</f>
        <v/>
      </c>
      <c r="L72" s="184">
        <f>IF($P72="","",INDEX(FOU_Seuil,MATCH($P72,FOU_Code,0)))</f>
        <v/>
      </c>
      <c r="M72" s="204">
        <f>IF($P72="","",IF(K72&lt;=0,"Rupture",IF(K72&lt;=L72,"Stock faible","En stock")))</f>
        <v/>
      </c>
      <c r="N72" s="207">
        <f>IF($P72="","",K72*INDEX('Fournitures'!$K$7:$K$206,MATCH($P72,FOU_Code,0)))</f>
        <v/>
      </c>
      <c r="P72">
        <f>IF(29&gt;COUNTIF(FOU_Code,"?*"),"",INDEX(FOU_Code,29))</f>
        <v/>
      </c>
    </row>
    <row r="73" ht="17" customHeight="1">
      <c r="A73" s="1" t="n"/>
      <c r="B73" s="1" t="n"/>
      <c r="C73" s="2" t="n"/>
      <c r="E73" s="182">
        <f>IF($P73="","",INDEX(FOU_Article,MATCH($P73,FOU_Code,0)))</f>
        <v/>
      </c>
      <c r="F73" s="183" t="n"/>
      <c r="G73" s="204">
        <f>IF($P73="","",INDEX(FOU_Unite,MATCH($P73,FOU_Code,0)))</f>
        <v/>
      </c>
      <c r="H73" s="184">
        <f>IF($P73="","",INDEX('Fournitures'!$I$7:$I$206,MATCH($P73,FOU_Code,0))+SUMIFS(MOV_Qte,MOV_Code,$P73,MOV_Type,"Entrée",MOV_Date,"&lt;"&amp;R_Mois)-SUMIFS(MOV_Qte,MOV_Code,$P73,MOV_Type,"Sortie",MOV_Date,"&lt;"&amp;R_Mois))</f>
        <v/>
      </c>
      <c r="I73" s="205">
        <f>IF($P73="","",SUMIFS(MOV_Qte,MOV_Code,$P73,MOV_Type,"Entrée",MOV_Date,"&gt;="&amp;R_Mois,MOV_Date,"&lt;"&amp;EDATE(R_Mois,1)))</f>
        <v/>
      </c>
      <c r="J73" s="205">
        <f>IF($P73="","",SUMIFS(MOV_Qte,MOV_Code,$P73,MOV_Type,"Sortie",MOV_Date,"&gt;="&amp;R_Mois,MOV_Date,"&lt;"&amp;EDATE(R_Mois,1)))</f>
        <v/>
      </c>
      <c r="K73" s="206">
        <f>IF($P73="","",H73+I73-J73)</f>
        <v/>
      </c>
      <c r="L73" s="184">
        <f>IF($P73="","",INDEX(FOU_Seuil,MATCH($P73,FOU_Code,0)))</f>
        <v/>
      </c>
      <c r="M73" s="204">
        <f>IF($P73="","",IF(K73&lt;=0,"Rupture",IF(K73&lt;=L73,"Stock faible","En stock")))</f>
        <v/>
      </c>
      <c r="N73" s="207">
        <f>IF($P73="","",K73*INDEX('Fournitures'!$K$7:$K$206,MATCH($P73,FOU_Code,0)))</f>
        <v/>
      </c>
      <c r="P73">
        <f>IF(30&gt;COUNTIF(FOU_Code,"?*"),"",INDEX(FOU_Code,30))</f>
        <v/>
      </c>
    </row>
    <row r="74" ht="20" customHeight="1">
      <c r="A74" s="1" t="n"/>
      <c r="B74" s="1" t="n"/>
      <c r="C74" s="2" t="n"/>
      <c r="E74" s="187" t="inlineStr">
        <is>
          <t>TOTAL</t>
        </is>
      </c>
      <c r="F74" s="188" t="n"/>
      <c r="G74" s="208">
        <f>COUNTIF(P44:P73,"?*")&amp;" art."</f>
        <v/>
      </c>
      <c r="H74" s="189">
        <f>SUM(H44:H73)</f>
        <v/>
      </c>
      <c r="I74" s="189">
        <f>SUM(I44:I73)</f>
        <v/>
      </c>
      <c r="J74" s="189">
        <f>SUM(J44:J73)</f>
        <v/>
      </c>
      <c r="K74" s="189">
        <f>SUM(K44:K73)</f>
        <v/>
      </c>
      <c r="L74" s="208" t="inlineStr"/>
      <c r="M74" s="209">
        <f>COUNTIF(M44:M73,"Rupture")&amp;" rupt. · "&amp;COUNTIF(M44:M73,"Stock faible")&amp;" faible"</f>
        <v/>
      </c>
      <c r="N74" s="210">
        <f>SUM(N44:N73)</f>
        <v/>
      </c>
    </row>
    <row r="75" ht="20" customHeight="1">
      <c r="A75" s="1" t="n"/>
      <c r="B75" s="1" t="n"/>
      <c r="C75" s="2" t="n"/>
    </row>
    <row r="76" ht="26" customHeight="1">
      <c r="A76" s="1" t="n"/>
      <c r="B76" s="1" t="n"/>
      <c r="C76" s="2" t="n"/>
      <c r="E76" s="165" t="inlineStr">
        <is>
          <t>5.  Observations</t>
        </is>
      </c>
      <c r="F76" s="166" t="n"/>
      <c r="G76" s="166" t="n"/>
      <c r="H76" s="166" t="n"/>
      <c r="I76" s="166" t="n"/>
      <c r="J76" s="166" t="n"/>
      <c r="K76" s="166" t="n"/>
      <c r="L76" s="166" t="n"/>
      <c r="M76" s="166" t="n"/>
      <c r="N76" s="166" t="n"/>
    </row>
    <row r="77" ht="20" customHeight="1">
      <c r="A77" s="1" t="n"/>
      <c r="B77" s="1" t="n"/>
      <c r="C77" s="2" t="n"/>
      <c r="E77" s="211" t="n"/>
      <c r="F77" s="212" t="n"/>
      <c r="G77" s="212" t="n"/>
      <c r="H77" s="212" t="n"/>
      <c r="I77" s="212" t="n"/>
      <c r="J77" s="212" t="n"/>
      <c r="K77" s="212" t="n"/>
      <c r="L77" s="212" t="n"/>
      <c r="M77" s="212" t="n"/>
      <c r="N77" s="213" t="n"/>
    </row>
    <row r="78" ht="20" customHeight="1">
      <c r="A78" s="1" t="n"/>
      <c r="B78" s="1" t="n"/>
      <c r="C78" s="2" t="n"/>
      <c r="E78" s="214" t="n"/>
      <c r="N78" s="215" t="n"/>
    </row>
    <row r="79" ht="20" customHeight="1">
      <c r="A79" s="1" t="n"/>
      <c r="B79" s="1" t="n"/>
      <c r="C79" s="2" t="n"/>
      <c r="E79" s="214" t="n"/>
      <c r="N79" s="215" t="n"/>
    </row>
    <row r="80" ht="20" customHeight="1">
      <c r="A80" s="1" t="n"/>
      <c r="B80" s="1" t="n"/>
      <c r="C80" s="2" t="n"/>
      <c r="E80" s="216" t="n"/>
      <c r="F80" s="217" t="n"/>
      <c r="G80" s="217" t="n"/>
      <c r="H80" s="217" t="n"/>
      <c r="I80" s="217" t="n"/>
      <c r="J80" s="217" t="n"/>
      <c r="K80" s="217" t="n"/>
      <c r="L80" s="217" t="n"/>
      <c r="M80" s="217" t="n"/>
      <c r="N80" s="218" t="n"/>
    </row>
    <row r="81" ht="20" customHeight="1">
      <c r="A81" s="1" t="n"/>
      <c r="B81" s="1" t="n"/>
      <c r="C81" s="2" t="n"/>
    </row>
    <row r="82" ht="20" customHeight="1">
      <c r="A82" s="1" t="n"/>
      <c r="B82" s="1" t="n"/>
      <c r="C82" s="2" t="n"/>
      <c r="E82" s="219" t="inlineStr">
        <is>
          <t>Établi par (Bibliothécaire)</t>
        </is>
      </c>
      <c r="K82" s="219" t="inlineStr">
        <is>
          <t>Visa de la Direction</t>
        </is>
      </c>
    </row>
    <row r="83" ht="20" customHeight="1">
      <c r="A83" s="1" t="n"/>
      <c r="B83" s="1" t="n"/>
      <c r="C83" s="2" t="n"/>
    </row>
    <row r="84" ht="20" customHeight="1">
      <c r="A84" s="1" t="n"/>
      <c r="B84" s="1" t="n"/>
      <c r="C84" s="2" t="n"/>
    </row>
    <row r="85" ht="20" customHeight="1">
      <c r="A85" s="1" t="n"/>
      <c r="B85" s="1" t="n"/>
      <c r="C85" s="2" t="n"/>
      <c r="E85" s="220" t="n"/>
      <c r="F85" s="220" t="n"/>
      <c r="G85" s="220" t="n"/>
      <c r="H85" s="220" t="n"/>
      <c r="K85" s="220" t="n"/>
      <c r="L85" s="220" t="n"/>
      <c r="M85" s="220" t="n"/>
      <c r="N85" s="220" t="n"/>
    </row>
    <row r="86" ht="20" customHeight="1">
      <c r="A86" s="1" t="n"/>
      <c r="B86" s="1" t="n"/>
      <c r="C86" s="2" t="n"/>
      <c r="E86" s="221" t="inlineStr">
        <is>
          <t>Nom, date et signature</t>
        </is>
      </c>
      <c r="K86" s="221" t="inlineStr">
        <is>
          <t>Nom, date, signature et cachet</t>
        </is>
      </c>
    </row>
    <row r="87" ht="20" customHeight="1">
      <c r="A87" s="1" t="n"/>
      <c r="B87" s="1" t="n"/>
      <c r="C87" s="2" t="n"/>
    </row>
    <row r="88" ht="20" customHeight="1">
      <c r="A88" s="1" t="n"/>
      <c r="B88" s="1" t="n"/>
      <c r="C88" s="2" t="n"/>
    </row>
    <row r="89" ht="20" customHeight="1">
      <c r="A89" s="1" t="n"/>
      <c r="B89" s="1" t="n"/>
      <c r="C89" s="2" t="n"/>
    </row>
    <row r="90" ht="20" customHeight="1">
      <c r="A90" s="1" t="n"/>
      <c r="B90" s="1" t="n"/>
      <c r="C90" s="2" t="n"/>
    </row>
    <row r="91" ht="20" customHeight="1">
      <c r="A91" s="1" t="n"/>
      <c r="B91" s="1" t="n"/>
      <c r="C91" s="2" t="n"/>
    </row>
    <row r="92" ht="20" customHeight="1">
      <c r="A92" s="1" t="n"/>
      <c r="B92" s="1" t="n"/>
      <c r="C92" s="2" t="n"/>
    </row>
    <row r="93" ht="20" customHeight="1">
      <c r="A93" s="1" t="n"/>
      <c r="B93" s="1" t="n"/>
      <c r="C93" s="2" t="n"/>
    </row>
    <row r="94" ht="20" customHeight="1">
      <c r="A94" s="1" t="n"/>
      <c r="B94" s="1" t="n"/>
      <c r="C94" s="2" t="n"/>
    </row>
    <row r="95" ht="20" customHeight="1">
      <c r="A95" s="1" t="n"/>
      <c r="B95" s="1" t="n"/>
      <c r="C95" s="2" t="n"/>
    </row>
    <row r="96" ht="20" customHeight="1">
      <c r="A96" s="1" t="n"/>
      <c r="B96" s="1" t="n"/>
      <c r="C96" s="2" t="n"/>
    </row>
    <row r="97" ht="20" customHeight="1">
      <c r="A97" s="1" t="n"/>
      <c r="B97" s="1" t="n"/>
      <c r="C97" s="2" t="n"/>
    </row>
    <row r="98" ht="20" customHeight="1">
      <c r="A98" s="1" t="n"/>
      <c r="B98" s="1" t="n"/>
      <c r="C98" s="2" t="n"/>
    </row>
    <row r="99" ht="20" customHeight="1">
      <c r="A99" s="1" t="n"/>
      <c r="B99" s="1" t="n"/>
      <c r="C99" s="2" t="n"/>
    </row>
    <row r="100" ht="20" customHeight="1">
      <c r="A100" s="1" t="n"/>
      <c r="B100" s="1" t="n"/>
      <c r="C100" s="2" t="n"/>
    </row>
    <row r="101" ht="20" customHeight="1">
      <c r="A101" s="1" t="n"/>
      <c r="B101" s="1" t="n"/>
      <c r="C101" s="2" t="n"/>
    </row>
    <row r="102" ht="20" customHeight="1">
      <c r="A102" s="1" t="n"/>
      <c r="B102" s="1" t="n"/>
      <c r="C102" s="2" t="n"/>
    </row>
    <row r="103" ht="20" customHeight="1">
      <c r="A103" s="1" t="n"/>
      <c r="B103" s="1" t="n"/>
      <c r="C103" s="2" t="n"/>
    </row>
    <row r="104" ht="20" customHeight="1">
      <c r="A104" s="1" t="n"/>
      <c r="B104" s="1" t="n"/>
      <c r="C104" s="2" t="n"/>
    </row>
    <row r="105" ht="20" customHeight="1">
      <c r="A105" s="1" t="n"/>
      <c r="B105" s="1" t="n"/>
      <c r="C105" s="2" t="n"/>
    </row>
    <row r="106" ht="20" customHeight="1">
      <c r="A106" s="1" t="n"/>
      <c r="B106" s="1" t="n"/>
      <c r="C106" s="2" t="n"/>
    </row>
    <row r="107" ht="20" customHeight="1">
      <c r="A107" s="1" t="n"/>
      <c r="B107" s="1" t="n"/>
      <c r="C107" s="2" t="n"/>
    </row>
    <row r="108" ht="20" customHeight="1">
      <c r="A108" s="1" t="n"/>
      <c r="B108" s="1" t="n"/>
      <c r="C108" s="2" t="n"/>
    </row>
    <row r="109" ht="20" customHeight="1">
      <c r="A109" s="1" t="n"/>
      <c r="B109" s="1" t="n"/>
      <c r="C109" s="2" t="n"/>
    </row>
    <row r="110" ht="20" customHeight="1">
      <c r="A110" s="1" t="n"/>
      <c r="B110" s="1" t="n"/>
      <c r="C110" s="2" t="n"/>
    </row>
    <row r="111" ht="20" customHeight="1">
      <c r="A111" s="1" t="n"/>
      <c r="B111" s="1" t="n"/>
      <c r="C111" s="2" t="n"/>
    </row>
    <row r="112" ht="20" customHeight="1">
      <c r="A112" s="1" t="n"/>
      <c r="B112" s="1" t="n"/>
      <c r="C112" s="2" t="n"/>
    </row>
  </sheetData>
  <mergeCells count="127">
    <mergeCell ref="F36:H36"/>
    <mergeCell ref="E62:F62"/>
    <mergeCell ref="E71:F71"/>
    <mergeCell ref="I4:L4"/>
    <mergeCell ref="E23:F23"/>
    <mergeCell ref="B19:C22"/>
    <mergeCell ref="E64:F64"/>
    <mergeCell ref="B12:C12"/>
    <mergeCell ref="E73:F73"/>
    <mergeCell ref="E51:F51"/>
    <mergeCell ref="E63:F63"/>
    <mergeCell ref="B14:C14"/>
    <mergeCell ref="L39:M39"/>
    <mergeCell ref="F39:H39"/>
    <mergeCell ref="E42:N42"/>
    <mergeCell ref="E65:F65"/>
    <mergeCell ref="B13:C13"/>
    <mergeCell ref="M25:N25"/>
    <mergeCell ref="L38:M38"/>
    <mergeCell ref="E49:F49"/>
    <mergeCell ref="E27:F27"/>
    <mergeCell ref="E82:H82"/>
    <mergeCell ref="M18:N18"/>
    <mergeCell ref="I34:K34"/>
    <mergeCell ref="I36:K36"/>
    <mergeCell ref="M19:N19"/>
    <mergeCell ref="E22:F22"/>
    <mergeCell ref="E53:F53"/>
    <mergeCell ref="E12:F12"/>
    <mergeCell ref="B16:C16"/>
    <mergeCell ref="G12:H12"/>
    <mergeCell ref="E55:F55"/>
    <mergeCell ref="I15:J15"/>
    <mergeCell ref="K15:L15"/>
    <mergeCell ref="I37:K37"/>
    <mergeCell ref="F35:H35"/>
    <mergeCell ref="E67:F67"/>
    <mergeCell ref="E14:F14"/>
    <mergeCell ref="E48:F48"/>
    <mergeCell ref="B18:C18"/>
    <mergeCell ref="B11:C11"/>
    <mergeCell ref="E33:N33"/>
    <mergeCell ref="M21:N21"/>
    <mergeCell ref="E17:N17"/>
    <mergeCell ref="M27:N27"/>
    <mergeCell ref="E26:F26"/>
    <mergeCell ref="M24:N24"/>
    <mergeCell ref="B15:C15"/>
    <mergeCell ref="E25:F25"/>
    <mergeCell ref="E9:N9"/>
    <mergeCell ref="E66:F66"/>
    <mergeCell ref="E18:F18"/>
    <mergeCell ref="E58:F58"/>
    <mergeCell ref="E50:F50"/>
    <mergeCell ref="E68:F68"/>
    <mergeCell ref="G11:H11"/>
    <mergeCell ref="K82:N82"/>
    <mergeCell ref="I11:J11"/>
    <mergeCell ref="E52:F52"/>
    <mergeCell ref="F2:N2"/>
    <mergeCell ref="E44:F44"/>
    <mergeCell ref="F38:H38"/>
    <mergeCell ref="K11:L11"/>
    <mergeCell ref="E20:F20"/>
    <mergeCell ref="M11:N11"/>
    <mergeCell ref="E29:F29"/>
    <mergeCell ref="I39:K39"/>
    <mergeCell ref="E69:F69"/>
    <mergeCell ref="M31:N31"/>
    <mergeCell ref="F37:H37"/>
    <mergeCell ref="E31:F31"/>
    <mergeCell ref="K5:N5"/>
    <mergeCell ref="I38:K38"/>
    <mergeCell ref="E59:F59"/>
    <mergeCell ref="M15:N15"/>
    <mergeCell ref="L35:M35"/>
    <mergeCell ref="M12:N12"/>
    <mergeCell ref="E15:F15"/>
    <mergeCell ref="E46:F46"/>
    <mergeCell ref="G15:H15"/>
    <mergeCell ref="E61:F61"/>
    <mergeCell ref="B9:C9"/>
    <mergeCell ref="E70:F70"/>
    <mergeCell ref="M26:N26"/>
    <mergeCell ref="F34:H34"/>
    <mergeCell ref="E57:F57"/>
    <mergeCell ref="E54:F54"/>
    <mergeCell ref="M29:N29"/>
    <mergeCell ref="E72:F72"/>
    <mergeCell ref="M23:N23"/>
    <mergeCell ref="E86:H86"/>
    <mergeCell ref="F3:N3"/>
    <mergeCell ref="E56:F56"/>
    <mergeCell ref="E43:F43"/>
    <mergeCell ref="E24:F24"/>
    <mergeCell ref="E76:N76"/>
    <mergeCell ref="L37:M37"/>
    <mergeCell ref="M20:N20"/>
    <mergeCell ref="E19:F19"/>
    <mergeCell ref="E28:F28"/>
    <mergeCell ref="I35:K35"/>
    <mergeCell ref="E60:F60"/>
    <mergeCell ref="B8:C8"/>
    <mergeCell ref="E74:F74"/>
    <mergeCell ref="M22:N22"/>
    <mergeCell ref="M30:N30"/>
    <mergeCell ref="I12:J12"/>
    <mergeCell ref="E30:F30"/>
    <mergeCell ref="K12:L12"/>
    <mergeCell ref="B10:C10"/>
    <mergeCell ref="E11:F11"/>
    <mergeCell ref="G5:H5"/>
    <mergeCell ref="M28:N28"/>
    <mergeCell ref="E45:F45"/>
    <mergeCell ref="I5:J5"/>
    <mergeCell ref="G14:H14"/>
    <mergeCell ref="E77:N80"/>
    <mergeCell ref="I14:J14"/>
    <mergeCell ref="K14:L14"/>
    <mergeCell ref="G4:H4"/>
    <mergeCell ref="L34:M34"/>
    <mergeCell ref="E40:N40"/>
    <mergeCell ref="M14:N14"/>
    <mergeCell ref="K86:N86"/>
    <mergeCell ref="L36:M36"/>
    <mergeCell ref="E47:F47"/>
    <mergeCell ref="E21:F21"/>
  </mergeCells>
  <conditionalFormatting sqref="E19:N30">
    <cfRule type="expression" priority="1" dxfId="7">
      <formula>AND($E19&lt;&gt;"",MOD(ROW(),2)=0)</formula>
    </cfRule>
    <cfRule type="expression" priority="2" dxfId="8">
      <formula>$E19&lt;&gt;""</formula>
    </cfRule>
  </conditionalFormatting>
  <conditionalFormatting sqref="M44:M73">
    <cfRule type="expression" priority="3" dxfId="2" stopIfTrue="1">
      <formula>OR($M44="Disponible",$M44="Rendu",$M44="En stock",$M44="Actif",$M44="Entrée",$M44="Oui")</formula>
    </cfRule>
    <cfRule type="expression" priority="4" dxfId="3" stopIfTrue="1">
      <formula>OR($M44="En retard",$M44="Rupture",$M44="Indisponible",$M44="Non")</formula>
    </cfRule>
    <cfRule type="expression" priority="5" dxfId="4" stopIfTrue="1">
      <formula>OR($M44="Stock faible",$M44="Dernier exemplaire",$M44="Rendu en retard",$M44="Limite atteinte",$M44="Sortie")</formula>
    </cfRule>
    <cfRule type="expression" priority="6" dxfId="5" stopIfTrue="1">
      <formula>OR($M44="En cours")</formula>
    </cfRule>
  </conditionalFormatting>
  <conditionalFormatting sqref="E44:N73">
    <cfRule type="expression" priority="7" dxfId="7">
      <formula>AND($P44&lt;&gt;"",MOD(ROW(),2)=0)</formula>
    </cfRule>
    <cfRule type="expression" priority="8" dxfId="8">
      <formula>$P44&lt;&gt;""</formula>
    </cfRule>
  </conditionalFormatting>
  <dataValidations count="1">
    <dataValidation sqref="G4" showDropDown="0" showInputMessage="0" showErrorMessage="1" allowBlank="1" errorTitle="Valeur non valide" error="Choisissez un mois dans la liste." type="list">
      <formula1>=L_Mois</formula1>
    </dataValidation>
  </dataValidations>
  <printOptions horizontalCentered="1"/>
  <pageMargins left="0.4" right="0.4" top="0.5" bottom="0.5" header="0.5" footer="0.5"/>
  <pageSetup orientation="portrait" paperSize="9" fitToHeight="0" fitToWidth="1"/>
  <headerFooter>
    <oddHeader/>
    <oddFooter>&amp;C&amp;8 &amp;K7A8B9ARapport mensuel — page &amp;P / &amp;N</oddFooter>
    <evenHeader/>
    <evenFooter/>
    <firstHeader/>
    <firstFooter/>
  </headerFooter>
  <rowBreaks count="1" manualBreakCount="1">
    <brk id="41" min="0" max="16383" man="1"/>
  </rowBreaks>
  <drawing xmlns:r="http://schemas.openxmlformats.org/officeDocument/2006/relationships" r:id="rId1"/>
</worksheet>
</file>

<file path=xl/worksheets/sheet9.xml><?xml version="1.0" encoding="utf-8"?>
<worksheet xmlns="http://schemas.openxmlformats.org/spreadsheetml/2006/main">
  <sheetPr>
    <tabColor rgb="007A8B9A"/>
    <outlinePr summaryBelow="1" summaryRight="1"/>
    <pageSetUpPr fitToPage="1"/>
  </sheetPr>
  <dimension ref="A1:O40"/>
  <sheetViews>
    <sheetView showGridLines="0" zoomScale="100" workbookViewId="0">
      <selection activeCell="A1" sqref="A1"/>
    </sheetView>
  </sheetViews>
  <sheetFormatPr baseColWidth="8" defaultRowHeight="15"/>
  <cols>
    <col width="1" customWidth="1" min="1" max="1"/>
    <col width="23" customWidth="1" min="2" max="2"/>
    <col width="12" customWidth="1" min="3" max="3"/>
    <col width="3" customWidth="1" min="4" max="4"/>
    <col width="38" customWidth="1" min="5" max="5"/>
    <col width="30" customWidth="1" min="6" max="6"/>
    <col width="36" customWidth="1" min="7" max="7"/>
    <col width="4"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s>
  <sheetData>
    <row r="1" ht="8" customHeight="1">
      <c r="A1" s="1" t="n"/>
      <c r="B1" s="1" t="n"/>
      <c r="C1" s="2" t="n"/>
    </row>
    <row r="2" ht="32" customHeight="1">
      <c r="A2" s="1" t="n"/>
      <c r="B2" s="1" t="n"/>
      <c r="C2" s="2" t="n"/>
      <c r="E2" s="113" t="inlineStr">
        <is>
          <t>⚙  Paramètres</t>
        </is>
      </c>
    </row>
    <row r="3" ht="18" customHeight="1">
      <c r="A3" s="1" t="n"/>
      <c r="B3" s="1" t="n"/>
      <c r="C3" s="2" t="n"/>
      <c r="E3" s="118" t="inlineStr">
        <is>
          <t>Modifiez les valeurs bleutées : tout le classeur s'adapte automatiquement.</t>
        </is>
      </c>
    </row>
    <row r="4" ht="26" customHeight="1">
      <c r="A4" s="1" t="n"/>
      <c r="B4" s="1" t="n"/>
      <c r="C4" s="2" t="n"/>
      <c r="I4" s="222" t="inlineStr">
        <is>
          <t>Listes déroulantes</t>
        </is>
      </c>
    </row>
    <row r="5" ht="10" customHeight="1">
      <c r="A5" s="1" t="n"/>
      <c r="B5" s="1" t="n"/>
      <c r="C5" s="2" t="n"/>
    </row>
    <row r="6" ht="30" customHeight="1">
      <c r="A6" s="1" t="n"/>
      <c r="B6" s="1" t="n"/>
      <c r="C6" s="2" t="n"/>
      <c r="E6" s="147" t="inlineStr">
        <is>
          <t>Paramètre</t>
        </is>
      </c>
      <c r="F6" s="147" t="inlineStr">
        <is>
          <t>Valeur</t>
        </is>
      </c>
      <c r="I6" s="223" t="inlineStr">
        <is>
          <t>Catégories de livres</t>
        </is>
      </c>
      <c r="J6" s="223" t="inlineStr">
        <is>
          <t>Classes</t>
        </is>
      </c>
      <c r="K6" s="223" t="inlineStr">
        <is>
          <t>Types de membre</t>
        </is>
      </c>
      <c r="L6" s="223" t="inlineStr">
        <is>
          <t>Catégories fournitures</t>
        </is>
      </c>
      <c r="M6" s="223" t="inlineStr">
        <is>
          <t>Unités</t>
        </is>
      </c>
      <c r="N6" s="223" t="inlineStr">
        <is>
          <t>Types de mouvement</t>
        </is>
      </c>
      <c r="O6" s="223" t="inlineStr">
        <is>
          <t>Oui / Non</t>
        </is>
      </c>
    </row>
    <row r="7" ht="22" customHeight="1">
      <c r="A7" s="1" t="n"/>
      <c r="B7" s="1" t="n"/>
      <c r="C7" s="2" t="n"/>
      <c r="E7" s="224" t="inlineStr">
        <is>
          <t>Nom de l'établissement</t>
        </is>
      </c>
      <c r="F7" s="225" t="inlineStr">
        <is>
          <t>Kivu International School</t>
        </is>
      </c>
      <c r="I7" s="226" t="inlineStr">
        <is>
          <t>Roman</t>
        </is>
      </c>
      <c r="J7" s="226" t="inlineStr">
        <is>
          <t>1ère Primaire</t>
        </is>
      </c>
      <c r="K7" s="226" t="inlineStr">
        <is>
          <t>Élève</t>
        </is>
      </c>
      <c r="L7" s="226" t="inlineStr">
        <is>
          <t>Papeterie</t>
        </is>
      </c>
      <c r="M7" s="226" t="inlineStr">
        <is>
          <t>Pièce</t>
        </is>
      </c>
      <c r="N7" s="226" t="inlineStr">
        <is>
          <t>Entrée</t>
        </is>
      </c>
      <c r="O7" s="226" t="inlineStr">
        <is>
          <t>Oui</t>
        </is>
      </c>
    </row>
    <row r="8" ht="22" customHeight="1">
      <c r="A8" s="1" t="n"/>
      <c r="B8" s="53">
        <f>HYPERLINK("#'Tableau de bord'!A1","▦   Tableau de bord")</f>
        <v/>
      </c>
      <c r="C8" s="54" t="n"/>
      <c r="E8" s="224" t="inlineStr">
        <is>
          <t>Année scolaire</t>
        </is>
      </c>
      <c r="F8" s="225" t="inlineStr">
        <is>
          <t>2026-2027</t>
        </is>
      </c>
      <c r="I8" s="226" t="inlineStr">
        <is>
          <t>Littérature africaine</t>
        </is>
      </c>
      <c r="J8" s="226" t="inlineStr">
        <is>
          <t>2ème Primaire</t>
        </is>
      </c>
      <c r="K8" s="226" t="inlineStr">
        <is>
          <t>Enseignant</t>
        </is>
      </c>
      <c r="L8" s="226" t="inlineStr">
        <is>
          <t>Écriture</t>
        </is>
      </c>
      <c r="M8" s="226" t="inlineStr">
        <is>
          <t>Paquet</t>
        </is>
      </c>
      <c r="N8" s="226" t="inlineStr">
        <is>
          <t>Sortie</t>
        </is>
      </c>
      <c r="O8" s="226" t="inlineStr">
        <is>
          <t>Non</t>
        </is>
      </c>
    </row>
    <row r="9" ht="22" customHeight="1">
      <c r="A9" s="1" t="n"/>
      <c r="B9" s="53">
        <f>HYPERLINK("#'Livres'!A1","📚   Livres")</f>
        <v/>
      </c>
      <c r="C9" s="54" t="n"/>
      <c r="E9" s="224" t="inlineStr">
        <is>
          <t>Durée d'un emprunt (jours)</t>
        </is>
      </c>
      <c r="F9" s="227" t="n">
        <v>14</v>
      </c>
      <c r="G9" s="203" t="inlineStr">
        <is>
          <t>Utilisée pour la date de retour prévue</t>
        </is>
      </c>
      <c r="I9" s="226" t="inlineStr">
        <is>
          <t>Sciences</t>
        </is>
      </c>
      <c r="J9" s="226" t="inlineStr">
        <is>
          <t>3ème Primaire</t>
        </is>
      </c>
      <c r="K9" s="226" t="inlineStr">
        <is>
          <t>Personnel</t>
        </is>
      </c>
      <c r="L9" s="226" t="inlineStr">
        <is>
          <t>Matériel didactique</t>
        </is>
      </c>
      <c r="M9" s="226" t="inlineStr">
        <is>
          <t>Boîte</t>
        </is>
      </c>
      <c r="N9" s="148" t="n"/>
      <c r="O9" s="148" t="n"/>
    </row>
    <row r="10" ht="22" customHeight="1">
      <c r="A10" s="1" t="n"/>
      <c r="B10" s="53">
        <f>HYPERLINK("#'Membres'!A1","👥   Membres")</f>
        <v/>
      </c>
      <c r="C10" s="54" t="n"/>
      <c r="E10" s="224" t="inlineStr">
        <is>
          <t>Amende par jour de retard (FC)</t>
        </is>
      </c>
      <c r="F10" s="228" t="n">
        <v>500</v>
      </c>
      <c r="G10" s="203" t="inlineStr">
        <is>
          <t>Montant en francs congolais</t>
        </is>
      </c>
      <c r="I10" s="226" t="inlineStr">
        <is>
          <t>Mathématiques</t>
        </is>
      </c>
      <c r="J10" s="226" t="inlineStr">
        <is>
          <t>4ème Primaire</t>
        </is>
      </c>
      <c r="K10" s="148" t="n"/>
      <c r="L10" s="226" t="inlineStr">
        <is>
          <t>Informatique</t>
        </is>
      </c>
      <c r="M10" s="226" t="inlineStr">
        <is>
          <t>Rame</t>
        </is>
      </c>
      <c r="N10" s="148" t="n"/>
      <c r="O10" s="148" t="n"/>
    </row>
    <row r="11" ht="22" customHeight="1">
      <c r="A11" s="1" t="n"/>
      <c r="B11" s="53">
        <f>HYPERLINK("#'Emprunts'!A1","🔄   Emprunts")</f>
        <v/>
      </c>
      <c r="C11" s="54" t="n"/>
      <c r="E11" s="224" t="inlineStr">
        <is>
          <t>Emprunts simultanés max. par membre</t>
        </is>
      </c>
      <c r="F11" s="227" t="n">
        <v>3</v>
      </c>
      <c r="G11" s="203" t="inlineStr">
        <is>
          <t>Au-delà : statut « Limite atteinte »</t>
        </is>
      </c>
      <c r="I11" s="226" t="inlineStr">
        <is>
          <t>Histoire-Géo</t>
        </is>
      </c>
      <c r="J11" s="226" t="inlineStr">
        <is>
          <t>5ème Primaire</t>
        </is>
      </c>
      <c r="K11" s="148" t="n"/>
      <c r="L11" s="226" t="inlineStr">
        <is>
          <t>Entretien</t>
        </is>
      </c>
      <c r="M11" s="226" t="inlineStr">
        <is>
          <t>Carton</t>
        </is>
      </c>
      <c r="N11" s="148" t="n"/>
      <c r="O11" s="148" t="n"/>
    </row>
    <row r="12" ht="22" customHeight="1">
      <c r="A12" s="1" t="n"/>
      <c r="B12" s="53">
        <f>HYPERLINK("#'Fournitures'!A1","📦   Fournitures")</f>
        <v/>
      </c>
      <c r="C12" s="54" t="n"/>
      <c r="I12" s="226" t="inlineStr">
        <is>
          <t>Langues</t>
        </is>
      </c>
      <c r="J12" s="226" t="inlineStr">
        <is>
          <t>6ème Primaire</t>
        </is>
      </c>
      <c r="K12" s="148" t="n"/>
      <c r="L12" s="229" t="n"/>
      <c r="M12" s="226" t="inlineStr">
        <is>
          <t>Flacon</t>
        </is>
      </c>
      <c r="N12" s="148" t="n"/>
      <c r="O12" s="148" t="n"/>
    </row>
    <row r="13" ht="22" customHeight="1">
      <c r="A13" s="1" t="n"/>
      <c r="B13" s="53">
        <f>HYPERLINK("#'Mouvements'!A1","↕   Mouvements de stock")</f>
        <v/>
      </c>
      <c r="C13" s="54" t="n"/>
      <c r="I13" s="226" t="inlineStr">
        <is>
          <t>Référence</t>
        </is>
      </c>
      <c r="J13" s="226" t="inlineStr">
        <is>
          <t>7ème EB</t>
        </is>
      </c>
      <c r="K13" s="148" t="n"/>
      <c r="L13" s="229" t="n"/>
      <c r="M13" s="226" t="inlineStr">
        <is>
          <t>Rouleau</t>
        </is>
      </c>
      <c r="N13" s="148" t="n"/>
      <c r="O13" s="148" t="n"/>
    </row>
    <row r="14" ht="22" customHeight="1">
      <c r="A14" s="1" t="n"/>
      <c r="B14" s="53">
        <f>HYPERLINK("#'Recherche'!A1","🔍   Recherche")</f>
        <v/>
      </c>
      <c r="C14" s="54" t="n"/>
      <c r="I14" s="226" t="inlineStr">
        <is>
          <t>Jeunesse</t>
        </is>
      </c>
      <c r="J14" s="226" t="inlineStr">
        <is>
          <t>8ème EB</t>
        </is>
      </c>
      <c r="K14" s="148" t="n"/>
      <c r="L14" s="229" t="n"/>
      <c r="M14" s="229" t="n"/>
      <c r="N14" s="148" t="n"/>
      <c r="O14" s="148" t="n"/>
    </row>
    <row r="15" ht="22" customHeight="1">
      <c r="A15" s="1" t="n"/>
      <c r="B15" s="53">
        <f>HYPERLINK("#'Rapport mensuel'!A1","🖨   Rapport mensuel")</f>
        <v/>
      </c>
      <c r="C15" s="54" t="n"/>
      <c r="I15" s="226" t="inlineStr">
        <is>
          <t>Informatique</t>
        </is>
      </c>
      <c r="J15" s="226" t="inlineStr">
        <is>
          <t>1ère Humanités</t>
        </is>
      </c>
      <c r="K15" s="148" t="n"/>
      <c r="L15" s="229" t="n"/>
      <c r="M15" s="229" t="n"/>
      <c r="N15" s="148" t="n"/>
      <c r="O15" s="148" t="n"/>
    </row>
    <row r="16" ht="22" customHeight="1">
      <c r="A16" s="45" t="n"/>
      <c r="B16" s="46">
        <f>HYPERLINK("#'Paramètres'!A1","⚙   Paramètres")</f>
        <v/>
      </c>
      <c r="C16" s="47" t="n"/>
      <c r="I16" s="229" t="n"/>
      <c r="J16" s="226" t="inlineStr">
        <is>
          <t>2ème Humanités</t>
        </is>
      </c>
      <c r="K16" s="148" t="n"/>
      <c r="L16" s="229" t="n"/>
      <c r="M16" s="229" t="n"/>
      <c r="N16" s="148" t="n"/>
      <c r="O16" s="148" t="n"/>
    </row>
    <row r="17" ht="22" customHeight="1">
      <c r="A17" s="1" t="n"/>
      <c r="B17" s="1" t="n"/>
      <c r="C17" s="2" t="n"/>
      <c r="E17" s="230" t="inlineStr">
        <is>
          <t>Astuce</t>
        </is>
      </c>
      <c r="F17" s="231" t="n"/>
      <c r="I17" s="229" t="n"/>
      <c r="J17" s="226" t="inlineStr">
        <is>
          <t>3ème Humanités</t>
        </is>
      </c>
      <c r="K17" s="148" t="n"/>
      <c r="L17" s="229" t="n"/>
      <c r="M17" s="229" t="n"/>
      <c r="N17" s="148" t="n"/>
      <c r="O17" s="148" t="n"/>
    </row>
    <row r="18" ht="22" customHeight="1">
      <c r="A18" s="1" t="n"/>
      <c r="B18" s="1" t="n"/>
      <c r="C18" s="2" t="n"/>
      <c r="E18" s="232" t="inlineStr">
        <is>
          <t>Pour vider les données d'exemple : sélectionnez les lignes de données (à partir de la ligne 7) dans Livres, Membres, Emprunts, Fournitures et Mouvements, puis effacez uniquement les colonnes blanches (touche Suppr). Les colonnes bleutées contiennent des formules : ne les supprimez pas.</t>
        </is>
      </c>
      <c r="F18" s="231" t="n"/>
      <c r="I18" s="229" t="n"/>
      <c r="J18" s="226" t="inlineStr">
        <is>
          <t>4ème Humanités</t>
        </is>
      </c>
      <c r="K18" s="148" t="n"/>
      <c r="L18" s="229" t="n"/>
      <c r="M18" s="229" t="n"/>
      <c r="N18" s="148" t="n"/>
      <c r="O18" s="148" t="n"/>
    </row>
    <row r="19" ht="22" customHeight="1">
      <c r="A19" s="1" t="n"/>
      <c r="B19" s="1" t="n"/>
      <c r="C19" s="2" t="n"/>
      <c r="E19" s="231" t="n"/>
      <c r="F19" s="231" t="n"/>
      <c r="I19" s="229" t="n"/>
      <c r="J19" s="226" t="inlineStr">
        <is>
          <t>Personnel</t>
        </is>
      </c>
      <c r="K19" s="148" t="n"/>
      <c r="L19" s="229" t="n"/>
      <c r="M19" s="229" t="n"/>
      <c r="N19" s="148" t="n"/>
      <c r="O19" s="148" t="n"/>
    </row>
    <row r="20" ht="22" customHeight="1">
      <c r="A20" s="1" t="n"/>
      <c r="B20" s="1" t="n"/>
      <c r="C20" s="2" t="n"/>
      <c r="E20" s="231" t="n"/>
      <c r="F20" s="231" t="n"/>
      <c r="I20" s="229" t="n"/>
      <c r="J20" s="229" t="n"/>
      <c r="K20" s="148" t="n"/>
      <c r="L20" s="229" t="n"/>
      <c r="M20" s="229" t="n"/>
      <c r="N20" s="148" t="n"/>
      <c r="O20" s="148" t="n"/>
    </row>
    <row r="21" ht="22" customHeight="1">
      <c r="A21" s="1" t="n"/>
      <c r="B21" s="1" t="n"/>
      <c r="C21" s="2" t="n"/>
      <c r="E21" s="231" t="n"/>
      <c r="F21" s="231" t="n"/>
      <c r="I21" s="229" t="n"/>
      <c r="J21" s="229" t="n"/>
      <c r="K21" s="148" t="n"/>
      <c r="L21" s="229" t="n"/>
      <c r="M21" s="229" t="n"/>
      <c r="N21" s="148" t="n"/>
      <c r="O21" s="148" t="n"/>
    </row>
    <row r="22" ht="22" customHeight="1">
      <c r="A22" s="1" t="n"/>
      <c r="B22" s="1" t="n"/>
      <c r="C22" s="2" t="n"/>
      <c r="E22" s="231" t="n"/>
      <c r="F22" s="231" t="n"/>
      <c r="I22" s="229" t="n"/>
      <c r="J22" s="229" t="n"/>
      <c r="K22" s="148" t="n"/>
      <c r="L22" s="229" t="n"/>
      <c r="M22" s="229" t="n"/>
      <c r="N22" s="148" t="n"/>
      <c r="O22" s="148" t="n"/>
    </row>
    <row r="23" ht="22" customHeight="1">
      <c r="A23" s="1" t="n"/>
      <c r="B23" s="1" t="n"/>
      <c r="C23" s="2" t="n"/>
      <c r="E23" s="231" t="n"/>
      <c r="F23" s="231" t="n"/>
      <c r="I23" s="229" t="n"/>
      <c r="J23" s="229" t="n"/>
      <c r="K23" s="148" t="n"/>
      <c r="L23" s="229" t="n"/>
      <c r="M23" s="229" t="n"/>
      <c r="N23" s="148" t="n"/>
      <c r="O23" s="148" t="n"/>
    </row>
    <row r="24" ht="22" customHeight="1">
      <c r="A24" s="1" t="n"/>
      <c r="B24" s="1" t="n"/>
      <c r="C24" s="2" t="n"/>
      <c r="I24" s="229" t="n"/>
      <c r="J24" s="229" t="n"/>
      <c r="K24" s="148" t="n"/>
      <c r="L24" s="229" t="n"/>
      <c r="M24" s="229" t="n"/>
      <c r="N24" s="148" t="n"/>
      <c r="O24" s="148" t="n"/>
    </row>
    <row r="25" ht="22" customHeight="1">
      <c r="A25" s="1" t="n"/>
      <c r="B25" s="1" t="n"/>
      <c r="C25" s="2" t="n"/>
      <c r="I25" s="229" t="n"/>
      <c r="J25" s="229" t="n"/>
      <c r="K25" s="148" t="n"/>
      <c r="L25" s="229" t="n"/>
      <c r="M25" s="229" t="n"/>
      <c r="N25" s="148" t="n"/>
      <c r="O25" s="148" t="n"/>
    </row>
    <row r="26" ht="22" customHeight="1">
      <c r="A26" s="1" t="n"/>
      <c r="B26" s="1" t="n"/>
      <c r="C26" s="2" t="n"/>
      <c r="I26" s="229" t="n"/>
      <c r="J26" s="229" t="n"/>
      <c r="K26" s="148" t="n"/>
      <c r="L26" s="229" t="n"/>
      <c r="M26" s="229" t="n"/>
      <c r="N26" s="148" t="n"/>
      <c r="O26" s="148" t="n"/>
    </row>
    <row r="27">
      <c r="A27" s="1" t="n"/>
      <c r="B27" s="1" t="n"/>
      <c r="C27" s="2" t="n"/>
    </row>
    <row r="28">
      <c r="A28" s="1" t="n"/>
      <c r="B28" s="1" t="n"/>
      <c r="C28" s="2" t="n"/>
    </row>
    <row r="29">
      <c r="A29" s="1" t="n"/>
      <c r="B29" s="1" t="n"/>
      <c r="C29" s="2" t="n"/>
    </row>
    <row r="30">
      <c r="A30" s="1" t="n"/>
      <c r="B30" s="1" t="n"/>
      <c r="C30" s="2" t="n"/>
    </row>
    <row r="31">
      <c r="A31" s="1" t="n"/>
      <c r="B31" s="1" t="n"/>
      <c r="C31" s="2" t="n"/>
    </row>
    <row r="32">
      <c r="A32" s="1" t="n"/>
      <c r="B32" s="1" t="n"/>
      <c r="C32" s="2" t="n"/>
    </row>
    <row r="33">
      <c r="A33" s="1" t="n"/>
      <c r="B33" s="1" t="n"/>
      <c r="C33" s="2" t="n"/>
    </row>
    <row r="34">
      <c r="A34" s="1" t="n"/>
      <c r="B34" s="1" t="n"/>
      <c r="C34" s="2" t="n"/>
    </row>
    <row r="35">
      <c r="A35" s="1" t="n"/>
      <c r="B35" s="1" t="n"/>
      <c r="C35" s="2" t="n"/>
    </row>
    <row r="36">
      <c r="A36" s="1" t="n"/>
      <c r="B36" s="1" t="n"/>
      <c r="C36" s="2" t="n"/>
    </row>
    <row r="37">
      <c r="A37" s="1" t="n"/>
      <c r="B37" s="1" t="n"/>
      <c r="C37" s="2" t="n"/>
    </row>
    <row r="38">
      <c r="A38" s="1" t="n"/>
      <c r="B38" s="1" t="n"/>
      <c r="C38" s="2" t="n"/>
    </row>
    <row r="39">
      <c r="A39" s="1" t="n"/>
      <c r="B39" s="1" t="n"/>
      <c r="C39" s="2" t="n"/>
    </row>
    <row r="40">
      <c r="A40" s="1" t="n"/>
      <c r="B40" s="1" t="n"/>
      <c r="C40" s="2" t="n"/>
    </row>
  </sheetData>
  <mergeCells count="10">
    <mergeCell ref="B13:C13"/>
    <mergeCell ref="B16:C16"/>
    <mergeCell ref="B15:C15"/>
    <mergeCell ref="B11:C11"/>
    <mergeCell ref="B10:C10"/>
    <mergeCell ref="B14:C14"/>
    <mergeCell ref="B9:C9"/>
    <mergeCell ref="E18:F23"/>
    <mergeCell ref="B8:C8"/>
    <mergeCell ref="B12:C12"/>
  </mergeCells>
  <pageMargins left="0.75" right="0.75" top="1" bottom="1" header="0.5" footer="0.5"/>
  <pageSetup orientation="landscape" fitToHeight="0" fitToWidth="1"/>
  <drawing xmlns:r="http://schemas.openxmlformats.org/officeDocument/2006/relationships" r:id="rId1"/>
</worksheet>
</file>

<file path=xl/worksheets/sheet10.xml><?xml version="1.0" encoding="utf-8"?>
<worksheet xmlns="http://schemas.openxmlformats.org/spreadsheetml/2006/main">
  <sheetPr>
    <outlinePr summaryBelow="1" summaryRight="1"/>
    <pageSetUpPr fitToPage="1"/>
  </sheetPr>
  <dimension ref="A1:S31"/>
  <sheetViews>
    <sheetView zoomScale="100" workbookViewId="0">
      <selection activeCell="A1" sqref="A1"/>
    </sheetView>
  </sheetViews>
  <sheetFormatPr baseColWidth="8" defaultRowHeight="15"/>
  <sheetData>
    <row r="1">
      <c r="A1" t="inlineStr">
        <is>
          <t>Mois</t>
        </is>
      </c>
      <c r="B1" t="inlineStr">
        <is>
          <t>Emprunts</t>
        </is>
      </c>
      <c r="C1" t="inlineStr">
        <is>
          <t>Retours</t>
        </is>
      </c>
      <c r="E1" t="inlineStr">
        <is>
          <t>Catégorie</t>
        </is>
      </c>
      <c r="F1" t="inlineStr">
        <is>
          <t>Exemplaires</t>
        </is>
      </c>
      <c r="H1" t="inlineStr">
        <is>
          <t>État</t>
        </is>
      </c>
      <c r="I1" t="inlineStr">
        <is>
          <t>Articles</t>
        </is>
      </c>
      <c r="K1" t="inlineStr">
        <is>
          <t>Emprunts ce mois</t>
        </is>
      </c>
      <c r="L1" t="inlineStr">
        <is>
          <t>Emprunts mois précédent (même période)</t>
        </is>
      </c>
      <c r="M1" t="inlineStr">
        <is>
          <t>Variation</t>
        </is>
      </c>
      <c r="O1" t="inlineStr">
        <is>
          <t>Jour</t>
        </is>
      </c>
      <c r="P1" t="inlineStr">
        <is>
          <t>Emprunts</t>
        </is>
      </c>
      <c r="Q1" t="inlineStr">
        <is>
          <t>Retours</t>
        </is>
      </c>
      <c r="S1" t="inlineStr">
        <is>
          <t>Mois (liste)</t>
        </is>
      </c>
    </row>
    <row r="2">
      <c r="A2" s="233">
        <f>DATE(YEAR(TODAY()),MONTH(TODAY())-11,1)</f>
        <v/>
      </c>
      <c r="B2">
        <f>COUNTIFS(EMP_Date,"&gt;="&amp;A2,EMP_Date,"&lt;"&amp;EDATE(A2,1))</f>
        <v/>
      </c>
      <c r="C2">
        <f>COUNTIFS(EMP_Retour,"&gt;="&amp;A2,EMP_Retour,"&lt;"&amp;EDATE(A2,1))</f>
        <v/>
      </c>
      <c r="E2">
        <f>'Paramètres'!I7</f>
        <v/>
      </c>
      <c r="F2">
        <f>SUMIF(LIV_Cat,E2,LIV_Ex)</f>
        <v/>
      </c>
      <c r="H2" t="inlineStr">
        <is>
          <t>En stock</t>
        </is>
      </c>
      <c r="I2">
        <f>COUNTIF(FOU_Statut,H2)</f>
        <v/>
      </c>
      <c r="K2">
        <f>COUNTIFS(EMP_Date,"&gt;="&amp;DATE(YEAR(TODAY()),MONTH(TODAY()),1),EMP_Date,"&lt;="&amp;TODAY())</f>
        <v/>
      </c>
      <c r="L2">
        <f>COUNTIFS(EMP_Date,"&gt;="&amp;DATE(YEAR(TODAY()),MONTH(TODAY())-1,1),EMP_Date,"&lt;="&amp;MIN(EDATE(TODAY(),-1),DATE(YEAR(TODAY()),MONTH(TODAY()),0)))</f>
        <v/>
      </c>
      <c r="M2">
        <f>IF(L2=0,0,K2/L2-1)</f>
        <v/>
      </c>
      <c r="O2" s="234">
        <f>TODAY()-29</f>
        <v/>
      </c>
      <c r="P2">
        <f>COUNTIF(EMP_Date,O2)</f>
        <v/>
      </c>
      <c r="Q2">
        <f>COUNTIF(EMP_Retour,O2)</f>
        <v/>
      </c>
      <c r="S2" s="235">
        <f>DATE(YEAR(TODAY()),MONTH(TODAY())-0,1)</f>
        <v/>
      </c>
    </row>
    <row r="3">
      <c r="A3" s="233">
        <f>DATE(YEAR(TODAY()),MONTH(TODAY())-10,1)</f>
        <v/>
      </c>
      <c r="B3">
        <f>COUNTIFS(EMP_Date,"&gt;="&amp;A3,EMP_Date,"&lt;"&amp;EDATE(A3,1))</f>
        <v/>
      </c>
      <c r="C3">
        <f>COUNTIFS(EMP_Retour,"&gt;="&amp;A3,EMP_Retour,"&lt;"&amp;EDATE(A3,1))</f>
        <v/>
      </c>
      <c r="E3">
        <f>'Paramètres'!I8</f>
        <v/>
      </c>
      <c r="F3">
        <f>SUMIF(LIV_Cat,E3,LIV_Ex)</f>
        <v/>
      </c>
      <c r="H3" t="inlineStr">
        <is>
          <t>Stock faible</t>
        </is>
      </c>
      <c r="I3">
        <f>COUNTIF(FOU_Statut,H3)</f>
        <v/>
      </c>
      <c r="O3" s="234">
        <f>TODAY()-28</f>
        <v/>
      </c>
      <c r="P3">
        <f>COUNTIF(EMP_Date,O3)</f>
        <v/>
      </c>
      <c r="Q3">
        <f>COUNTIF(EMP_Retour,O3)</f>
        <v/>
      </c>
      <c r="S3" s="235">
        <f>DATE(YEAR(TODAY()),MONTH(TODAY())-1,1)</f>
        <v/>
      </c>
    </row>
    <row r="4">
      <c r="A4" s="233">
        <f>DATE(YEAR(TODAY()),MONTH(TODAY())-9,1)</f>
        <v/>
      </c>
      <c r="B4">
        <f>COUNTIFS(EMP_Date,"&gt;="&amp;A4,EMP_Date,"&lt;"&amp;EDATE(A4,1))</f>
        <v/>
      </c>
      <c r="C4">
        <f>COUNTIFS(EMP_Retour,"&gt;="&amp;A4,EMP_Retour,"&lt;"&amp;EDATE(A4,1))</f>
        <v/>
      </c>
      <c r="E4">
        <f>'Paramètres'!I9</f>
        <v/>
      </c>
      <c r="F4">
        <f>SUMIF(LIV_Cat,E4,LIV_Ex)</f>
        <v/>
      </c>
      <c r="H4" t="inlineStr">
        <is>
          <t>Rupture</t>
        </is>
      </c>
      <c r="I4">
        <f>COUNTIF(FOU_Statut,H4)</f>
        <v/>
      </c>
      <c r="O4" s="234">
        <f>TODAY()-27</f>
        <v/>
      </c>
      <c r="P4">
        <f>COUNTIF(EMP_Date,O4)</f>
        <v/>
      </c>
      <c r="Q4">
        <f>COUNTIF(EMP_Retour,O4)</f>
        <v/>
      </c>
      <c r="S4" s="235">
        <f>DATE(YEAR(TODAY()),MONTH(TODAY())-2,1)</f>
        <v/>
      </c>
    </row>
    <row r="5">
      <c r="A5" s="233">
        <f>DATE(YEAR(TODAY()),MONTH(TODAY())-8,1)</f>
        <v/>
      </c>
      <c r="B5">
        <f>COUNTIFS(EMP_Date,"&gt;="&amp;A5,EMP_Date,"&lt;"&amp;EDATE(A5,1))</f>
        <v/>
      </c>
      <c r="C5">
        <f>COUNTIFS(EMP_Retour,"&gt;="&amp;A5,EMP_Retour,"&lt;"&amp;EDATE(A5,1))</f>
        <v/>
      </c>
      <c r="E5">
        <f>'Paramètres'!I10</f>
        <v/>
      </c>
      <c r="F5">
        <f>SUMIF(LIV_Cat,E5,LIV_Ex)</f>
        <v/>
      </c>
      <c r="O5" s="234">
        <f>TODAY()-26</f>
        <v/>
      </c>
      <c r="P5">
        <f>COUNTIF(EMP_Date,O5)</f>
        <v/>
      </c>
      <c r="Q5">
        <f>COUNTIF(EMP_Retour,O5)</f>
        <v/>
      </c>
      <c r="S5" s="235">
        <f>DATE(YEAR(TODAY()),MONTH(TODAY())-3,1)</f>
        <v/>
      </c>
    </row>
    <row r="6">
      <c r="A6" s="233">
        <f>DATE(YEAR(TODAY()),MONTH(TODAY())-7,1)</f>
        <v/>
      </c>
      <c r="B6">
        <f>COUNTIFS(EMP_Date,"&gt;="&amp;A6,EMP_Date,"&lt;"&amp;EDATE(A6,1))</f>
        <v/>
      </c>
      <c r="C6">
        <f>COUNTIFS(EMP_Retour,"&gt;="&amp;A6,EMP_Retour,"&lt;"&amp;EDATE(A6,1))</f>
        <v/>
      </c>
      <c r="E6">
        <f>'Paramètres'!I11</f>
        <v/>
      </c>
      <c r="F6">
        <f>SUMIF(LIV_Cat,E6,LIV_Ex)</f>
        <v/>
      </c>
      <c r="O6" s="234">
        <f>TODAY()-25</f>
        <v/>
      </c>
      <c r="P6">
        <f>COUNTIF(EMP_Date,O6)</f>
        <v/>
      </c>
      <c r="Q6">
        <f>COUNTIF(EMP_Retour,O6)</f>
        <v/>
      </c>
      <c r="S6" s="235">
        <f>DATE(YEAR(TODAY()),MONTH(TODAY())-4,1)</f>
        <v/>
      </c>
    </row>
    <row r="7">
      <c r="A7" s="233">
        <f>DATE(YEAR(TODAY()),MONTH(TODAY())-6,1)</f>
        <v/>
      </c>
      <c r="B7">
        <f>COUNTIFS(EMP_Date,"&gt;="&amp;A7,EMP_Date,"&lt;"&amp;EDATE(A7,1))</f>
        <v/>
      </c>
      <c r="C7">
        <f>COUNTIFS(EMP_Retour,"&gt;="&amp;A7,EMP_Retour,"&lt;"&amp;EDATE(A7,1))</f>
        <v/>
      </c>
      <c r="E7">
        <f>'Paramètres'!I12</f>
        <v/>
      </c>
      <c r="F7">
        <f>SUMIF(LIV_Cat,E7,LIV_Ex)</f>
        <v/>
      </c>
      <c r="O7" s="234">
        <f>TODAY()-24</f>
        <v/>
      </c>
      <c r="P7">
        <f>COUNTIF(EMP_Date,O7)</f>
        <v/>
      </c>
      <c r="Q7">
        <f>COUNTIF(EMP_Retour,O7)</f>
        <v/>
      </c>
      <c r="S7" s="235">
        <f>DATE(YEAR(TODAY()),MONTH(TODAY())-5,1)</f>
        <v/>
      </c>
    </row>
    <row r="8">
      <c r="A8" s="233">
        <f>DATE(YEAR(TODAY()),MONTH(TODAY())-5,1)</f>
        <v/>
      </c>
      <c r="B8">
        <f>COUNTIFS(EMP_Date,"&gt;="&amp;A8,EMP_Date,"&lt;"&amp;EDATE(A8,1))</f>
        <v/>
      </c>
      <c r="C8">
        <f>COUNTIFS(EMP_Retour,"&gt;="&amp;A8,EMP_Retour,"&lt;"&amp;EDATE(A8,1))</f>
        <v/>
      </c>
      <c r="E8">
        <f>'Paramètres'!I13</f>
        <v/>
      </c>
      <c r="F8">
        <f>SUMIF(LIV_Cat,E8,LIV_Ex)</f>
        <v/>
      </c>
      <c r="O8" s="234">
        <f>TODAY()-23</f>
        <v/>
      </c>
      <c r="P8">
        <f>COUNTIF(EMP_Date,O8)</f>
        <v/>
      </c>
      <c r="Q8">
        <f>COUNTIF(EMP_Retour,O8)</f>
        <v/>
      </c>
      <c r="S8" s="235">
        <f>DATE(YEAR(TODAY()),MONTH(TODAY())-6,1)</f>
        <v/>
      </c>
    </row>
    <row r="9">
      <c r="A9" s="233">
        <f>DATE(YEAR(TODAY()),MONTH(TODAY())-4,1)</f>
        <v/>
      </c>
      <c r="B9">
        <f>COUNTIFS(EMP_Date,"&gt;="&amp;A9,EMP_Date,"&lt;"&amp;EDATE(A9,1))</f>
        <v/>
      </c>
      <c r="C9">
        <f>COUNTIFS(EMP_Retour,"&gt;="&amp;A9,EMP_Retour,"&lt;"&amp;EDATE(A9,1))</f>
        <v/>
      </c>
      <c r="E9">
        <f>'Paramètres'!I14</f>
        <v/>
      </c>
      <c r="F9">
        <f>SUMIF(LIV_Cat,E9,LIV_Ex)</f>
        <v/>
      </c>
      <c r="O9" s="234">
        <f>TODAY()-22</f>
        <v/>
      </c>
      <c r="P9">
        <f>COUNTIF(EMP_Date,O9)</f>
        <v/>
      </c>
      <c r="Q9">
        <f>COUNTIF(EMP_Retour,O9)</f>
        <v/>
      </c>
      <c r="S9" s="235">
        <f>DATE(YEAR(TODAY()),MONTH(TODAY())-7,1)</f>
        <v/>
      </c>
    </row>
    <row r="10">
      <c r="A10" s="233">
        <f>DATE(YEAR(TODAY()),MONTH(TODAY())-3,1)</f>
        <v/>
      </c>
      <c r="B10">
        <f>COUNTIFS(EMP_Date,"&gt;="&amp;A10,EMP_Date,"&lt;"&amp;EDATE(A10,1))</f>
        <v/>
      </c>
      <c r="C10">
        <f>COUNTIFS(EMP_Retour,"&gt;="&amp;A10,EMP_Retour,"&lt;"&amp;EDATE(A10,1))</f>
        <v/>
      </c>
      <c r="E10">
        <f>'Paramètres'!I15</f>
        <v/>
      </c>
      <c r="F10">
        <f>SUMIF(LIV_Cat,E10,LIV_Ex)</f>
        <v/>
      </c>
      <c r="O10" s="234">
        <f>TODAY()-21</f>
        <v/>
      </c>
      <c r="P10">
        <f>COUNTIF(EMP_Date,O10)</f>
        <v/>
      </c>
      <c r="Q10">
        <f>COUNTIF(EMP_Retour,O10)</f>
        <v/>
      </c>
      <c r="S10" s="235">
        <f>DATE(YEAR(TODAY()),MONTH(TODAY())-8,1)</f>
        <v/>
      </c>
    </row>
    <row r="11">
      <c r="A11" s="233">
        <f>DATE(YEAR(TODAY()),MONTH(TODAY())-2,1)</f>
        <v/>
      </c>
      <c r="B11">
        <f>COUNTIFS(EMP_Date,"&gt;="&amp;A11,EMP_Date,"&lt;"&amp;EDATE(A11,1))</f>
        <v/>
      </c>
      <c r="C11">
        <f>COUNTIFS(EMP_Retour,"&gt;="&amp;A11,EMP_Retour,"&lt;"&amp;EDATE(A11,1))</f>
        <v/>
      </c>
      <c r="O11" s="234">
        <f>TODAY()-20</f>
        <v/>
      </c>
      <c r="P11">
        <f>COUNTIF(EMP_Date,O11)</f>
        <v/>
      </c>
      <c r="Q11">
        <f>COUNTIF(EMP_Retour,O11)</f>
        <v/>
      </c>
      <c r="S11" s="235">
        <f>DATE(YEAR(TODAY()),MONTH(TODAY())-9,1)</f>
        <v/>
      </c>
    </row>
    <row r="12">
      <c r="A12" s="233">
        <f>DATE(YEAR(TODAY()),MONTH(TODAY())-1,1)</f>
        <v/>
      </c>
      <c r="B12">
        <f>COUNTIFS(EMP_Date,"&gt;="&amp;A12,EMP_Date,"&lt;"&amp;EDATE(A12,1))</f>
        <v/>
      </c>
      <c r="C12">
        <f>COUNTIFS(EMP_Retour,"&gt;="&amp;A12,EMP_Retour,"&lt;"&amp;EDATE(A12,1))</f>
        <v/>
      </c>
      <c r="O12" s="234">
        <f>TODAY()-19</f>
        <v/>
      </c>
      <c r="P12">
        <f>COUNTIF(EMP_Date,O12)</f>
        <v/>
      </c>
      <c r="Q12">
        <f>COUNTIF(EMP_Retour,O12)</f>
        <v/>
      </c>
      <c r="S12" s="235">
        <f>DATE(YEAR(TODAY()),MONTH(TODAY())-10,1)</f>
        <v/>
      </c>
    </row>
    <row r="13">
      <c r="A13" s="233">
        <f>DATE(YEAR(TODAY()),MONTH(TODAY())-0,1)</f>
        <v/>
      </c>
      <c r="B13">
        <f>COUNTIFS(EMP_Date,"&gt;="&amp;A13,EMP_Date,"&lt;"&amp;EDATE(A13,1))</f>
        <v/>
      </c>
      <c r="C13">
        <f>COUNTIFS(EMP_Retour,"&gt;="&amp;A13,EMP_Retour,"&lt;"&amp;EDATE(A13,1))</f>
        <v/>
      </c>
      <c r="O13" s="234">
        <f>TODAY()-18</f>
        <v/>
      </c>
      <c r="P13">
        <f>COUNTIF(EMP_Date,O13)</f>
        <v/>
      </c>
      <c r="Q13">
        <f>COUNTIF(EMP_Retour,O13)</f>
        <v/>
      </c>
      <c r="S13" s="235">
        <f>DATE(YEAR(TODAY()),MONTH(TODAY())-11,1)</f>
        <v/>
      </c>
    </row>
    <row r="14">
      <c r="O14" s="234">
        <f>TODAY()-17</f>
        <v/>
      </c>
      <c r="P14">
        <f>COUNTIF(EMP_Date,O14)</f>
        <v/>
      </c>
      <c r="Q14">
        <f>COUNTIF(EMP_Retour,O14)</f>
        <v/>
      </c>
      <c r="S14" s="235">
        <f>DATE(YEAR(TODAY()),MONTH(TODAY())-12,1)</f>
        <v/>
      </c>
    </row>
    <row r="15">
      <c r="O15" s="234">
        <f>TODAY()-16</f>
        <v/>
      </c>
      <c r="P15">
        <f>COUNTIF(EMP_Date,O15)</f>
        <v/>
      </c>
      <c r="Q15">
        <f>COUNTIF(EMP_Retour,O15)</f>
        <v/>
      </c>
      <c r="S15" s="235">
        <f>DATE(YEAR(TODAY()),MONTH(TODAY())-13,1)</f>
        <v/>
      </c>
    </row>
    <row r="16">
      <c r="O16" s="234">
        <f>TODAY()-15</f>
        <v/>
      </c>
      <c r="P16">
        <f>COUNTIF(EMP_Date,O16)</f>
        <v/>
      </c>
      <c r="Q16">
        <f>COUNTIF(EMP_Retour,O16)</f>
        <v/>
      </c>
      <c r="S16" s="235">
        <f>DATE(YEAR(TODAY()),MONTH(TODAY())-14,1)</f>
        <v/>
      </c>
    </row>
    <row r="17">
      <c r="O17" s="234">
        <f>TODAY()-14</f>
        <v/>
      </c>
      <c r="P17">
        <f>COUNTIF(EMP_Date,O17)</f>
        <v/>
      </c>
      <c r="Q17">
        <f>COUNTIF(EMP_Retour,O17)</f>
        <v/>
      </c>
      <c r="S17" s="235">
        <f>DATE(YEAR(TODAY()),MONTH(TODAY())-15,1)</f>
        <v/>
      </c>
    </row>
    <row r="18">
      <c r="O18" s="234">
        <f>TODAY()-13</f>
        <v/>
      </c>
      <c r="P18">
        <f>COUNTIF(EMP_Date,O18)</f>
        <v/>
      </c>
      <c r="Q18">
        <f>COUNTIF(EMP_Retour,O18)</f>
        <v/>
      </c>
      <c r="S18" s="235">
        <f>DATE(YEAR(TODAY()),MONTH(TODAY())-16,1)</f>
        <v/>
      </c>
    </row>
    <row r="19">
      <c r="O19" s="234">
        <f>TODAY()-12</f>
        <v/>
      </c>
      <c r="P19">
        <f>COUNTIF(EMP_Date,O19)</f>
        <v/>
      </c>
      <c r="Q19">
        <f>COUNTIF(EMP_Retour,O19)</f>
        <v/>
      </c>
      <c r="S19" s="235">
        <f>DATE(YEAR(TODAY()),MONTH(TODAY())-17,1)</f>
        <v/>
      </c>
    </row>
    <row r="20">
      <c r="O20" s="234">
        <f>TODAY()-11</f>
        <v/>
      </c>
      <c r="P20">
        <f>COUNTIF(EMP_Date,O20)</f>
        <v/>
      </c>
      <c r="Q20">
        <f>COUNTIF(EMP_Retour,O20)</f>
        <v/>
      </c>
      <c r="S20" s="235">
        <f>DATE(YEAR(TODAY()),MONTH(TODAY())-18,1)</f>
        <v/>
      </c>
    </row>
    <row r="21">
      <c r="O21" s="234">
        <f>TODAY()-10</f>
        <v/>
      </c>
      <c r="P21">
        <f>COUNTIF(EMP_Date,O21)</f>
        <v/>
      </c>
      <c r="Q21">
        <f>COUNTIF(EMP_Retour,O21)</f>
        <v/>
      </c>
      <c r="S21" s="235">
        <f>DATE(YEAR(TODAY()),MONTH(TODAY())-19,1)</f>
        <v/>
      </c>
    </row>
    <row r="22">
      <c r="O22" s="234">
        <f>TODAY()-9</f>
        <v/>
      </c>
      <c r="P22">
        <f>COUNTIF(EMP_Date,O22)</f>
        <v/>
      </c>
      <c r="Q22">
        <f>COUNTIF(EMP_Retour,O22)</f>
        <v/>
      </c>
      <c r="S22" s="235">
        <f>DATE(YEAR(TODAY()),MONTH(TODAY())-20,1)</f>
        <v/>
      </c>
    </row>
    <row r="23">
      <c r="O23" s="234">
        <f>TODAY()-8</f>
        <v/>
      </c>
      <c r="P23">
        <f>COUNTIF(EMP_Date,O23)</f>
        <v/>
      </c>
      <c r="Q23">
        <f>COUNTIF(EMP_Retour,O23)</f>
        <v/>
      </c>
      <c r="S23" s="235">
        <f>DATE(YEAR(TODAY()),MONTH(TODAY())-21,1)</f>
        <v/>
      </c>
    </row>
    <row r="24">
      <c r="O24" s="234">
        <f>TODAY()-7</f>
        <v/>
      </c>
      <c r="P24">
        <f>COUNTIF(EMP_Date,O24)</f>
        <v/>
      </c>
      <c r="Q24">
        <f>COUNTIF(EMP_Retour,O24)</f>
        <v/>
      </c>
      <c r="S24" s="235">
        <f>DATE(YEAR(TODAY()),MONTH(TODAY())-22,1)</f>
        <v/>
      </c>
    </row>
    <row r="25">
      <c r="O25" s="234">
        <f>TODAY()-6</f>
        <v/>
      </c>
      <c r="P25">
        <f>COUNTIF(EMP_Date,O25)</f>
        <v/>
      </c>
      <c r="Q25">
        <f>COUNTIF(EMP_Retour,O25)</f>
        <v/>
      </c>
      <c r="S25" s="235">
        <f>DATE(YEAR(TODAY()),MONTH(TODAY())-23,1)</f>
        <v/>
      </c>
    </row>
    <row r="26">
      <c r="O26" s="234">
        <f>TODAY()-5</f>
        <v/>
      </c>
      <c r="P26">
        <f>COUNTIF(EMP_Date,O26)</f>
        <v/>
      </c>
      <c r="Q26">
        <f>COUNTIF(EMP_Retour,O26)</f>
        <v/>
      </c>
    </row>
    <row r="27">
      <c r="O27" s="234">
        <f>TODAY()-4</f>
        <v/>
      </c>
      <c r="P27">
        <f>COUNTIF(EMP_Date,O27)</f>
        <v/>
      </c>
      <c r="Q27">
        <f>COUNTIF(EMP_Retour,O27)</f>
        <v/>
      </c>
    </row>
    <row r="28">
      <c r="O28" s="234">
        <f>TODAY()-3</f>
        <v/>
      </c>
      <c r="P28">
        <f>COUNTIF(EMP_Date,O28)</f>
        <v/>
      </c>
      <c r="Q28">
        <f>COUNTIF(EMP_Retour,O28)</f>
        <v/>
      </c>
    </row>
    <row r="29">
      <c r="O29" s="234">
        <f>TODAY()-2</f>
        <v/>
      </c>
      <c r="P29">
        <f>COUNTIF(EMP_Date,O29)</f>
        <v/>
      </c>
      <c r="Q29">
        <f>COUNTIF(EMP_Retour,O29)</f>
        <v/>
      </c>
    </row>
    <row r="30">
      <c r="O30" s="234">
        <f>TODAY()-1</f>
        <v/>
      </c>
      <c r="P30">
        <f>COUNTIF(EMP_Date,O30)</f>
        <v/>
      </c>
      <c r="Q30">
        <f>COUNTIF(EMP_Retour,O30)</f>
        <v/>
      </c>
    </row>
    <row r="31">
      <c r="O31" s="234">
        <f>TODAY()-0</f>
        <v/>
      </c>
      <c r="P31">
        <f>COUNTIF(EMP_Date,O31)</f>
        <v/>
      </c>
      <c r="Q31">
        <f>COUNTIF(EMP_Retour,O31)</f>
        <v/>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2026-10-09T10:02:24Z</dcterms:created>
  <dcterms:modified xmlns:dcterms="http://purl.org/dc/terms/" xmlns:xsi="http://www.w3.org/2001/XMLSchema-instance" xsi:type="dcterms:W3CDTF">2026-10-09T10:02:29Z</dcterms:modified>
</cp:coreProperties>
</file>